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taJWH\TSETSE\Word\Papers\Nagupande\"/>
    </mc:Choice>
  </mc:AlternateContent>
  <bookViews>
    <workbookView xWindow="600" yWindow="312" windowWidth="11040" windowHeight="5436"/>
  </bookViews>
  <sheets>
    <sheet name="Start" sheetId="14" r:id="rId1"/>
    <sheet name="RSeed" sheetId="13" r:id="rId2"/>
    <sheet name="KSeed" sheetId="1" r:id="rId3"/>
    <sheet name="Rstar" sheetId="8" r:id="rId4"/>
    <sheet name="Kstar" sheetId="12" r:id="rId5"/>
    <sheet name="N" sheetId="2" r:id="rId6"/>
    <sheet name="MOVE" sheetId="3" r:id="rId7"/>
    <sheet name="UnNamedResults" sheetId="11" r:id="rId8"/>
    <sheet name="Reset macro" sheetId="4" state="veryHidden" r:id=""/>
    <sheet name="Run-save macros" sheetId="5" state="veryHidden" r:id=""/>
  </sheets>
  <externalReferences>
    <externalReference r:id="rId9"/>
  </externalReferences>
  <calcPr calcId="152511" calcMode="manual" iterateCount="30"/>
</workbook>
</file>

<file path=xl/calcChain.xml><?xml version="1.0" encoding="utf-8"?>
<calcChain xmlns="http://schemas.openxmlformats.org/spreadsheetml/2006/main">
  <c r="C19" i="1" l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X32" i="12" s="1"/>
  <c r="Y32" i="1"/>
  <c r="Z32" i="1"/>
  <c r="AA32" i="1"/>
  <c r="AA32" i="12" s="1"/>
  <c r="AB32" i="1"/>
  <c r="AB32" i="12" s="1"/>
  <c r="AC32" i="1"/>
  <c r="AD32" i="1"/>
  <c r="AE32" i="1"/>
  <c r="AE32" i="12" s="1"/>
  <c r="AF32" i="1"/>
  <c r="AF32" i="12" s="1"/>
  <c r="AG32" i="1"/>
  <c r="AH32" i="1"/>
  <c r="AI32" i="1"/>
  <c r="AI32" i="12" s="1"/>
  <c r="AJ32" i="1"/>
  <c r="AJ32" i="12" s="1"/>
  <c r="AK32" i="1"/>
  <c r="AL32" i="1"/>
  <c r="AM32" i="1"/>
  <c r="AM32" i="12" s="1"/>
  <c r="AN32" i="1"/>
  <c r="AN32" i="12" s="1"/>
  <c r="AO32" i="1"/>
  <c r="AP32" i="1"/>
  <c r="AQ32" i="1"/>
  <c r="AR32" i="1"/>
  <c r="AS32" i="1"/>
  <c r="AT32" i="1"/>
  <c r="AU32" i="1"/>
  <c r="AV32" i="1"/>
  <c r="AW32" i="1"/>
  <c r="AX32" i="1"/>
  <c r="AY32" i="1"/>
  <c r="AZ3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Y33" i="12" s="1"/>
  <c r="Z33" i="1"/>
  <c r="Z33" i="12" s="1"/>
  <c r="AA33" i="1"/>
  <c r="AB33" i="1"/>
  <c r="AC33" i="1"/>
  <c r="AC33" i="12" s="1"/>
  <c r="AD33" i="1"/>
  <c r="AD33" i="12" s="1"/>
  <c r="AE33" i="1"/>
  <c r="AF33" i="1"/>
  <c r="AG33" i="1"/>
  <c r="AG33" i="12" s="1"/>
  <c r="AH33" i="1"/>
  <c r="AH33" i="12" s="1"/>
  <c r="AI33" i="1"/>
  <c r="AJ33" i="1"/>
  <c r="AK33" i="1"/>
  <c r="AK33" i="12" s="1"/>
  <c r="AL33" i="1"/>
  <c r="AL33" i="12" s="1"/>
  <c r="AM33" i="1"/>
  <c r="AN33" i="1"/>
  <c r="AO33" i="1"/>
  <c r="AO33" i="12" s="1"/>
  <c r="AP33" i="1"/>
  <c r="AP33" i="12" s="1"/>
  <c r="AQ33" i="1"/>
  <c r="AR33" i="1"/>
  <c r="AS33" i="1"/>
  <c r="AT33" i="1"/>
  <c r="AU33" i="1"/>
  <c r="AV33" i="1"/>
  <c r="AW33" i="1"/>
  <c r="AX33" i="1"/>
  <c r="AY33" i="1"/>
  <c r="AZ33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W34" i="12" s="1"/>
  <c r="X34" i="1"/>
  <c r="X34" i="12" s="1"/>
  <c r="Y34" i="1"/>
  <c r="Z34" i="1"/>
  <c r="AA34" i="1"/>
  <c r="AA34" i="12" s="1"/>
  <c r="AB34" i="1"/>
  <c r="AB34" i="12" s="1"/>
  <c r="AC34" i="1"/>
  <c r="AD34" i="1"/>
  <c r="AE34" i="1"/>
  <c r="AE34" i="12" s="1"/>
  <c r="AF34" i="1"/>
  <c r="AF34" i="12" s="1"/>
  <c r="AG34" i="1"/>
  <c r="AH34" i="1"/>
  <c r="AI34" i="1"/>
  <c r="AI34" i="12" s="1"/>
  <c r="AJ34" i="1"/>
  <c r="AJ34" i="12" s="1"/>
  <c r="AK34" i="1"/>
  <c r="AL34" i="1"/>
  <c r="AM34" i="1"/>
  <c r="AM34" i="12" s="1"/>
  <c r="AN34" i="1"/>
  <c r="AN34" i="12" s="1"/>
  <c r="AO34" i="1"/>
  <c r="AP34" i="1"/>
  <c r="AQ34" i="1"/>
  <c r="AQ34" i="12" s="1"/>
  <c r="AR34" i="1"/>
  <c r="AS34" i="1"/>
  <c r="AT34" i="1"/>
  <c r="AU34" i="1"/>
  <c r="AV34" i="1"/>
  <c r="AW34" i="1"/>
  <c r="AX34" i="1"/>
  <c r="AY34" i="1"/>
  <c r="AZ34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Y35" i="12" s="1"/>
  <c r="Z35" i="1"/>
  <c r="Z35" i="12" s="1"/>
  <c r="AA35" i="1"/>
  <c r="AB35" i="1"/>
  <c r="AC35" i="1"/>
  <c r="AC35" i="12" s="1"/>
  <c r="AD35" i="1"/>
  <c r="AD35" i="12" s="1"/>
  <c r="AE35" i="1"/>
  <c r="AF35" i="1"/>
  <c r="AG35" i="1"/>
  <c r="AG35" i="12" s="1"/>
  <c r="AH35" i="1"/>
  <c r="AH35" i="12" s="1"/>
  <c r="AI35" i="1"/>
  <c r="AJ35" i="1"/>
  <c r="AK35" i="1"/>
  <c r="AK35" i="12" s="1"/>
  <c r="AL35" i="1"/>
  <c r="AL35" i="12" s="1"/>
  <c r="AM35" i="1"/>
  <c r="AN35" i="1"/>
  <c r="AO35" i="1"/>
  <c r="AO35" i="12" s="1"/>
  <c r="AP35" i="1"/>
  <c r="AP35" i="12" s="1"/>
  <c r="AQ35" i="1"/>
  <c r="AR35" i="1"/>
  <c r="AS35" i="1"/>
  <c r="AT35" i="1"/>
  <c r="AU35" i="1"/>
  <c r="AV35" i="1"/>
  <c r="AW35" i="1"/>
  <c r="AX35" i="1"/>
  <c r="AY35" i="1"/>
  <c r="AZ3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W36" i="12" s="1"/>
  <c r="X36" i="1"/>
  <c r="X36" i="12" s="1"/>
  <c r="Y36" i="1"/>
  <c r="Z36" i="1"/>
  <c r="AA36" i="1"/>
  <c r="AA36" i="12" s="1"/>
  <c r="AB36" i="1"/>
  <c r="AB36" i="12" s="1"/>
  <c r="AC36" i="1"/>
  <c r="AD36" i="1"/>
  <c r="AE36" i="1"/>
  <c r="AE36" i="12" s="1"/>
  <c r="AF36" i="1"/>
  <c r="AF36" i="12" s="1"/>
  <c r="AG36" i="1"/>
  <c r="AH36" i="1"/>
  <c r="AI36" i="1"/>
  <c r="AI36" i="12" s="1"/>
  <c r="AJ36" i="1"/>
  <c r="AJ36" i="12" s="1"/>
  <c r="AK36" i="1"/>
  <c r="AL36" i="1"/>
  <c r="AM36" i="1"/>
  <c r="AM36" i="12" s="1"/>
  <c r="AN36" i="1"/>
  <c r="AN36" i="12" s="1"/>
  <c r="AO36" i="1"/>
  <c r="AP36" i="1"/>
  <c r="AQ36" i="1"/>
  <c r="AQ36" i="12" s="1"/>
  <c r="AR36" i="1"/>
  <c r="AS36" i="1"/>
  <c r="AT36" i="1"/>
  <c r="AU36" i="1"/>
  <c r="AV36" i="1"/>
  <c r="AW36" i="1"/>
  <c r="AX36" i="1"/>
  <c r="AY36" i="1"/>
  <c r="AZ36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Y37" i="12" s="1"/>
  <c r="Z37" i="1"/>
  <c r="Z37" i="12" s="1"/>
  <c r="AA37" i="1"/>
  <c r="AB37" i="1"/>
  <c r="AC37" i="1"/>
  <c r="AC37" i="12" s="1"/>
  <c r="AD37" i="1"/>
  <c r="AD37" i="12" s="1"/>
  <c r="AE37" i="1"/>
  <c r="AF37" i="1"/>
  <c r="AG37" i="1"/>
  <c r="AG37" i="12" s="1"/>
  <c r="AH37" i="1"/>
  <c r="AH37" i="12" s="1"/>
  <c r="AI37" i="1"/>
  <c r="AJ37" i="1"/>
  <c r="AK37" i="1"/>
  <c r="AK37" i="12" s="1"/>
  <c r="AL37" i="1"/>
  <c r="AL37" i="12" s="1"/>
  <c r="AM37" i="1"/>
  <c r="AN37" i="1"/>
  <c r="AO37" i="1"/>
  <c r="AO37" i="12" s="1"/>
  <c r="AP37" i="1"/>
  <c r="AP37" i="12" s="1"/>
  <c r="AQ37" i="1"/>
  <c r="AR37" i="1"/>
  <c r="AS37" i="1"/>
  <c r="AT37" i="1"/>
  <c r="AU37" i="1"/>
  <c r="AV37" i="1"/>
  <c r="AW37" i="1"/>
  <c r="AX37" i="1"/>
  <c r="AY37" i="1"/>
  <c r="AZ37" i="1"/>
  <c r="C38" i="1"/>
  <c r="D38" i="1"/>
  <c r="E38" i="1"/>
  <c r="F38" i="1"/>
  <c r="G38" i="1"/>
  <c r="H38" i="1"/>
  <c r="I38" i="1"/>
  <c r="J38" i="1"/>
  <c r="K38" i="1"/>
  <c r="L38" i="1"/>
  <c r="L38" i="12" s="1"/>
  <c r="M38" i="1"/>
  <c r="N38" i="1"/>
  <c r="O38" i="1"/>
  <c r="P38" i="1"/>
  <c r="P38" i="12" s="1"/>
  <c r="Q38" i="1"/>
  <c r="R38" i="1"/>
  <c r="S38" i="1"/>
  <c r="S38" i="12" s="1"/>
  <c r="T38" i="1"/>
  <c r="T38" i="12" s="1"/>
  <c r="U38" i="1"/>
  <c r="V38" i="1"/>
  <c r="W38" i="1"/>
  <c r="W38" i="12" s="1"/>
  <c r="X38" i="1"/>
  <c r="X38" i="12" s="1"/>
  <c r="Y38" i="1"/>
  <c r="Z38" i="1"/>
  <c r="AA38" i="1"/>
  <c r="AA38" i="12" s="1"/>
  <c r="AB38" i="1"/>
  <c r="AB38" i="12" s="1"/>
  <c r="AC38" i="1"/>
  <c r="AD38" i="1"/>
  <c r="AE38" i="1"/>
  <c r="AE38" i="12" s="1"/>
  <c r="AF38" i="1"/>
  <c r="AF38" i="12" s="1"/>
  <c r="AG38" i="1"/>
  <c r="AH38" i="1"/>
  <c r="AI38" i="1"/>
  <c r="AI38" i="12" s="1"/>
  <c r="AJ38" i="1"/>
  <c r="AJ38" i="12" s="1"/>
  <c r="AK38" i="1"/>
  <c r="AL38" i="1"/>
  <c r="AM38" i="1"/>
  <c r="AM38" i="12" s="1"/>
  <c r="AN38" i="1"/>
  <c r="AN38" i="12" s="1"/>
  <c r="AO38" i="1"/>
  <c r="AP38" i="1"/>
  <c r="AQ38" i="1"/>
  <c r="AQ38" i="12" s="1"/>
  <c r="AR38" i="1"/>
  <c r="AS38" i="1"/>
  <c r="AT38" i="1"/>
  <c r="AU38" i="1"/>
  <c r="AV38" i="1"/>
  <c r="AW38" i="1"/>
  <c r="AX38" i="1"/>
  <c r="AY38" i="1"/>
  <c r="AZ38" i="1"/>
  <c r="C39" i="1"/>
  <c r="D39" i="1"/>
  <c r="E39" i="1"/>
  <c r="F39" i="1"/>
  <c r="G39" i="1"/>
  <c r="H39" i="1"/>
  <c r="I39" i="1"/>
  <c r="J39" i="1"/>
  <c r="K39" i="1"/>
  <c r="L39" i="1"/>
  <c r="M39" i="1"/>
  <c r="M39" i="12" s="1"/>
  <c r="N39" i="1"/>
  <c r="N39" i="12" s="1"/>
  <c r="O39" i="1"/>
  <c r="P39" i="1"/>
  <c r="Q39" i="1"/>
  <c r="R39" i="1"/>
  <c r="R39" i="12" s="1"/>
  <c r="S39" i="1"/>
  <c r="T39" i="1"/>
  <c r="U39" i="1"/>
  <c r="U39" i="12" s="1"/>
  <c r="V39" i="1"/>
  <c r="V39" i="12" s="1"/>
  <c r="W39" i="1"/>
  <c r="X39" i="1"/>
  <c r="Y39" i="1"/>
  <c r="Y39" i="12" s="1"/>
  <c r="Z39" i="1"/>
  <c r="Z39" i="12" s="1"/>
  <c r="AA39" i="1"/>
  <c r="AB39" i="1"/>
  <c r="AC39" i="1"/>
  <c r="AC39" i="12" s="1"/>
  <c r="AD39" i="1"/>
  <c r="AD39" i="12" s="1"/>
  <c r="AE39" i="1"/>
  <c r="AF39" i="1"/>
  <c r="AG39" i="1"/>
  <c r="AG39" i="12" s="1"/>
  <c r="AH39" i="1"/>
  <c r="AH39" i="12" s="1"/>
  <c r="AI39" i="1"/>
  <c r="AJ39" i="1"/>
  <c r="AK39" i="1"/>
  <c r="AK39" i="12" s="1"/>
  <c r="AL39" i="1"/>
  <c r="AL39" i="12" s="1"/>
  <c r="AM39" i="1"/>
  <c r="AN39" i="1"/>
  <c r="AO39" i="1"/>
  <c r="AO39" i="12" s="1"/>
  <c r="AP39" i="1"/>
  <c r="AP39" i="12" s="1"/>
  <c r="AQ39" i="1"/>
  <c r="AR39" i="1"/>
  <c r="AS39" i="1"/>
  <c r="AT39" i="1"/>
  <c r="AU39" i="1"/>
  <c r="AV39" i="1"/>
  <c r="AW39" i="1"/>
  <c r="AX39" i="1"/>
  <c r="AY39" i="1"/>
  <c r="AZ39" i="1"/>
  <c r="C40" i="1"/>
  <c r="D40" i="1"/>
  <c r="E40" i="1"/>
  <c r="F40" i="1"/>
  <c r="G40" i="1"/>
  <c r="H40" i="1"/>
  <c r="I40" i="1"/>
  <c r="J40" i="1"/>
  <c r="K40" i="1"/>
  <c r="L40" i="1"/>
  <c r="L40" i="12" s="1"/>
  <c r="M40" i="1"/>
  <c r="N40" i="1"/>
  <c r="O40" i="1"/>
  <c r="P40" i="1"/>
  <c r="P40" i="12" s="1"/>
  <c r="Q40" i="1"/>
  <c r="R40" i="1"/>
  <c r="S40" i="1"/>
  <c r="S40" i="12" s="1"/>
  <c r="T40" i="1"/>
  <c r="T40" i="12" s="1"/>
  <c r="U40" i="1"/>
  <c r="V40" i="1"/>
  <c r="W40" i="1"/>
  <c r="W40" i="12" s="1"/>
  <c r="X40" i="1"/>
  <c r="X40" i="12" s="1"/>
  <c r="Y40" i="1"/>
  <c r="Z40" i="1"/>
  <c r="AA40" i="1"/>
  <c r="AA40" i="12" s="1"/>
  <c r="AB40" i="1"/>
  <c r="AB40" i="12" s="1"/>
  <c r="AC40" i="1"/>
  <c r="AD40" i="1"/>
  <c r="AE40" i="1"/>
  <c r="AE40" i="12" s="1"/>
  <c r="AF40" i="1"/>
  <c r="AF40" i="12" s="1"/>
  <c r="AG40" i="1"/>
  <c r="AH40" i="1"/>
  <c r="AI40" i="1"/>
  <c r="AI40" i="12" s="1"/>
  <c r="AJ40" i="1"/>
  <c r="AJ40" i="12" s="1"/>
  <c r="AK40" i="1"/>
  <c r="AL40" i="1"/>
  <c r="AM40" i="1"/>
  <c r="AM40" i="12" s="1"/>
  <c r="AN40" i="1"/>
  <c r="AN40" i="12" s="1"/>
  <c r="AO40" i="1"/>
  <c r="AP40" i="1"/>
  <c r="AQ40" i="1"/>
  <c r="AQ40" i="12" s="1"/>
  <c r="AR40" i="1"/>
  <c r="AS40" i="1"/>
  <c r="AT40" i="1"/>
  <c r="AU40" i="1"/>
  <c r="AV40" i="1"/>
  <c r="AW40" i="1"/>
  <c r="AX40" i="1"/>
  <c r="AY40" i="1"/>
  <c r="AZ40" i="1"/>
  <c r="C41" i="1"/>
  <c r="D41" i="1"/>
  <c r="E41" i="1"/>
  <c r="F41" i="1"/>
  <c r="G41" i="1"/>
  <c r="H41" i="1"/>
  <c r="I41" i="1"/>
  <c r="J41" i="1"/>
  <c r="K41" i="1"/>
  <c r="L41" i="1"/>
  <c r="M41" i="1"/>
  <c r="M41" i="12" s="1"/>
  <c r="N41" i="1"/>
  <c r="N41" i="12" s="1"/>
  <c r="O41" i="1"/>
  <c r="P41" i="1"/>
  <c r="Q41" i="1"/>
  <c r="Q41" i="12" s="1"/>
  <c r="R41" i="1"/>
  <c r="R41" i="12" s="1"/>
  <c r="S41" i="1"/>
  <c r="T41" i="1"/>
  <c r="U41" i="1"/>
  <c r="U41" i="12" s="1"/>
  <c r="V41" i="1"/>
  <c r="V41" i="12" s="1"/>
  <c r="W41" i="1"/>
  <c r="X41" i="1"/>
  <c r="Y41" i="1"/>
  <c r="Y41" i="12" s="1"/>
  <c r="Z41" i="1"/>
  <c r="Z41" i="12" s="1"/>
  <c r="AA41" i="1"/>
  <c r="AB41" i="1"/>
  <c r="AC41" i="1"/>
  <c r="AC41" i="12" s="1"/>
  <c r="AD41" i="1"/>
  <c r="AD41" i="12" s="1"/>
  <c r="AE41" i="1"/>
  <c r="AF41" i="1"/>
  <c r="AG41" i="1"/>
  <c r="AG41" i="12" s="1"/>
  <c r="AH41" i="1"/>
  <c r="AH41" i="12" s="1"/>
  <c r="AI41" i="1"/>
  <c r="AJ41" i="1"/>
  <c r="AK41" i="1"/>
  <c r="AK41" i="12" s="1"/>
  <c r="AL41" i="1"/>
  <c r="AL41" i="12" s="1"/>
  <c r="AM41" i="1"/>
  <c r="AN41" i="1"/>
  <c r="AO41" i="1"/>
  <c r="AO41" i="12" s="1"/>
  <c r="AP41" i="1"/>
  <c r="AP41" i="12" s="1"/>
  <c r="AQ41" i="1"/>
  <c r="AR41" i="1"/>
  <c r="AS41" i="1"/>
  <c r="AT41" i="1"/>
  <c r="AU41" i="1"/>
  <c r="AV41" i="1"/>
  <c r="AW41" i="1"/>
  <c r="AX41" i="1"/>
  <c r="AY41" i="1"/>
  <c r="AZ41" i="1"/>
  <c r="C42" i="1"/>
  <c r="D42" i="1"/>
  <c r="E42" i="1"/>
  <c r="F42" i="1"/>
  <c r="G42" i="1"/>
  <c r="H42" i="1"/>
  <c r="I42" i="1"/>
  <c r="J42" i="1"/>
  <c r="K42" i="1"/>
  <c r="L42" i="1"/>
  <c r="L42" i="12" s="1"/>
  <c r="M42" i="1"/>
  <c r="N42" i="1"/>
  <c r="O42" i="1"/>
  <c r="O42" i="12" s="1"/>
  <c r="P42" i="1"/>
  <c r="P42" i="12" s="1"/>
  <c r="Q42" i="1"/>
  <c r="R42" i="1"/>
  <c r="S42" i="1"/>
  <c r="S42" i="12" s="1"/>
  <c r="T42" i="1"/>
  <c r="T42" i="12" s="1"/>
  <c r="U42" i="1"/>
  <c r="V42" i="1"/>
  <c r="W42" i="1"/>
  <c r="W42" i="12" s="1"/>
  <c r="X42" i="1"/>
  <c r="X42" i="12" s="1"/>
  <c r="Y42" i="1"/>
  <c r="Z42" i="1"/>
  <c r="AA42" i="1"/>
  <c r="AA42" i="12" s="1"/>
  <c r="AB42" i="1"/>
  <c r="AB42" i="12" s="1"/>
  <c r="AC42" i="1"/>
  <c r="AD42" i="1"/>
  <c r="AE42" i="1"/>
  <c r="AE42" i="12" s="1"/>
  <c r="AF42" i="1"/>
  <c r="AF42" i="12" s="1"/>
  <c r="AG42" i="1"/>
  <c r="AH42" i="1"/>
  <c r="AI42" i="1"/>
  <c r="AI42" i="12" s="1"/>
  <c r="AJ42" i="1"/>
  <c r="AJ42" i="12" s="1"/>
  <c r="AK42" i="1"/>
  <c r="AL42" i="1"/>
  <c r="AM42" i="1"/>
  <c r="AM42" i="12" s="1"/>
  <c r="AN42" i="1"/>
  <c r="AN42" i="12" s="1"/>
  <c r="AO42" i="1"/>
  <c r="AP42" i="1"/>
  <c r="AQ42" i="1"/>
  <c r="AQ42" i="12" s="1"/>
  <c r="AR42" i="1"/>
  <c r="AS42" i="1"/>
  <c r="AT42" i="1"/>
  <c r="AU42" i="1"/>
  <c r="AV42" i="1"/>
  <c r="AW42" i="1"/>
  <c r="AX42" i="1"/>
  <c r="AY42" i="1"/>
  <c r="AZ42" i="1"/>
  <c r="C43" i="1"/>
  <c r="D43" i="1"/>
  <c r="E43" i="1"/>
  <c r="F43" i="1"/>
  <c r="G43" i="1"/>
  <c r="H43" i="1"/>
  <c r="I43" i="1"/>
  <c r="J43" i="1"/>
  <c r="K43" i="1"/>
  <c r="L43" i="1"/>
  <c r="M43" i="1"/>
  <c r="M43" i="12" s="1"/>
  <c r="N43" i="1"/>
  <c r="N43" i="12" s="1"/>
  <c r="O43" i="1"/>
  <c r="P43" i="1"/>
  <c r="Q43" i="1"/>
  <c r="Q43" i="12" s="1"/>
  <c r="R43" i="1"/>
  <c r="R43" i="12" s="1"/>
  <c r="S43" i="1"/>
  <c r="T43" i="1"/>
  <c r="U43" i="1"/>
  <c r="V43" i="1"/>
  <c r="V43" i="12" s="1"/>
  <c r="W43" i="1"/>
  <c r="X43" i="1"/>
  <c r="Y43" i="1"/>
  <c r="Y43" i="12" s="1"/>
  <c r="Z43" i="1"/>
  <c r="Z43" i="12" s="1"/>
  <c r="AA43" i="1"/>
  <c r="AB43" i="1"/>
  <c r="AC43" i="1"/>
  <c r="AC43" i="12" s="1"/>
  <c r="AD43" i="1"/>
  <c r="AD43" i="12" s="1"/>
  <c r="AE43" i="1"/>
  <c r="AF43" i="1"/>
  <c r="AG43" i="1"/>
  <c r="AG43" i="12" s="1"/>
  <c r="AH43" i="1"/>
  <c r="AH43" i="12" s="1"/>
  <c r="AI43" i="1"/>
  <c r="AJ43" i="1"/>
  <c r="AK43" i="1"/>
  <c r="AK43" i="12" s="1"/>
  <c r="AL43" i="1"/>
  <c r="AL43" i="12" s="1"/>
  <c r="AM43" i="1"/>
  <c r="AN43" i="1"/>
  <c r="AO43" i="1"/>
  <c r="AO43" i="12" s="1"/>
  <c r="AP43" i="1"/>
  <c r="AP43" i="12" s="1"/>
  <c r="AQ43" i="1"/>
  <c r="AR43" i="1"/>
  <c r="AS43" i="1"/>
  <c r="AT43" i="1"/>
  <c r="AU43" i="1"/>
  <c r="AV43" i="1"/>
  <c r="AW43" i="1"/>
  <c r="AX43" i="1"/>
  <c r="AY43" i="1"/>
  <c r="AZ43" i="1"/>
  <c r="C44" i="1"/>
  <c r="D44" i="1"/>
  <c r="E44" i="1"/>
  <c r="F44" i="1"/>
  <c r="G44" i="1"/>
  <c r="H44" i="1"/>
  <c r="I44" i="1"/>
  <c r="J44" i="1"/>
  <c r="K44" i="1"/>
  <c r="L44" i="1"/>
  <c r="L44" i="12" s="1"/>
  <c r="M44" i="1"/>
  <c r="N44" i="1"/>
  <c r="O44" i="1"/>
  <c r="O44" i="12" s="1"/>
  <c r="P44" i="1"/>
  <c r="P44" i="12" s="1"/>
  <c r="Q44" i="1"/>
  <c r="R44" i="1"/>
  <c r="S44" i="1"/>
  <c r="S44" i="12" s="1"/>
  <c r="T44" i="1"/>
  <c r="T44" i="12" s="1"/>
  <c r="U44" i="1"/>
  <c r="V44" i="1"/>
  <c r="W44" i="1"/>
  <c r="W44" i="12" s="1"/>
  <c r="X44" i="1"/>
  <c r="X44" i="12" s="1"/>
  <c r="Y44" i="1"/>
  <c r="Z44" i="1"/>
  <c r="AA44" i="1"/>
  <c r="AA44" i="12" s="1"/>
  <c r="AB44" i="1"/>
  <c r="AB44" i="12" s="1"/>
  <c r="AC44" i="1"/>
  <c r="AD44" i="1"/>
  <c r="AE44" i="1"/>
  <c r="AE44" i="12" s="1"/>
  <c r="AF44" i="1"/>
  <c r="AF44" i="12" s="1"/>
  <c r="AG44" i="1"/>
  <c r="AH44" i="1"/>
  <c r="AI44" i="1"/>
  <c r="AI44" i="12" s="1"/>
  <c r="AJ44" i="1"/>
  <c r="AJ44" i="12" s="1"/>
  <c r="AK44" i="1"/>
  <c r="AL44" i="1"/>
  <c r="AM44" i="1"/>
  <c r="AM44" i="12" s="1"/>
  <c r="AN44" i="1"/>
  <c r="AN44" i="12" s="1"/>
  <c r="AO44" i="1"/>
  <c r="AP44" i="1"/>
  <c r="AQ44" i="1"/>
  <c r="AQ44" i="12" s="1"/>
  <c r="AR44" i="1"/>
  <c r="AS44" i="1"/>
  <c r="AT44" i="1"/>
  <c r="AU44" i="1"/>
  <c r="AV44" i="1"/>
  <c r="AW44" i="1"/>
  <c r="AX44" i="1"/>
  <c r="AY44" i="1"/>
  <c r="AZ44" i="1"/>
  <c r="C45" i="1"/>
  <c r="D45" i="1"/>
  <c r="E45" i="1"/>
  <c r="F45" i="1"/>
  <c r="G45" i="1"/>
  <c r="H45" i="1"/>
  <c r="I45" i="1"/>
  <c r="J45" i="1"/>
  <c r="K45" i="1"/>
  <c r="L45" i="1"/>
  <c r="M45" i="1"/>
  <c r="M45" i="12" s="1"/>
  <c r="N45" i="1"/>
  <c r="N45" i="12" s="1"/>
  <c r="O45" i="1"/>
  <c r="P45" i="1"/>
  <c r="Q45" i="1"/>
  <c r="R45" i="1"/>
  <c r="R45" i="12" s="1"/>
  <c r="S45" i="1"/>
  <c r="T45" i="1"/>
  <c r="U45" i="1"/>
  <c r="V45" i="1"/>
  <c r="V45" i="12" s="1"/>
  <c r="W45" i="1"/>
  <c r="X45" i="1"/>
  <c r="Y45" i="1"/>
  <c r="Y45" i="12" s="1"/>
  <c r="Z45" i="1"/>
  <c r="Z45" i="12" s="1"/>
  <c r="AA45" i="1"/>
  <c r="AB45" i="1"/>
  <c r="AC45" i="1"/>
  <c r="AC45" i="12" s="1"/>
  <c r="AD45" i="1"/>
  <c r="AD45" i="12" s="1"/>
  <c r="AE45" i="1"/>
  <c r="AF45" i="1"/>
  <c r="AG45" i="1"/>
  <c r="AG45" i="12" s="1"/>
  <c r="AH45" i="1"/>
  <c r="AH45" i="12" s="1"/>
  <c r="AI45" i="1"/>
  <c r="AJ45" i="1"/>
  <c r="AK45" i="1"/>
  <c r="AK45" i="12" s="1"/>
  <c r="AL45" i="1"/>
  <c r="AL45" i="12" s="1"/>
  <c r="AM45" i="1"/>
  <c r="AN45" i="1"/>
  <c r="AO45" i="1"/>
  <c r="AO45" i="12" s="1"/>
  <c r="AP45" i="1"/>
  <c r="AP45" i="12" s="1"/>
  <c r="AQ45" i="1"/>
  <c r="AR45" i="1"/>
  <c r="AS45" i="1"/>
  <c r="AT45" i="1"/>
  <c r="AU45" i="1"/>
  <c r="AV45" i="1"/>
  <c r="AW45" i="1"/>
  <c r="AX45" i="1"/>
  <c r="AY45" i="1"/>
  <c r="AZ45" i="1"/>
  <c r="C46" i="1"/>
  <c r="D46" i="1"/>
  <c r="E46" i="1"/>
  <c r="F46" i="1"/>
  <c r="G46" i="1"/>
  <c r="H46" i="1"/>
  <c r="I46" i="1"/>
  <c r="J46" i="1"/>
  <c r="K46" i="1"/>
  <c r="L46" i="1"/>
  <c r="L46" i="12" s="1"/>
  <c r="M46" i="1"/>
  <c r="N46" i="1"/>
  <c r="O46" i="1"/>
  <c r="O46" i="12" s="1"/>
  <c r="P46" i="1"/>
  <c r="P46" i="12" s="1"/>
  <c r="Q46" i="1"/>
  <c r="R46" i="1"/>
  <c r="S46" i="1"/>
  <c r="S46" i="12" s="1"/>
  <c r="T46" i="1"/>
  <c r="T46" i="12" s="1"/>
  <c r="U46" i="1"/>
  <c r="V46" i="1"/>
  <c r="W46" i="1"/>
  <c r="W46" i="12" s="1"/>
  <c r="X46" i="1"/>
  <c r="X46" i="12" s="1"/>
  <c r="Y46" i="1"/>
  <c r="Z46" i="1"/>
  <c r="AA46" i="1"/>
  <c r="AA46" i="12" s="1"/>
  <c r="AB46" i="1"/>
  <c r="AB46" i="12" s="1"/>
  <c r="AC46" i="1"/>
  <c r="AD46" i="1"/>
  <c r="AE46" i="1"/>
  <c r="AE46" i="12" s="1"/>
  <c r="AF46" i="1"/>
  <c r="AF46" i="12" s="1"/>
  <c r="AG46" i="1"/>
  <c r="AH46" i="1"/>
  <c r="AI46" i="1"/>
  <c r="AI46" i="12" s="1"/>
  <c r="AJ46" i="1"/>
  <c r="AJ46" i="12" s="1"/>
  <c r="AK46" i="1"/>
  <c r="AL46" i="1"/>
  <c r="AM46" i="1"/>
  <c r="AM46" i="12" s="1"/>
  <c r="AN46" i="1"/>
  <c r="AN46" i="12" s="1"/>
  <c r="AO46" i="1"/>
  <c r="AP46" i="1"/>
  <c r="AQ46" i="1"/>
  <c r="AQ46" i="12" s="1"/>
  <c r="AR46" i="1"/>
  <c r="AS46" i="1"/>
  <c r="AT46" i="1"/>
  <c r="AU46" i="1"/>
  <c r="AV46" i="1"/>
  <c r="AW46" i="1"/>
  <c r="AX46" i="1"/>
  <c r="AY46" i="1"/>
  <c r="AZ46" i="1"/>
  <c r="C47" i="1"/>
  <c r="D47" i="1"/>
  <c r="E47" i="1"/>
  <c r="F47" i="1"/>
  <c r="G47" i="1"/>
  <c r="H47" i="1"/>
  <c r="I47" i="1"/>
  <c r="J47" i="1"/>
  <c r="K47" i="1"/>
  <c r="L47" i="1"/>
  <c r="M47" i="1"/>
  <c r="M47" i="12" s="1"/>
  <c r="N47" i="1"/>
  <c r="N47" i="12" s="1"/>
  <c r="O47" i="1"/>
  <c r="P47" i="1"/>
  <c r="Q47" i="1"/>
  <c r="Q47" i="12" s="1"/>
  <c r="R47" i="1"/>
  <c r="R47" i="12" s="1"/>
  <c r="S47" i="1"/>
  <c r="T47" i="1"/>
  <c r="U47" i="1"/>
  <c r="U47" i="12" s="1"/>
  <c r="V47" i="1"/>
  <c r="V47" i="12" s="1"/>
  <c r="W47" i="1"/>
  <c r="X47" i="1"/>
  <c r="Y47" i="1"/>
  <c r="Y47" i="12" s="1"/>
  <c r="Z47" i="1"/>
  <c r="Z47" i="12" s="1"/>
  <c r="AA47" i="1"/>
  <c r="AB47" i="1"/>
  <c r="AC47" i="1"/>
  <c r="AC47" i="12" s="1"/>
  <c r="AD47" i="1"/>
  <c r="AD47" i="12" s="1"/>
  <c r="AE47" i="1"/>
  <c r="AF47" i="1"/>
  <c r="AG47" i="1"/>
  <c r="AG47" i="12" s="1"/>
  <c r="AH47" i="1"/>
  <c r="AH47" i="12" s="1"/>
  <c r="AI47" i="1"/>
  <c r="AJ47" i="1"/>
  <c r="AK47" i="1"/>
  <c r="AK47" i="12" s="1"/>
  <c r="AL47" i="1"/>
  <c r="AL47" i="12" s="1"/>
  <c r="AM47" i="1"/>
  <c r="AN47" i="1"/>
  <c r="AO47" i="1"/>
  <c r="AO47" i="12" s="1"/>
  <c r="AP47" i="1"/>
  <c r="AP47" i="12" s="1"/>
  <c r="AQ47" i="1"/>
  <c r="AR47" i="1"/>
  <c r="AS47" i="1"/>
  <c r="AT47" i="1"/>
  <c r="AU47" i="1"/>
  <c r="AV47" i="1"/>
  <c r="AW47" i="1"/>
  <c r="AX47" i="1"/>
  <c r="AY47" i="1"/>
  <c r="AZ47" i="1"/>
  <c r="C48" i="1"/>
  <c r="D48" i="1"/>
  <c r="E48" i="1"/>
  <c r="F48" i="1"/>
  <c r="G48" i="1"/>
  <c r="H48" i="1"/>
  <c r="I48" i="1"/>
  <c r="J48" i="1"/>
  <c r="K48" i="1"/>
  <c r="L48" i="1"/>
  <c r="L48" i="12" s="1"/>
  <c r="M48" i="1"/>
  <c r="N48" i="1"/>
  <c r="O48" i="1"/>
  <c r="O48" i="12" s="1"/>
  <c r="P48" i="1"/>
  <c r="P48" i="12" s="1"/>
  <c r="Q48" i="1"/>
  <c r="R48" i="1"/>
  <c r="S48" i="1"/>
  <c r="S48" i="12" s="1"/>
  <c r="T48" i="1"/>
  <c r="T48" i="12" s="1"/>
  <c r="U48" i="1"/>
  <c r="V48" i="1"/>
  <c r="W48" i="1"/>
  <c r="W48" i="12" s="1"/>
  <c r="X48" i="1"/>
  <c r="X48" i="12" s="1"/>
  <c r="Y48" i="1"/>
  <c r="Z48" i="1"/>
  <c r="AA48" i="1"/>
  <c r="AA48" i="12" s="1"/>
  <c r="AB48" i="1"/>
  <c r="AB48" i="12" s="1"/>
  <c r="AC48" i="1"/>
  <c r="AD48" i="1"/>
  <c r="AE48" i="1"/>
  <c r="AE48" i="12" s="1"/>
  <c r="AF48" i="1"/>
  <c r="AF48" i="12" s="1"/>
  <c r="AG48" i="1"/>
  <c r="AH48" i="1"/>
  <c r="AI48" i="1"/>
  <c r="AI48" i="12" s="1"/>
  <c r="AJ48" i="1"/>
  <c r="AJ48" i="12" s="1"/>
  <c r="AK48" i="1"/>
  <c r="AL48" i="1"/>
  <c r="AM48" i="1"/>
  <c r="AM48" i="12" s="1"/>
  <c r="AN48" i="1"/>
  <c r="AN48" i="12" s="1"/>
  <c r="AO48" i="1"/>
  <c r="AP48" i="1"/>
  <c r="AQ48" i="1"/>
  <c r="AQ48" i="12" s="1"/>
  <c r="AR48" i="1"/>
  <c r="AS48" i="1"/>
  <c r="AT48" i="1"/>
  <c r="AU48" i="1"/>
  <c r="AV48" i="1"/>
  <c r="AW48" i="1"/>
  <c r="AX48" i="1"/>
  <c r="AY48" i="1"/>
  <c r="AZ48" i="1"/>
  <c r="C49" i="1"/>
  <c r="D49" i="1"/>
  <c r="E49" i="1"/>
  <c r="F49" i="1"/>
  <c r="G49" i="1"/>
  <c r="H49" i="1"/>
  <c r="I49" i="1"/>
  <c r="J49" i="1"/>
  <c r="K49" i="1"/>
  <c r="L49" i="1"/>
  <c r="M49" i="1"/>
  <c r="M49" i="12" s="1"/>
  <c r="N49" i="1"/>
  <c r="N49" i="12" s="1"/>
  <c r="O49" i="1"/>
  <c r="P49" i="1"/>
  <c r="Q49" i="1"/>
  <c r="Q49" i="12" s="1"/>
  <c r="R49" i="1"/>
  <c r="R49" i="12" s="1"/>
  <c r="S49" i="1"/>
  <c r="T49" i="1"/>
  <c r="U49" i="1"/>
  <c r="U49" i="12" s="1"/>
  <c r="V49" i="1"/>
  <c r="V49" i="12" s="1"/>
  <c r="W49" i="1"/>
  <c r="X49" i="1"/>
  <c r="Y49" i="1"/>
  <c r="Y49" i="12" s="1"/>
  <c r="Z49" i="1"/>
  <c r="Z49" i="12" s="1"/>
  <c r="AA49" i="1"/>
  <c r="AB49" i="1"/>
  <c r="AC49" i="1"/>
  <c r="AC49" i="12" s="1"/>
  <c r="AD49" i="1"/>
  <c r="AD49" i="12" s="1"/>
  <c r="AE49" i="1"/>
  <c r="AF49" i="1"/>
  <c r="AG49" i="1"/>
  <c r="AG49" i="12" s="1"/>
  <c r="AH49" i="1"/>
  <c r="AH49" i="12" s="1"/>
  <c r="AI49" i="1"/>
  <c r="AJ49" i="1"/>
  <c r="AK49" i="1"/>
  <c r="AK49" i="12" s="1"/>
  <c r="AL49" i="1"/>
  <c r="AL49" i="12" s="1"/>
  <c r="AM49" i="1"/>
  <c r="AN49" i="1"/>
  <c r="AO49" i="1"/>
  <c r="AO49" i="12" s="1"/>
  <c r="AP49" i="1"/>
  <c r="AP49" i="12" s="1"/>
  <c r="AQ49" i="1"/>
  <c r="AR49" i="1"/>
  <c r="AS49" i="1"/>
  <c r="AT49" i="1"/>
  <c r="AU49" i="1"/>
  <c r="AV49" i="1"/>
  <c r="AW49" i="1"/>
  <c r="AX49" i="1"/>
  <c r="AY49" i="1"/>
  <c r="AZ49" i="1"/>
  <c r="C50" i="1"/>
  <c r="D50" i="1"/>
  <c r="E50" i="1"/>
  <c r="F50" i="1"/>
  <c r="G50" i="1"/>
  <c r="H50" i="1"/>
  <c r="I50" i="1"/>
  <c r="J50" i="1"/>
  <c r="K50" i="1"/>
  <c r="L50" i="1"/>
  <c r="L50" i="12" s="1"/>
  <c r="M50" i="1"/>
  <c r="N50" i="1"/>
  <c r="O50" i="1"/>
  <c r="O50" i="12" s="1"/>
  <c r="P50" i="1"/>
  <c r="P50" i="12" s="1"/>
  <c r="Q50" i="1"/>
  <c r="R50" i="1"/>
  <c r="S50" i="1"/>
  <c r="S50" i="12" s="1"/>
  <c r="T50" i="1"/>
  <c r="T50" i="12" s="1"/>
  <c r="U50" i="1"/>
  <c r="V50" i="1"/>
  <c r="W50" i="1"/>
  <c r="X50" i="1"/>
  <c r="X50" i="12" s="1"/>
  <c r="Y50" i="1"/>
  <c r="Z50" i="1"/>
  <c r="AA50" i="1"/>
  <c r="AA50" i="12" s="1"/>
  <c r="AB50" i="1"/>
  <c r="AB50" i="12" s="1"/>
  <c r="AC50" i="1"/>
  <c r="AD50" i="1"/>
  <c r="AE50" i="1"/>
  <c r="AE50" i="12" s="1"/>
  <c r="AF50" i="1"/>
  <c r="AF50" i="12" s="1"/>
  <c r="AG50" i="1"/>
  <c r="AH50" i="1"/>
  <c r="AI50" i="1"/>
  <c r="AI50" i="12" s="1"/>
  <c r="AJ50" i="1"/>
  <c r="AJ50" i="12" s="1"/>
  <c r="AK50" i="1"/>
  <c r="AL50" i="1"/>
  <c r="AM50" i="1"/>
  <c r="AM50" i="12" s="1"/>
  <c r="AN50" i="1"/>
  <c r="AN50" i="12" s="1"/>
  <c r="AO50" i="1"/>
  <c r="AP50" i="1"/>
  <c r="AQ50" i="1"/>
  <c r="AQ50" i="12" s="1"/>
  <c r="AR50" i="1"/>
  <c r="AS50" i="1"/>
  <c r="AT50" i="1"/>
  <c r="AU50" i="1"/>
  <c r="AV50" i="1"/>
  <c r="AW50" i="1"/>
  <c r="AX50" i="1"/>
  <c r="AY50" i="1"/>
  <c r="AZ50" i="1"/>
  <c r="C51" i="1"/>
  <c r="D51" i="1"/>
  <c r="E51" i="1"/>
  <c r="E51" i="12" s="1"/>
  <c r="F51" i="1"/>
  <c r="F51" i="12" s="1"/>
  <c r="G51" i="1"/>
  <c r="H51" i="1"/>
  <c r="I51" i="1"/>
  <c r="I51" i="12" s="1"/>
  <c r="J51" i="1"/>
  <c r="J51" i="12" s="1"/>
  <c r="K51" i="1"/>
  <c r="L51" i="1"/>
  <c r="M51" i="1"/>
  <c r="M51" i="12" s="1"/>
  <c r="N51" i="1"/>
  <c r="N51" i="12" s="1"/>
  <c r="O51" i="1"/>
  <c r="P51" i="1"/>
  <c r="Q51" i="1"/>
  <c r="Q51" i="12" s="1"/>
  <c r="R51" i="1"/>
  <c r="R51" i="12" s="1"/>
  <c r="S51" i="1"/>
  <c r="T51" i="1"/>
  <c r="U51" i="1"/>
  <c r="V51" i="1"/>
  <c r="V51" i="12" s="1"/>
  <c r="W51" i="1"/>
  <c r="X51" i="1"/>
  <c r="Y51" i="1"/>
  <c r="Y51" i="12" s="1"/>
  <c r="Z51" i="1"/>
  <c r="Z51" i="12" s="1"/>
  <c r="AA51" i="1"/>
  <c r="AB51" i="1"/>
  <c r="AC51" i="1"/>
  <c r="AC51" i="12" s="1"/>
  <c r="AD51" i="1"/>
  <c r="AD51" i="12" s="1"/>
  <c r="AE51" i="1"/>
  <c r="AF51" i="1"/>
  <c r="AG51" i="1"/>
  <c r="AG51" i="12" s="1"/>
  <c r="AH51" i="1"/>
  <c r="AH51" i="12" s="1"/>
  <c r="AI51" i="1"/>
  <c r="AJ51" i="1"/>
  <c r="AK51" i="1"/>
  <c r="AK51" i="12" s="1"/>
  <c r="AL51" i="1"/>
  <c r="AL51" i="12" s="1"/>
  <c r="AM51" i="1"/>
  <c r="AN51" i="1"/>
  <c r="AO51" i="1"/>
  <c r="AO51" i="12" s="1"/>
  <c r="AP51" i="1"/>
  <c r="AP51" i="12" s="1"/>
  <c r="AQ51" i="1"/>
  <c r="AR51" i="1"/>
  <c r="AS51" i="1"/>
  <c r="AT51" i="1"/>
  <c r="AU51" i="1"/>
  <c r="AV51" i="1"/>
  <c r="AW51" i="1"/>
  <c r="AX51" i="1"/>
  <c r="AY51" i="1"/>
  <c r="AZ51" i="1"/>
  <c r="C52" i="1"/>
  <c r="C52" i="12" s="1"/>
  <c r="D52" i="1"/>
  <c r="D52" i="12" s="1"/>
  <c r="E52" i="1"/>
  <c r="F52" i="1"/>
  <c r="G52" i="1"/>
  <c r="G52" i="12" s="1"/>
  <c r="H52" i="1"/>
  <c r="H52" i="12" s="1"/>
  <c r="I52" i="1"/>
  <c r="J52" i="1"/>
  <c r="K52" i="1"/>
  <c r="K52" i="12" s="1"/>
  <c r="L52" i="1"/>
  <c r="L52" i="12" s="1"/>
  <c r="M52" i="1"/>
  <c r="N52" i="1"/>
  <c r="O52" i="1"/>
  <c r="O52" i="12" s="1"/>
  <c r="P52" i="1"/>
  <c r="P52" i="12" s="1"/>
  <c r="Q52" i="1"/>
  <c r="R52" i="1"/>
  <c r="S52" i="1"/>
  <c r="S52" i="12" s="1"/>
  <c r="T52" i="1"/>
  <c r="T52" i="12" s="1"/>
  <c r="U52" i="1"/>
  <c r="V52" i="1"/>
  <c r="W52" i="1"/>
  <c r="W52" i="12" s="1"/>
  <c r="X52" i="1"/>
  <c r="X52" i="12" s="1"/>
  <c r="Y52" i="1"/>
  <c r="Z52" i="1"/>
  <c r="AA52" i="1"/>
  <c r="AA52" i="12" s="1"/>
  <c r="AB52" i="1"/>
  <c r="AB52" i="12" s="1"/>
  <c r="AC52" i="1"/>
  <c r="AD52" i="1"/>
  <c r="AE52" i="1"/>
  <c r="AE52" i="12" s="1"/>
  <c r="AF52" i="1"/>
  <c r="AF52" i="12" s="1"/>
  <c r="AG52" i="1"/>
  <c r="AH52" i="1"/>
  <c r="AI52" i="1"/>
  <c r="AI52" i="12" s="1"/>
  <c r="AJ52" i="1"/>
  <c r="AJ52" i="12" s="1"/>
  <c r="AK52" i="1"/>
  <c r="AL52" i="1"/>
  <c r="AM52" i="1"/>
  <c r="AM52" i="12" s="1"/>
  <c r="AN52" i="1"/>
  <c r="AN52" i="12" s="1"/>
  <c r="AO52" i="1"/>
  <c r="AP52" i="1"/>
  <c r="AQ52" i="1"/>
  <c r="AQ52" i="12" s="1"/>
  <c r="AR52" i="1"/>
  <c r="AS52" i="1"/>
  <c r="AT52" i="1"/>
  <c r="AU52" i="1"/>
  <c r="AV52" i="1"/>
  <c r="AW52" i="1"/>
  <c r="AX52" i="1"/>
  <c r="AY52" i="1"/>
  <c r="AZ52" i="1"/>
  <c r="C53" i="1"/>
  <c r="D53" i="1"/>
  <c r="E53" i="1"/>
  <c r="E53" i="12" s="1"/>
  <c r="F53" i="1"/>
  <c r="F53" i="12" s="1"/>
  <c r="G53" i="1"/>
  <c r="H53" i="1"/>
  <c r="I53" i="1"/>
  <c r="I53" i="12" s="1"/>
  <c r="J53" i="1"/>
  <c r="J53" i="12" s="1"/>
  <c r="K53" i="1"/>
  <c r="L53" i="1"/>
  <c r="M53" i="1"/>
  <c r="M53" i="12" s="1"/>
  <c r="N53" i="1"/>
  <c r="N53" i="12" s="1"/>
  <c r="O53" i="1"/>
  <c r="P53" i="1"/>
  <c r="Q53" i="1"/>
  <c r="Q53" i="12" s="1"/>
  <c r="R53" i="1"/>
  <c r="R53" i="12" s="1"/>
  <c r="S53" i="1"/>
  <c r="T53" i="1"/>
  <c r="U53" i="1"/>
  <c r="U53" i="12" s="1"/>
  <c r="V53" i="1"/>
  <c r="V53" i="12" s="1"/>
  <c r="W53" i="1"/>
  <c r="X53" i="1"/>
  <c r="Y53" i="1"/>
  <c r="Y53" i="12" s="1"/>
  <c r="Z53" i="1"/>
  <c r="Z53" i="12" s="1"/>
  <c r="AA53" i="1"/>
  <c r="AB53" i="1"/>
  <c r="AC53" i="1"/>
  <c r="AC53" i="12" s="1"/>
  <c r="AD53" i="1"/>
  <c r="AD53" i="12" s="1"/>
  <c r="AE53" i="1"/>
  <c r="AF53" i="1"/>
  <c r="AG53" i="1"/>
  <c r="AG53" i="12" s="1"/>
  <c r="AH53" i="1"/>
  <c r="AH53" i="12" s="1"/>
  <c r="AI53" i="1"/>
  <c r="AJ53" i="1"/>
  <c r="AK53" i="1"/>
  <c r="AL53" i="1"/>
  <c r="AL53" i="12" s="1"/>
  <c r="AM53" i="1"/>
  <c r="AN53" i="1"/>
  <c r="AO53" i="1"/>
  <c r="AO53" i="12" s="1"/>
  <c r="AP53" i="1"/>
  <c r="AP53" i="12" s="1"/>
  <c r="AQ53" i="1"/>
  <c r="AR53" i="1"/>
  <c r="AS53" i="1"/>
  <c r="AT53" i="1"/>
  <c r="AU53" i="1"/>
  <c r="AV53" i="1"/>
  <c r="AW53" i="1"/>
  <c r="AX53" i="1"/>
  <c r="AY53" i="1"/>
  <c r="AZ53" i="1"/>
  <c r="C54" i="1"/>
  <c r="C54" i="12" s="1"/>
  <c r="D54" i="1"/>
  <c r="D54" i="12" s="1"/>
  <c r="E54" i="1"/>
  <c r="F54" i="1"/>
  <c r="G54" i="1"/>
  <c r="G54" i="12" s="1"/>
  <c r="H54" i="1"/>
  <c r="H54" i="12" s="1"/>
  <c r="I54" i="1"/>
  <c r="J54" i="1"/>
  <c r="K54" i="1"/>
  <c r="K54" i="12" s="1"/>
  <c r="L54" i="1"/>
  <c r="L54" i="12" s="1"/>
  <c r="M54" i="1"/>
  <c r="N54" i="1"/>
  <c r="O54" i="1"/>
  <c r="O54" i="12" s="1"/>
  <c r="P54" i="1"/>
  <c r="P54" i="12" s="1"/>
  <c r="Q54" i="1"/>
  <c r="R54" i="1"/>
  <c r="S54" i="1"/>
  <c r="S54" i="12" s="1"/>
  <c r="T54" i="1"/>
  <c r="T54" i="12" s="1"/>
  <c r="U54" i="1"/>
  <c r="V54" i="1"/>
  <c r="W54" i="1"/>
  <c r="W54" i="12" s="1"/>
  <c r="X54" i="1"/>
  <c r="X54" i="12" s="1"/>
  <c r="Y54" i="1"/>
  <c r="Z54" i="1"/>
  <c r="AA54" i="1"/>
  <c r="AA54" i="12" s="1"/>
  <c r="AB54" i="1"/>
  <c r="AB54" i="12" s="1"/>
  <c r="AC54" i="1"/>
  <c r="AD54" i="1"/>
  <c r="AE54" i="1"/>
  <c r="AE54" i="12" s="1"/>
  <c r="AF54" i="1"/>
  <c r="AF54" i="12" s="1"/>
  <c r="AG54" i="1"/>
  <c r="AH54" i="1"/>
  <c r="AI54" i="1"/>
  <c r="AI54" i="12" s="1"/>
  <c r="AJ54" i="1"/>
  <c r="AJ54" i="12" s="1"/>
  <c r="AK54" i="1"/>
  <c r="AL54" i="1"/>
  <c r="AM54" i="1"/>
  <c r="AM54" i="12" s="1"/>
  <c r="AN54" i="1"/>
  <c r="AN54" i="12" s="1"/>
  <c r="AO54" i="1"/>
  <c r="AP54" i="1"/>
  <c r="AQ54" i="1"/>
  <c r="AQ54" i="12" s="1"/>
  <c r="AR54" i="1"/>
  <c r="AS54" i="1"/>
  <c r="AT54" i="1"/>
  <c r="AU54" i="1"/>
  <c r="AV54" i="1"/>
  <c r="AW54" i="1"/>
  <c r="AX54" i="1"/>
  <c r="AY54" i="1"/>
  <c r="AZ54" i="1"/>
  <c r="C55" i="1"/>
  <c r="D55" i="1"/>
  <c r="E55" i="1"/>
  <c r="E55" i="12" s="1"/>
  <c r="F55" i="1"/>
  <c r="F55" i="12" s="1"/>
  <c r="G55" i="1"/>
  <c r="H55" i="1"/>
  <c r="I55" i="1"/>
  <c r="I55" i="12" s="1"/>
  <c r="J55" i="1"/>
  <c r="J55" i="12" s="1"/>
  <c r="K55" i="1"/>
  <c r="L55" i="1"/>
  <c r="M55" i="1"/>
  <c r="N55" i="1"/>
  <c r="N55" i="12" s="1"/>
  <c r="O55" i="1"/>
  <c r="P55" i="1"/>
  <c r="Q55" i="1"/>
  <c r="Q55" i="12" s="1"/>
  <c r="R55" i="1"/>
  <c r="R55" i="12" s="1"/>
  <c r="S55" i="1"/>
  <c r="T55" i="1"/>
  <c r="U55" i="1"/>
  <c r="U55" i="12" s="1"/>
  <c r="V55" i="1"/>
  <c r="V55" i="12" s="1"/>
  <c r="W55" i="1"/>
  <c r="X55" i="1"/>
  <c r="Y55" i="1"/>
  <c r="Y55" i="12" s="1"/>
  <c r="Z55" i="1"/>
  <c r="Z55" i="12" s="1"/>
  <c r="AA55" i="1"/>
  <c r="AB55" i="1"/>
  <c r="AC55" i="1"/>
  <c r="AC55" i="12" s="1"/>
  <c r="AD55" i="1"/>
  <c r="AD55" i="12" s="1"/>
  <c r="AE55" i="1"/>
  <c r="AF55" i="1"/>
  <c r="AG55" i="1"/>
  <c r="AG55" i="12" s="1"/>
  <c r="AH55" i="1"/>
  <c r="AH55" i="12" s="1"/>
  <c r="AI55" i="1"/>
  <c r="AJ55" i="1"/>
  <c r="AK55" i="1"/>
  <c r="AK55" i="12" s="1"/>
  <c r="AL55" i="1"/>
  <c r="AL55" i="12" s="1"/>
  <c r="AM55" i="1"/>
  <c r="AN55" i="1"/>
  <c r="AO55" i="1"/>
  <c r="AO55" i="12" s="1"/>
  <c r="AP55" i="1"/>
  <c r="AP55" i="12" s="1"/>
  <c r="AQ55" i="1"/>
  <c r="AR55" i="1"/>
  <c r="AS55" i="1"/>
  <c r="AT55" i="1"/>
  <c r="AU55" i="1"/>
  <c r="AV55" i="1"/>
  <c r="AW55" i="1"/>
  <c r="AX55" i="1"/>
  <c r="AY55" i="1"/>
  <c r="AZ55" i="1"/>
  <c r="C56" i="1"/>
  <c r="C56" i="12" s="1"/>
  <c r="D56" i="1"/>
  <c r="D56" i="12" s="1"/>
  <c r="E56" i="1"/>
  <c r="F56" i="1"/>
  <c r="G56" i="1"/>
  <c r="G56" i="12" s="1"/>
  <c r="H56" i="1"/>
  <c r="H56" i="12" s="1"/>
  <c r="I56" i="1"/>
  <c r="J56" i="1"/>
  <c r="K56" i="1"/>
  <c r="K56" i="12" s="1"/>
  <c r="L56" i="1"/>
  <c r="L56" i="12" s="1"/>
  <c r="M56" i="1"/>
  <c r="N56" i="1"/>
  <c r="O56" i="1"/>
  <c r="O56" i="12" s="1"/>
  <c r="P56" i="1"/>
  <c r="P56" i="12" s="1"/>
  <c r="Q56" i="1"/>
  <c r="R56" i="1"/>
  <c r="S56" i="1"/>
  <c r="S56" i="12" s="1"/>
  <c r="T56" i="1"/>
  <c r="T56" i="12" s="1"/>
  <c r="U56" i="1"/>
  <c r="V56" i="1"/>
  <c r="W56" i="1"/>
  <c r="W56" i="12" s="1"/>
  <c r="X56" i="1"/>
  <c r="X56" i="12" s="1"/>
  <c r="Y56" i="1"/>
  <c r="Z56" i="1"/>
  <c r="AA56" i="1"/>
  <c r="AA56" i="12" s="1"/>
  <c r="AB56" i="1"/>
  <c r="AB56" i="12" s="1"/>
  <c r="AC56" i="1"/>
  <c r="AD56" i="1"/>
  <c r="AE56" i="1"/>
  <c r="AE56" i="12" s="1"/>
  <c r="AF56" i="1"/>
  <c r="AF56" i="12" s="1"/>
  <c r="AG56" i="1"/>
  <c r="AH56" i="1"/>
  <c r="AI56" i="1"/>
  <c r="AI56" i="12" s="1"/>
  <c r="AJ56" i="1"/>
  <c r="AJ56" i="12" s="1"/>
  <c r="AK56" i="1"/>
  <c r="AL56" i="1"/>
  <c r="AM56" i="1"/>
  <c r="AN56" i="1"/>
  <c r="AN56" i="12" s="1"/>
  <c r="AO56" i="1"/>
  <c r="AP56" i="1"/>
  <c r="AQ56" i="1"/>
  <c r="AQ56" i="12" s="1"/>
  <c r="AR56" i="1"/>
  <c r="AS56" i="1"/>
  <c r="AT56" i="1"/>
  <c r="AU56" i="1"/>
  <c r="AV56" i="1"/>
  <c r="AW56" i="1"/>
  <c r="AX56" i="1"/>
  <c r="AY56" i="1"/>
  <c r="AZ56" i="1"/>
  <c r="C57" i="1"/>
  <c r="D57" i="1"/>
  <c r="E57" i="1"/>
  <c r="E57" i="12" s="1"/>
  <c r="F57" i="1"/>
  <c r="F57" i="12" s="1"/>
  <c r="G57" i="1"/>
  <c r="H57" i="1"/>
  <c r="I57" i="1"/>
  <c r="I57" i="12" s="1"/>
  <c r="J57" i="1"/>
  <c r="J57" i="12" s="1"/>
  <c r="K57" i="1"/>
  <c r="L57" i="1"/>
  <c r="M57" i="1"/>
  <c r="M57" i="12" s="1"/>
  <c r="N57" i="1"/>
  <c r="N57" i="12" s="1"/>
  <c r="O57" i="1"/>
  <c r="P57" i="1"/>
  <c r="Q57" i="1"/>
  <c r="Q57" i="12" s="1"/>
  <c r="R57" i="1"/>
  <c r="R57" i="12" s="1"/>
  <c r="S57" i="1"/>
  <c r="T57" i="1"/>
  <c r="U57" i="1"/>
  <c r="U57" i="12" s="1"/>
  <c r="V57" i="1"/>
  <c r="V57" i="12" s="1"/>
  <c r="W57" i="1"/>
  <c r="X57" i="1"/>
  <c r="Y57" i="1"/>
  <c r="Z57" i="1"/>
  <c r="Z57" i="12" s="1"/>
  <c r="AA57" i="1"/>
  <c r="AB57" i="1"/>
  <c r="AC57" i="1"/>
  <c r="AC57" i="12" s="1"/>
  <c r="AD57" i="1"/>
  <c r="AD57" i="12" s="1"/>
  <c r="AE57" i="1"/>
  <c r="AF57" i="1"/>
  <c r="AG57" i="1"/>
  <c r="AG57" i="12" s="1"/>
  <c r="AH57" i="1"/>
  <c r="AH57" i="12" s="1"/>
  <c r="AI57" i="1"/>
  <c r="AJ57" i="1"/>
  <c r="AK57" i="1"/>
  <c r="AK57" i="12" s="1"/>
  <c r="AL57" i="1"/>
  <c r="AL57" i="12" s="1"/>
  <c r="AM57" i="1"/>
  <c r="AN57" i="1"/>
  <c r="AO57" i="1"/>
  <c r="AO57" i="12" s="1"/>
  <c r="AP57" i="1"/>
  <c r="AP57" i="12" s="1"/>
  <c r="AQ57" i="1"/>
  <c r="AR57" i="1"/>
  <c r="AS57" i="1"/>
  <c r="AT57" i="1"/>
  <c r="AU57" i="1"/>
  <c r="AV57" i="1"/>
  <c r="AW57" i="1"/>
  <c r="AX57" i="1"/>
  <c r="AY57" i="1"/>
  <c r="AZ57" i="1"/>
  <c r="C58" i="1"/>
  <c r="C58" i="12" s="1"/>
  <c r="D58" i="1"/>
  <c r="D58" i="12" s="1"/>
  <c r="E58" i="1"/>
  <c r="F58" i="1"/>
  <c r="G58" i="1"/>
  <c r="G58" i="12" s="1"/>
  <c r="H58" i="1"/>
  <c r="H58" i="12" s="1"/>
  <c r="I58" i="1"/>
  <c r="J58" i="1"/>
  <c r="K58" i="1"/>
  <c r="K58" i="12" s="1"/>
  <c r="L58" i="1"/>
  <c r="L58" i="12" s="1"/>
  <c r="M58" i="1"/>
  <c r="N58" i="1"/>
  <c r="O58" i="1"/>
  <c r="O58" i="12" s="1"/>
  <c r="P58" i="1"/>
  <c r="P58" i="12" s="1"/>
  <c r="Q58" i="1"/>
  <c r="R58" i="1"/>
  <c r="S58" i="1"/>
  <c r="S58" i="12" s="1"/>
  <c r="T58" i="1"/>
  <c r="T58" i="12" s="1"/>
  <c r="U58" i="1"/>
  <c r="V58" i="1"/>
  <c r="W58" i="1"/>
  <c r="W58" i="12" s="1"/>
  <c r="X58" i="1"/>
  <c r="X58" i="12" s="1"/>
  <c r="Y58" i="1"/>
  <c r="Z58" i="1"/>
  <c r="AA58" i="1"/>
  <c r="AA58" i="12" s="1"/>
  <c r="AB58" i="1"/>
  <c r="AB58" i="12" s="1"/>
  <c r="AC58" i="1"/>
  <c r="AD58" i="1"/>
  <c r="AE58" i="1"/>
  <c r="AE58" i="12" s="1"/>
  <c r="AF58" i="1"/>
  <c r="AF58" i="12" s="1"/>
  <c r="AG58" i="1"/>
  <c r="AH58" i="1"/>
  <c r="AI58" i="1"/>
  <c r="AI58" i="12" s="1"/>
  <c r="AJ58" i="1"/>
  <c r="AJ58" i="12" s="1"/>
  <c r="AK58" i="1"/>
  <c r="AL58" i="1"/>
  <c r="AM58" i="1"/>
  <c r="AM58" i="12" s="1"/>
  <c r="AN58" i="1"/>
  <c r="AN58" i="12" s="1"/>
  <c r="AO58" i="1"/>
  <c r="AP58" i="1"/>
  <c r="AQ58" i="1"/>
  <c r="AQ58" i="12" s="1"/>
  <c r="AR58" i="1"/>
  <c r="AS58" i="1"/>
  <c r="AT58" i="1"/>
  <c r="AU58" i="1"/>
  <c r="AV58" i="1"/>
  <c r="AW58" i="1"/>
  <c r="AX58" i="1"/>
  <c r="AY58" i="1"/>
  <c r="AZ58" i="1"/>
  <c r="C59" i="1"/>
  <c r="D59" i="1"/>
  <c r="E59" i="1"/>
  <c r="E59" i="12" s="1"/>
  <c r="F59" i="1"/>
  <c r="F59" i="12" s="1"/>
  <c r="G59" i="1"/>
  <c r="H59" i="1"/>
  <c r="I59" i="1"/>
  <c r="I59" i="12" s="1"/>
  <c r="J59" i="1"/>
  <c r="J59" i="12" s="1"/>
  <c r="K59" i="1"/>
  <c r="L59" i="1"/>
  <c r="M59" i="1"/>
  <c r="M59" i="12" s="1"/>
  <c r="N59" i="1"/>
  <c r="N59" i="12" s="1"/>
  <c r="O59" i="1"/>
  <c r="P59" i="1"/>
  <c r="Q59" i="1"/>
  <c r="Q59" i="12" s="1"/>
  <c r="R59" i="1"/>
  <c r="R59" i="12" s="1"/>
  <c r="S59" i="1"/>
  <c r="T59" i="1"/>
  <c r="U59" i="1"/>
  <c r="U59" i="12" s="1"/>
  <c r="V59" i="1"/>
  <c r="V59" i="12" s="1"/>
  <c r="W59" i="1"/>
  <c r="X59" i="1"/>
  <c r="Y59" i="1"/>
  <c r="Y59" i="12" s="1"/>
  <c r="Z59" i="1"/>
  <c r="Z59" i="12" s="1"/>
  <c r="AA59" i="1"/>
  <c r="AB59" i="1"/>
  <c r="AC59" i="1"/>
  <c r="AC59" i="12" s="1"/>
  <c r="AD59" i="1"/>
  <c r="AD59" i="12" s="1"/>
  <c r="AE59" i="1"/>
  <c r="AF59" i="1"/>
  <c r="AG59" i="1"/>
  <c r="AG59" i="12" s="1"/>
  <c r="AH59" i="1"/>
  <c r="AH59" i="12" s="1"/>
  <c r="AI59" i="1"/>
  <c r="AJ59" i="1"/>
  <c r="AK59" i="1"/>
  <c r="AK59" i="12" s="1"/>
  <c r="AL59" i="1"/>
  <c r="AL59" i="12" s="1"/>
  <c r="AM59" i="1"/>
  <c r="AN59" i="1"/>
  <c r="AO59" i="1"/>
  <c r="AP59" i="1"/>
  <c r="AP59" i="12" s="1"/>
  <c r="AQ59" i="1"/>
  <c r="AR59" i="1"/>
  <c r="AS59" i="1"/>
  <c r="AT59" i="1"/>
  <c r="AU59" i="1"/>
  <c r="AV59" i="1"/>
  <c r="AW59" i="1"/>
  <c r="AX59" i="1"/>
  <c r="AY59" i="1"/>
  <c r="AZ59" i="1"/>
  <c r="C60" i="1"/>
  <c r="C60" i="12" s="1"/>
  <c r="D60" i="1"/>
  <c r="D60" i="12" s="1"/>
  <c r="E60" i="1"/>
  <c r="F60" i="1"/>
  <c r="G60" i="1"/>
  <c r="G60" i="12" s="1"/>
  <c r="H60" i="1"/>
  <c r="H60" i="12" s="1"/>
  <c r="I60" i="1"/>
  <c r="J60" i="1"/>
  <c r="K60" i="1"/>
  <c r="K60" i="12" s="1"/>
  <c r="L60" i="1"/>
  <c r="L60" i="12" s="1"/>
  <c r="M60" i="1"/>
  <c r="N60" i="1"/>
  <c r="O60" i="1"/>
  <c r="O60" i="12" s="1"/>
  <c r="P60" i="1"/>
  <c r="P60" i="12" s="1"/>
  <c r="Q60" i="1"/>
  <c r="R60" i="1"/>
  <c r="S60" i="1"/>
  <c r="S60" i="12" s="1"/>
  <c r="T60" i="1"/>
  <c r="T60" i="12" s="1"/>
  <c r="U60" i="1"/>
  <c r="V60" i="1"/>
  <c r="W60" i="1"/>
  <c r="W60" i="12" s="1"/>
  <c r="X60" i="1"/>
  <c r="X60" i="12" s="1"/>
  <c r="Y60" i="1"/>
  <c r="Z60" i="1"/>
  <c r="AA60" i="1"/>
  <c r="AA60" i="12" s="1"/>
  <c r="AB60" i="1"/>
  <c r="AB60" i="12" s="1"/>
  <c r="AC60" i="1"/>
  <c r="AD60" i="1"/>
  <c r="AE60" i="1"/>
  <c r="AE60" i="12" s="1"/>
  <c r="AF60" i="1"/>
  <c r="AF60" i="12" s="1"/>
  <c r="AG60" i="1"/>
  <c r="AH60" i="1"/>
  <c r="AI60" i="1"/>
  <c r="AI60" i="12" s="1"/>
  <c r="AJ60" i="1"/>
  <c r="AJ60" i="12" s="1"/>
  <c r="AK60" i="1"/>
  <c r="AL60" i="1"/>
  <c r="AM60" i="1"/>
  <c r="AM60" i="12" s="1"/>
  <c r="AN60" i="1"/>
  <c r="AN60" i="12" s="1"/>
  <c r="AO60" i="1"/>
  <c r="AP60" i="1"/>
  <c r="AQ60" i="1"/>
  <c r="AQ60" i="12" s="1"/>
  <c r="AR60" i="1"/>
  <c r="AS60" i="1"/>
  <c r="AT60" i="1"/>
  <c r="AU60" i="1"/>
  <c r="AV60" i="1"/>
  <c r="AW60" i="1"/>
  <c r="AX60" i="1"/>
  <c r="AY60" i="1"/>
  <c r="AZ60" i="1"/>
  <c r="C61" i="1"/>
  <c r="D61" i="1"/>
  <c r="E61" i="1"/>
  <c r="E61" i="12" s="1"/>
  <c r="F61" i="1"/>
  <c r="F61" i="12" s="1"/>
  <c r="G61" i="1"/>
  <c r="H61" i="1"/>
  <c r="I61" i="1"/>
  <c r="I61" i="12" s="1"/>
  <c r="J61" i="1"/>
  <c r="J61" i="12" s="1"/>
  <c r="K61" i="1"/>
  <c r="L61" i="1"/>
  <c r="M61" i="1"/>
  <c r="N61" i="1"/>
  <c r="N61" i="12" s="1"/>
  <c r="O61" i="1"/>
  <c r="P61" i="1"/>
  <c r="Q61" i="1"/>
  <c r="R61" i="1"/>
  <c r="R61" i="12" s="1"/>
  <c r="S61" i="1"/>
  <c r="T61" i="1"/>
  <c r="U61" i="1"/>
  <c r="U61" i="12" s="1"/>
  <c r="V61" i="1"/>
  <c r="V61" i="12" s="1"/>
  <c r="W61" i="1"/>
  <c r="X61" i="1"/>
  <c r="Y61" i="1"/>
  <c r="Y61" i="12" s="1"/>
  <c r="Z61" i="1"/>
  <c r="Z61" i="12" s="1"/>
  <c r="AA61" i="1"/>
  <c r="AB61" i="1"/>
  <c r="AC61" i="1"/>
  <c r="AC61" i="12" s="1"/>
  <c r="AD61" i="1"/>
  <c r="AD61" i="12" s="1"/>
  <c r="AE61" i="1"/>
  <c r="AF61" i="1"/>
  <c r="AG61" i="1"/>
  <c r="AG61" i="12" s="1"/>
  <c r="AH61" i="1"/>
  <c r="AH61" i="12" s="1"/>
  <c r="AI61" i="1"/>
  <c r="AJ61" i="1"/>
  <c r="AK61" i="1"/>
  <c r="AK61" i="12" s="1"/>
  <c r="AL61" i="1"/>
  <c r="AL61" i="12" s="1"/>
  <c r="AM61" i="1"/>
  <c r="AN61" i="1"/>
  <c r="AO61" i="1"/>
  <c r="AO61" i="12" s="1"/>
  <c r="AP61" i="1"/>
  <c r="AP61" i="12" s="1"/>
  <c r="AQ61" i="1"/>
  <c r="AR61" i="1"/>
  <c r="AS61" i="1"/>
  <c r="AT61" i="1"/>
  <c r="AU61" i="1"/>
  <c r="AV61" i="1"/>
  <c r="AW61" i="1"/>
  <c r="AX61" i="1"/>
  <c r="AY61" i="1"/>
  <c r="AZ61" i="1"/>
  <c r="C62" i="1"/>
  <c r="D62" i="1"/>
  <c r="D62" i="12" s="1"/>
  <c r="E62" i="1"/>
  <c r="F62" i="1"/>
  <c r="G62" i="1"/>
  <c r="G62" i="12" s="1"/>
  <c r="H62" i="1"/>
  <c r="H62" i="12" s="1"/>
  <c r="I62" i="1"/>
  <c r="J62" i="1"/>
  <c r="K62" i="1"/>
  <c r="K62" i="12" s="1"/>
  <c r="L62" i="1"/>
  <c r="L62" i="12" s="1"/>
  <c r="M62" i="1"/>
  <c r="N62" i="1"/>
  <c r="O62" i="1"/>
  <c r="O62" i="12" s="1"/>
  <c r="P62" i="1"/>
  <c r="P62" i="12" s="1"/>
  <c r="Q62" i="1"/>
  <c r="R62" i="1"/>
  <c r="S62" i="1"/>
  <c r="S62" i="12" s="1"/>
  <c r="T62" i="1"/>
  <c r="T62" i="12" s="1"/>
  <c r="U62" i="1"/>
  <c r="V62" i="1"/>
  <c r="W62" i="1"/>
  <c r="W62" i="12" s="1"/>
  <c r="X62" i="1"/>
  <c r="X62" i="12" s="1"/>
  <c r="Y62" i="1"/>
  <c r="Z62" i="1"/>
  <c r="AA62" i="1"/>
  <c r="AA62" i="12" s="1"/>
  <c r="AB62" i="1"/>
  <c r="AB62" i="12" s="1"/>
  <c r="AC62" i="1"/>
  <c r="AD62" i="1"/>
  <c r="AE62" i="1"/>
  <c r="AE62" i="12" s="1"/>
  <c r="AF62" i="1"/>
  <c r="AF62" i="12" s="1"/>
  <c r="AG62" i="1"/>
  <c r="AH62" i="1"/>
  <c r="AI62" i="1"/>
  <c r="AI62" i="12" s="1"/>
  <c r="AJ62" i="1"/>
  <c r="AJ62" i="12" s="1"/>
  <c r="AK62" i="1"/>
  <c r="AL62" i="1"/>
  <c r="AM62" i="1"/>
  <c r="AM62" i="12" s="1"/>
  <c r="AN62" i="1"/>
  <c r="AN62" i="12" s="1"/>
  <c r="AO62" i="1"/>
  <c r="AP62" i="1"/>
  <c r="AQ62" i="1"/>
  <c r="AQ62" i="12" s="1"/>
  <c r="AR62" i="1"/>
  <c r="AS62" i="1"/>
  <c r="AT62" i="1"/>
  <c r="AU62" i="1"/>
  <c r="AV62" i="1"/>
  <c r="AW62" i="1"/>
  <c r="AX62" i="1"/>
  <c r="AY62" i="1"/>
  <c r="AZ62" i="1"/>
  <c r="C63" i="1"/>
  <c r="D63" i="1"/>
  <c r="E63" i="1"/>
  <c r="E63" i="12" s="1"/>
  <c r="F63" i="1"/>
  <c r="F63" i="12" s="1"/>
  <c r="G63" i="1"/>
  <c r="H63" i="1"/>
  <c r="I63" i="1"/>
  <c r="I63" i="12" s="1"/>
  <c r="I63" i="3" s="1"/>
  <c r="J63" i="1"/>
  <c r="J63" i="12" s="1"/>
  <c r="K63" i="1"/>
  <c r="L63" i="1"/>
  <c r="M63" i="1"/>
  <c r="M63" i="12" s="1"/>
  <c r="N63" i="1"/>
  <c r="N63" i="12" s="1"/>
  <c r="O63" i="1"/>
  <c r="P63" i="1"/>
  <c r="Q63" i="1"/>
  <c r="Q63" i="12" s="1"/>
  <c r="R63" i="1"/>
  <c r="R63" i="12" s="1"/>
  <c r="S63" i="1"/>
  <c r="T63" i="1"/>
  <c r="U63" i="1"/>
  <c r="U63" i="12" s="1"/>
  <c r="V63" i="1"/>
  <c r="V63" i="12" s="1"/>
  <c r="W63" i="1"/>
  <c r="X63" i="1"/>
  <c r="Y63" i="1"/>
  <c r="Y63" i="12" s="1"/>
  <c r="Z63" i="1"/>
  <c r="Z63" i="12" s="1"/>
  <c r="AA63" i="1"/>
  <c r="AB63" i="1"/>
  <c r="AC63" i="1"/>
  <c r="AC63" i="12" s="1"/>
  <c r="AD63" i="1"/>
  <c r="AD63" i="12" s="1"/>
  <c r="AE63" i="1"/>
  <c r="AF63" i="1"/>
  <c r="AG63" i="1"/>
  <c r="AG63" i="12" s="1"/>
  <c r="AH63" i="1"/>
  <c r="AH63" i="12" s="1"/>
  <c r="AI63" i="1"/>
  <c r="AJ63" i="1"/>
  <c r="AK63" i="1"/>
  <c r="AK63" i="12" s="1"/>
  <c r="AL63" i="1"/>
  <c r="AL63" i="12" s="1"/>
  <c r="AM63" i="1"/>
  <c r="AN63" i="1"/>
  <c r="AO63" i="1"/>
  <c r="AO63" i="12" s="1"/>
  <c r="AP63" i="1"/>
  <c r="AP63" i="12" s="1"/>
  <c r="AQ63" i="1"/>
  <c r="AR63" i="1"/>
  <c r="AS63" i="1"/>
  <c r="AT63" i="1"/>
  <c r="AU63" i="1"/>
  <c r="AV63" i="1"/>
  <c r="AW63" i="1"/>
  <c r="AX63" i="1"/>
  <c r="AY63" i="1"/>
  <c r="AZ63" i="1"/>
  <c r="C64" i="1"/>
  <c r="C64" i="12" s="1"/>
  <c r="D64" i="1"/>
  <c r="D64" i="12" s="1"/>
  <c r="E64" i="1"/>
  <c r="F64" i="1"/>
  <c r="G64" i="1"/>
  <c r="G64" i="12" s="1"/>
  <c r="H64" i="1"/>
  <c r="H64" i="12" s="1"/>
  <c r="I64" i="1"/>
  <c r="J64" i="1"/>
  <c r="K64" i="1"/>
  <c r="K64" i="12" s="1"/>
  <c r="L64" i="1"/>
  <c r="L64" i="12" s="1"/>
  <c r="M64" i="1"/>
  <c r="N64" i="1"/>
  <c r="O64" i="1"/>
  <c r="O64" i="12" s="1"/>
  <c r="P64" i="1"/>
  <c r="P64" i="12" s="1"/>
  <c r="Q64" i="1"/>
  <c r="R64" i="1"/>
  <c r="S64" i="1"/>
  <c r="S64" i="12" s="1"/>
  <c r="T64" i="1"/>
  <c r="T64" i="12" s="1"/>
  <c r="U64" i="1"/>
  <c r="V64" i="1"/>
  <c r="W64" i="1"/>
  <c r="W64" i="12" s="1"/>
  <c r="X64" i="1"/>
  <c r="X64" i="12" s="1"/>
  <c r="Y64" i="1"/>
  <c r="Z64" i="1"/>
  <c r="AA64" i="1"/>
  <c r="AA64" i="12" s="1"/>
  <c r="AB64" i="1"/>
  <c r="AB64" i="12" s="1"/>
  <c r="AC64" i="1"/>
  <c r="AD64" i="1"/>
  <c r="AE64" i="1"/>
  <c r="AE64" i="12" s="1"/>
  <c r="AF64" i="1"/>
  <c r="AF64" i="12" s="1"/>
  <c r="AG64" i="1"/>
  <c r="AH64" i="1"/>
  <c r="AI64" i="1"/>
  <c r="AI64" i="12" s="1"/>
  <c r="AJ64" i="1"/>
  <c r="AJ64" i="12" s="1"/>
  <c r="AK64" i="1"/>
  <c r="AL64" i="1"/>
  <c r="AM64" i="1"/>
  <c r="AM64" i="12" s="1"/>
  <c r="AN64" i="1"/>
  <c r="AN64" i="12" s="1"/>
  <c r="AO64" i="1"/>
  <c r="AP64" i="1"/>
  <c r="AQ64" i="1"/>
  <c r="AQ64" i="12" s="1"/>
  <c r="AR64" i="1"/>
  <c r="AS64" i="1"/>
  <c r="AT64" i="1"/>
  <c r="AU64" i="1"/>
  <c r="AV64" i="1"/>
  <c r="AW64" i="1"/>
  <c r="AX64" i="1"/>
  <c r="AY64" i="1"/>
  <c r="AZ64" i="1"/>
  <c r="C65" i="1"/>
  <c r="D65" i="1"/>
  <c r="E65" i="1"/>
  <c r="F65" i="1"/>
  <c r="F65" i="12" s="1"/>
  <c r="G65" i="1"/>
  <c r="H65" i="1"/>
  <c r="I65" i="1"/>
  <c r="I65" i="12" s="1"/>
  <c r="J65" i="1"/>
  <c r="J65" i="12" s="1"/>
  <c r="K65" i="1"/>
  <c r="L65" i="1"/>
  <c r="M65" i="1"/>
  <c r="M65" i="12" s="1"/>
  <c r="N65" i="1"/>
  <c r="N65" i="12" s="1"/>
  <c r="O65" i="1"/>
  <c r="P65" i="1"/>
  <c r="Q65" i="1"/>
  <c r="Q65" i="12" s="1"/>
  <c r="R65" i="1"/>
  <c r="R65" i="12" s="1"/>
  <c r="S65" i="1"/>
  <c r="T65" i="1"/>
  <c r="U65" i="1"/>
  <c r="U65" i="12" s="1"/>
  <c r="V65" i="1"/>
  <c r="V65" i="12" s="1"/>
  <c r="W65" i="1"/>
  <c r="X65" i="1"/>
  <c r="Y65" i="1"/>
  <c r="Y65" i="12" s="1"/>
  <c r="Z65" i="1"/>
  <c r="Z65" i="12" s="1"/>
  <c r="AA65" i="1"/>
  <c r="AB65" i="1"/>
  <c r="AC65" i="1"/>
  <c r="AC65" i="12" s="1"/>
  <c r="AD65" i="1"/>
  <c r="AD65" i="12" s="1"/>
  <c r="AE65" i="1"/>
  <c r="AF65" i="1"/>
  <c r="AG65" i="1"/>
  <c r="AG65" i="12" s="1"/>
  <c r="AH65" i="1"/>
  <c r="AH65" i="12" s="1"/>
  <c r="AI65" i="1"/>
  <c r="AJ65" i="1"/>
  <c r="AK65" i="1"/>
  <c r="AK65" i="12" s="1"/>
  <c r="AL65" i="1"/>
  <c r="AL65" i="12" s="1"/>
  <c r="AM65" i="1"/>
  <c r="AN65" i="1"/>
  <c r="AO65" i="1"/>
  <c r="AP65" i="1"/>
  <c r="AP65" i="12" s="1"/>
  <c r="AQ65" i="1"/>
  <c r="AR65" i="1"/>
  <c r="AS65" i="1"/>
  <c r="AT65" i="1"/>
  <c r="AU65" i="1"/>
  <c r="AV65" i="1"/>
  <c r="AW65" i="1"/>
  <c r="AX65" i="1"/>
  <c r="AY65" i="1"/>
  <c r="AZ65" i="1"/>
  <c r="C66" i="1"/>
  <c r="C66" i="12" s="1"/>
  <c r="D66" i="1"/>
  <c r="D66" i="12" s="1"/>
  <c r="E66" i="1"/>
  <c r="F66" i="1"/>
  <c r="G66" i="1"/>
  <c r="G66" i="12" s="1"/>
  <c r="H66" i="1"/>
  <c r="H66" i="12" s="1"/>
  <c r="I66" i="1"/>
  <c r="J66" i="1"/>
  <c r="K66" i="1"/>
  <c r="K66" i="12" s="1"/>
  <c r="L66" i="1"/>
  <c r="L66" i="12" s="1"/>
  <c r="M66" i="1"/>
  <c r="N66" i="1"/>
  <c r="O66" i="1"/>
  <c r="O66" i="12" s="1"/>
  <c r="P66" i="1"/>
  <c r="P66" i="12" s="1"/>
  <c r="Q66" i="1"/>
  <c r="R66" i="1"/>
  <c r="S66" i="1"/>
  <c r="S66" i="12" s="1"/>
  <c r="T66" i="1"/>
  <c r="T66" i="12" s="1"/>
  <c r="U66" i="1"/>
  <c r="V66" i="1"/>
  <c r="W66" i="1"/>
  <c r="W66" i="12" s="1"/>
  <c r="X66" i="1"/>
  <c r="X66" i="12" s="1"/>
  <c r="Y66" i="1"/>
  <c r="Z66" i="1"/>
  <c r="AA66" i="1"/>
  <c r="AA66" i="12" s="1"/>
  <c r="AB66" i="1"/>
  <c r="AB66" i="12" s="1"/>
  <c r="AC66" i="1"/>
  <c r="AD66" i="1"/>
  <c r="AE66" i="1"/>
  <c r="AE66" i="12" s="1"/>
  <c r="AF66" i="1"/>
  <c r="AG66" i="1"/>
  <c r="AH66" i="1"/>
  <c r="AI66" i="1"/>
  <c r="AI66" i="12" s="1"/>
  <c r="AJ66" i="1"/>
  <c r="AJ66" i="12" s="1"/>
  <c r="AK66" i="1"/>
  <c r="AL66" i="1"/>
  <c r="AM66" i="1"/>
  <c r="AM66" i="12" s="1"/>
  <c r="AN66" i="1"/>
  <c r="AN66" i="12" s="1"/>
  <c r="AO66" i="1"/>
  <c r="AP66" i="1"/>
  <c r="AQ66" i="1"/>
  <c r="AQ66" i="12" s="1"/>
  <c r="AR66" i="1"/>
  <c r="AS66" i="1"/>
  <c r="AT66" i="1"/>
  <c r="AU66" i="1"/>
  <c r="AV66" i="1"/>
  <c r="AW66" i="1"/>
  <c r="AX66" i="1"/>
  <c r="AY66" i="1"/>
  <c r="AZ66" i="1"/>
  <c r="C67" i="1"/>
  <c r="D67" i="1"/>
  <c r="E67" i="1"/>
  <c r="E67" i="12" s="1"/>
  <c r="F67" i="1"/>
  <c r="F67" i="12" s="1"/>
  <c r="G67" i="1"/>
  <c r="H67" i="1"/>
  <c r="I67" i="1"/>
  <c r="I67" i="12" s="1"/>
  <c r="J67" i="1"/>
  <c r="J67" i="12" s="1"/>
  <c r="K67" i="1"/>
  <c r="L67" i="1"/>
  <c r="M67" i="1"/>
  <c r="M67" i="12" s="1"/>
  <c r="N67" i="1"/>
  <c r="N67" i="12" s="1"/>
  <c r="O67" i="1"/>
  <c r="P67" i="1"/>
  <c r="Q67" i="1"/>
  <c r="R67" i="1"/>
  <c r="R67" i="12" s="1"/>
  <c r="S67" i="1"/>
  <c r="T67" i="1"/>
  <c r="U67" i="1"/>
  <c r="U67" i="12" s="1"/>
  <c r="V67" i="1"/>
  <c r="V67" i="12" s="1"/>
  <c r="W67" i="1"/>
  <c r="X67" i="1"/>
  <c r="Y67" i="1"/>
  <c r="Y67" i="12" s="1"/>
  <c r="Z67" i="1"/>
  <c r="Z67" i="12" s="1"/>
  <c r="AA67" i="1"/>
  <c r="AB67" i="1"/>
  <c r="AC67" i="1"/>
  <c r="AC67" i="12" s="1"/>
  <c r="AD67" i="1"/>
  <c r="AD67" i="12" s="1"/>
  <c r="AE67" i="1"/>
  <c r="AF67" i="1"/>
  <c r="AG67" i="1"/>
  <c r="AG67" i="12" s="1"/>
  <c r="AH67" i="1"/>
  <c r="AH67" i="12" s="1"/>
  <c r="AI67" i="1"/>
  <c r="AJ67" i="1"/>
  <c r="AK67" i="1"/>
  <c r="AK67" i="12" s="1"/>
  <c r="AL67" i="1"/>
  <c r="AL67" i="12" s="1"/>
  <c r="AM67" i="1"/>
  <c r="AN67" i="1"/>
  <c r="AO67" i="1"/>
  <c r="AO67" i="12" s="1"/>
  <c r="AP67" i="1"/>
  <c r="AP67" i="12" s="1"/>
  <c r="AQ67" i="1"/>
  <c r="AR67" i="1"/>
  <c r="AS67" i="1"/>
  <c r="AT67" i="1"/>
  <c r="AU67" i="1"/>
  <c r="AV67" i="1"/>
  <c r="AW67" i="1"/>
  <c r="AX67" i="1"/>
  <c r="AY67" i="1"/>
  <c r="AZ67" i="1"/>
  <c r="C68" i="1"/>
  <c r="C68" i="12" s="1"/>
  <c r="D68" i="1"/>
  <c r="D68" i="12" s="1"/>
  <c r="E68" i="1"/>
  <c r="F68" i="1"/>
  <c r="G68" i="1"/>
  <c r="G68" i="12" s="1"/>
  <c r="H68" i="1"/>
  <c r="H68" i="12" s="1"/>
  <c r="I68" i="1"/>
  <c r="J68" i="1"/>
  <c r="K68" i="1"/>
  <c r="K68" i="12" s="1"/>
  <c r="L68" i="1"/>
  <c r="L68" i="12" s="1"/>
  <c r="M68" i="1"/>
  <c r="N68" i="1"/>
  <c r="O68" i="1"/>
  <c r="O68" i="12" s="1"/>
  <c r="P68" i="1"/>
  <c r="P68" i="12" s="1"/>
  <c r="Q68" i="1"/>
  <c r="R68" i="1"/>
  <c r="S68" i="1"/>
  <c r="S68" i="12" s="1"/>
  <c r="T68" i="1"/>
  <c r="T68" i="12" s="1"/>
  <c r="U68" i="1"/>
  <c r="V68" i="1"/>
  <c r="W68" i="1"/>
  <c r="W68" i="12" s="1"/>
  <c r="X68" i="1"/>
  <c r="X68" i="12" s="1"/>
  <c r="Y68" i="1"/>
  <c r="Z68" i="1"/>
  <c r="AA68" i="1"/>
  <c r="AA68" i="12" s="1"/>
  <c r="AB68" i="1"/>
  <c r="AB68" i="12" s="1"/>
  <c r="AC68" i="1"/>
  <c r="AD68" i="1"/>
  <c r="AE68" i="1"/>
  <c r="AE68" i="12" s="1"/>
  <c r="AF68" i="1"/>
  <c r="AF68" i="12" s="1"/>
  <c r="AG68" i="1"/>
  <c r="AH68" i="1"/>
  <c r="AI68" i="1"/>
  <c r="AI68" i="12" s="1"/>
  <c r="AJ68" i="1"/>
  <c r="AJ68" i="12" s="1"/>
  <c r="AK68" i="1"/>
  <c r="AL68" i="1"/>
  <c r="AM68" i="1"/>
  <c r="AM68" i="12" s="1"/>
  <c r="AN68" i="1"/>
  <c r="AN68" i="12" s="1"/>
  <c r="AO68" i="1"/>
  <c r="AP68" i="1"/>
  <c r="AQ68" i="1"/>
  <c r="AQ68" i="12" s="1"/>
  <c r="AR68" i="1"/>
  <c r="AS68" i="1"/>
  <c r="AT68" i="1"/>
  <c r="AU68" i="1"/>
  <c r="AV68" i="1"/>
  <c r="AW68" i="1"/>
  <c r="AX68" i="1"/>
  <c r="AY68" i="1"/>
  <c r="AZ68" i="1"/>
  <c r="AQ32" i="12"/>
  <c r="O38" i="12"/>
  <c r="Q38" i="12"/>
  <c r="Q39" i="12"/>
  <c r="O40" i="12"/>
  <c r="R40" i="12"/>
  <c r="P41" i="12"/>
  <c r="R42" i="12"/>
  <c r="P43" i="12"/>
  <c r="U43" i="12"/>
  <c r="R44" i="12"/>
  <c r="Q45" i="12"/>
  <c r="U45" i="12"/>
  <c r="V46" i="12"/>
  <c r="T47" i="12"/>
  <c r="V48" i="12"/>
  <c r="T49" i="12"/>
  <c r="X49" i="12"/>
  <c r="V50" i="12"/>
  <c r="W50" i="12"/>
  <c r="U51" i="12"/>
  <c r="AK53" i="12"/>
  <c r="V54" i="12"/>
  <c r="Z54" i="12"/>
  <c r="L55" i="12"/>
  <c r="M55" i="12"/>
  <c r="AM56" i="12"/>
  <c r="Y57" i="12"/>
  <c r="N58" i="12"/>
  <c r="D59" i="12"/>
  <c r="AO59" i="12"/>
  <c r="Z60" i="12"/>
  <c r="M61" i="12"/>
  <c r="Q61" i="12"/>
  <c r="C62" i="12"/>
  <c r="AP62" i="12"/>
  <c r="AB63" i="12"/>
  <c r="R64" i="12"/>
  <c r="D65" i="12"/>
  <c r="E65" i="12"/>
  <c r="E65" i="3" s="1"/>
  <c r="AO65" i="12"/>
  <c r="AD66" i="12"/>
  <c r="AF66" i="12"/>
  <c r="Q67" i="12"/>
  <c r="T67" i="12"/>
  <c r="M3" i="3"/>
  <c r="D4" i="3"/>
  <c r="M4" i="3"/>
  <c r="M5" i="3" s="1"/>
  <c r="F11" i="3"/>
  <c r="M11" i="3"/>
  <c r="M10" i="3" s="1"/>
  <c r="AA11" i="3"/>
  <c r="J14" i="3"/>
  <c r="Q14" i="3"/>
  <c r="X14" i="3"/>
  <c r="AD14" i="3"/>
  <c r="C14" i="3" s="1"/>
  <c r="C15" i="3"/>
  <c r="X15" i="3"/>
  <c r="J16" i="3"/>
  <c r="J6" i="3" s="1"/>
  <c r="C19" i="3"/>
  <c r="AN34" i="3"/>
  <c r="AG35" i="3"/>
  <c r="AO37" i="3"/>
  <c r="Y39" i="3"/>
  <c r="AK39" i="3"/>
  <c r="AG41" i="3"/>
  <c r="AC43" i="3"/>
  <c r="Y45" i="3"/>
  <c r="U47" i="3"/>
  <c r="AI48" i="3"/>
  <c r="Q49" i="3"/>
  <c r="M51" i="3"/>
  <c r="I53" i="3"/>
  <c r="AO53" i="3"/>
  <c r="E55" i="3"/>
  <c r="AK55" i="3"/>
  <c r="S56" i="3"/>
  <c r="AG57" i="3"/>
  <c r="E58" i="3"/>
  <c r="AC59" i="3"/>
  <c r="Y61" i="3"/>
  <c r="U63" i="3"/>
  <c r="C64" i="3"/>
  <c r="Q65" i="3"/>
  <c r="AE66" i="3"/>
  <c r="M67" i="3"/>
  <c r="C5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H19" i="2"/>
  <c r="BI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19" i="3" s="1"/>
  <c r="AZ20" i="2"/>
  <c r="BH20" i="2"/>
  <c r="BN20" i="2"/>
  <c r="BO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G21" i="2"/>
  <c r="BK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I22" i="2"/>
  <c r="BQ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I23" i="2"/>
  <c r="BO23" i="2"/>
  <c r="BQ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G24" i="2"/>
  <c r="BH24" i="2"/>
  <c r="BO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K25" i="2"/>
  <c r="B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I26" i="2"/>
  <c r="BK26" i="2"/>
  <c r="BQ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H27" i="2"/>
  <c r="BI27" i="2"/>
  <c r="BO27" i="2"/>
  <c r="BQ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G28" i="2"/>
  <c r="BH28" i="2"/>
  <c r="BN28" i="2"/>
  <c r="BO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G29" i="2"/>
  <c r="BK29" i="2"/>
  <c r="B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I30" i="2"/>
  <c r="BK30" i="2"/>
  <c r="BQ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A32" i="3" s="1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H31" i="2"/>
  <c r="BI31" i="2"/>
  <c r="BO31" i="2"/>
  <c r="BQ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G32" i="2"/>
  <c r="BH32" i="2"/>
  <c r="BN32" i="2"/>
  <c r="BO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G33" i="2"/>
  <c r="BK33" i="2"/>
  <c r="B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I34" i="2"/>
  <c r="BK34" i="2"/>
  <c r="BQ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Y35" i="3" s="1"/>
  <c r="Z35" i="2"/>
  <c r="AA35" i="2"/>
  <c r="AB35" i="2"/>
  <c r="AC35" i="2"/>
  <c r="AD35" i="2"/>
  <c r="AE35" i="2"/>
  <c r="AF35" i="2"/>
  <c r="AG35" i="2"/>
  <c r="AH35" i="2"/>
  <c r="AI35" i="2"/>
  <c r="AJ35" i="2"/>
  <c r="AK35" i="2"/>
  <c r="AK35" i="3" s="1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G35" i="2"/>
  <c r="BH35" i="2"/>
  <c r="BK35" i="2"/>
  <c r="BN35" i="2"/>
  <c r="BQ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D36" i="3" s="1"/>
  <c r="AE36" i="2"/>
  <c r="AF36" i="2"/>
  <c r="AG36" i="2"/>
  <c r="AH36" i="2"/>
  <c r="AI36" i="2"/>
  <c r="AI36" i="3" s="1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G36" i="2"/>
  <c r="BH36" i="2"/>
  <c r="BK36" i="2"/>
  <c r="BN36" i="2"/>
  <c r="BQ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G37" i="2"/>
  <c r="BH37" i="2"/>
  <c r="BK37" i="2"/>
  <c r="BN37" i="2"/>
  <c r="BQ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G38" i="2"/>
  <c r="BH38" i="2"/>
  <c r="BK38" i="2"/>
  <c r="BN38" i="2"/>
  <c r="BQ38" i="2"/>
  <c r="C39" i="2"/>
  <c r="D39" i="2"/>
  <c r="E39" i="2"/>
  <c r="F39" i="2"/>
  <c r="G39" i="2"/>
  <c r="H39" i="2"/>
  <c r="I39" i="2"/>
  <c r="J39" i="2"/>
  <c r="K39" i="2"/>
  <c r="L39" i="2"/>
  <c r="M39" i="2"/>
  <c r="M39" i="3" s="1"/>
  <c r="N39" i="2"/>
  <c r="O39" i="2"/>
  <c r="P39" i="2"/>
  <c r="Q39" i="2"/>
  <c r="Q39" i="3" s="1"/>
  <c r="R39" i="2"/>
  <c r="S39" i="2"/>
  <c r="T39" i="2"/>
  <c r="U39" i="2"/>
  <c r="V39" i="2"/>
  <c r="W39" i="2"/>
  <c r="X39" i="2"/>
  <c r="Y39" i="2"/>
  <c r="Z39" i="2"/>
  <c r="AA39" i="2"/>
  <c r="AB39" i="2"/>
  <c r="AC39" i="2"/>
  <c r="AC39" i="3" s="1"/>
  <c r="AD39" i="2"/>
  <c r="AE39" i="2"/>
  <c r="AF39" i="2"/>
  <c r="AG39" i="2"/>
  <c r="AG39" i="3" s="1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G39" i="2"/>
  <c r="BH39" i="2"/>
  <c r="BK39" i="2"/>
  <c r="BN39" i="2"/>
  <c r="BQ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R40" i="3" s="1"/>
  <c r="S40" i="2"/>
  <c r="T40" i="2"/>
  <c r="U40" i="2"/>
  <c r="V40" i="2"/>
  <c r="W40" i="2"/>
  <c r="W40" i="3" s="1"/>
  <c r="X40" i="2"/>
  <c r="Y40" i="2"/>
  <c r="Z40" i="2"/>
  <c r="AA40" i="2"/>
  <c r="AB40" i="2"/>
  <c r="AC40" i="2"/>
  <c r="AD40" i="2"/>
  <c r="AE40" i="2"/>
  <c r="AF40" i="2"/>
  <c r="AG40" i="2"/>
  <c r="AH40" i="2"/>
  <c r="AI40" i="2"/>
  <c r="AI40" i="3" s="1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G40" i="2"/>
  <c r="BH40" i="2"/>
  <c r="BI40" i="2"/>
  <c r="BK40" i="2"/>
  <c r="BN40" i="2"/>
  <c r="BO40" i="2"/>
  <c r="BQ40" i="2"/>
  <c r="C41" i="2"/>
  <c r="D41" i="2"/>
  <c r="E41" i="2"/>
  <c r="F41" i="2"/>
  <c r="G41" i="2"/>
  <c r="H41" i="2"/>
  <c r="I41" i="2"/>
  <c r="J41" i="2"/>
  <c r="K41" i="2"/>
  <c r="L41" i="2"/>
  <c r="M41" i="2"/>
  <c r="M41" i="3" s="1"/>
  <c r="N41" i="2"/>
  <c r="O41" i="2"/>
  <c r="P41" i="2"/>
  <c r="Q41" i="2"/>
  <c r="R41" i="2"/>
  <c r="S41" i="2"/>
  <c r="T41" i="2"/>
  <c r="U41" i="2"/>
  <c r="V41" i="2"/>
  <c r="W41" i="2"/>
  <c r="X41" i="2"/>
  <c r="Y41" i="2"/>
  <c r="Y41" i="3" s="1"/>
  <c r="Z41" i="2"/>
  <c r="AA41" i="2"/>
  <c r="AB41" i="2"/>
  <c r="AC41" i="2"/>
  <c r="AC41" i="3" s="1"/>
  <c r="AD41" i="2"/>
  <c r="AE41" i="2"/>
  <c r="AF41" i="2"/>
  <c r="AG41" i="2"/>
  <c r="AH41" i="2"/>
  <c r="AI41" i="2"/>
  <c r="AJ41" i="2"/>
  <c r="AK41" i="2"/>
  <c r="AL41" i="2"/>
  <c r="AM41" i="2"/>
  <c r="AN41" i="2"/>
  <c r="AO41" i="2"/>
  <c r="AO41" i="3" s="1"/>
  <c r="AP41" i="2"/>
  <c r="AQ41" i="2"/>
  <c r="AR41" i="2"/>
  <c r="AS41" i="2"/>
  <c r="AT41" i="2"/>
  <c r="AU41" i="2"/>
  <c r="AV41" i="2"/>
  <c r="AW41" i="2"/>
  <c r="AX41" i="2"/>
  <c r="AY41" i="2"/>
  <c r="AZ41" i="2"/>
  <c r="BG41" i="2"/>
  <c r="BH41" i="2"/>
  <c r="BI41" i="2"/>
  <c r="BK41" i="2"/>
  <c r="BN41" i="2"/>
  <c r="BO41" i="2"/>
  <c r="BQ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O42" i="3" s="1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G42" i="2"/>
  <c r="BH42" i="2"/>
  <c r="BI42" i="2"/>
  <c r="BK42" i="2"/>
  <c r="BN42" i="2"/>
  <c r="BO42" i="2"/>
  <c r="BQ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G43" i="2"/>
  <c r="BH43" i="2"/>
  <c r="BI43" i="2"/>
  <c r="BK43" i="2"/>
  <c r="BN43" i="2"/>
  <c r="BO43" i="2"/>
  <c r="BQ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O44" i="3" s="1"/>
  <c r="P44" i="2"/>
  <c r="Q44" i="2"/>
  <c r="R44" i="2"/>
  <c r="R44" i="3" s="1"/>
  <c r="S44" i="2"/>
  <c r="T44" i="2"/>
  <c r="U44" i="2"/>
  <c r="V44" i="2"/>
  <c r="W44" i="2"/>
  <c r="X44" i="2"/>
  <c r="Y44" i="2"/>
  <c r="Z44" i="2"/>
  <c r="AA44" i="2"/>
  <c r="AA44" i="3" s="1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3" s="1"/>
  <c r="AQ44" i="2"/>
  <c r="AR44" i="2"/>
  <c r="AS44" i="2"/>
  <c r="AT44" i="2"/>
  <c r="AU44" i="2"/>
  <c r="AV44" i="2"/>
  <c r="AW44" i="2"/>
  <c r="AX44" i="2"/>
  <c r="AY44" i="2"/>
  <c r="AZ44" i="2"/>
  <c r="BG44" i="2"/>
  <c r="BH44" i="2"/>
  <c r="BI44" i="2"/>
  <c r="BK44" i="2"/>
  <c r="BN44" i="2"/>
  <c r="BO44" i="2"/>
  <c r="BQ44" i="2"/>
  <c r="C45" i="2"/>
  <c r="D45" i="2"/>
  <c r="E45" i="2"/>
  <c r="F45" i="2"/>
  <c r="G45" i="2"/>
  <c r="H45" i="2"/>
  <c r="I45" i="2"/>
  <c r="J45" i="2"/>
  <c r="K45" i="2"/>
  <c r="L45" i="2"/>
  <c r="M45" i="3" s="1"/>
  <c r="M45" i="2"/>
  <c r="N45" i="2"/>
  <c r="O45" i="2"/>
  <c r="P45" i="2"/>
  <c r="Q45" i="2"/>
  <c r="Q45" i="3" s="1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G45" i="3" s="1"/>
  <c r="AH45" i="2"/>
  <c r="AI45" i="2"/>
  <c r="AJ45" i="2"/>
  <c r="AK45" i="2"/>
  <c r="AK45" i="3" s="1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G45" i="2"/>
  <c r="BH45" i="2"/>
  <c r="BI45" i="2"/>
  <c r="BK45" i="2"/>
  <c r="BN45" i="2"/>
  <c r="BO45" i="2"/>
  <c r="BQ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V46" i="3" s="1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G46" i="2"/>
  <c r="BH46" i="2"/>
  <c r="BI46" i="2"/>
  <c r="BK46" i="2"/>
  <c r="BN46" i="2"/>
  <c r="BO46" i="2"/>
  <c r="BQ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G47" i="2"/>
  <c r="BH47" i="2"/>
  <c r="BI47" i="2"/>
  <c r="BK47" i="2"/>
  <c r="BN47" i="2"/>
  <c r="BO47" i="2"/>
  <c r="BQ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S48" i="3" s="1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M48" i="3" s="1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G48" i="2"/>
  <c r="BH48" i="2"/>
  <c r="BI48" i="2"/>
  <c r="BK48" i="2"/>
  <c r="BN48" i="2"/>
  <c r="BO48" i="2"/>
  <c r="BQ48" i="2"/>
  <c r="C49" i="2"/>
  <c r="D49" i="2"/>
  <c r="E49" i="2"/>
  <c r="F49" i="2"/>
  <c r="G49" i="2"/>
  <c r="H49" i="2"/>
  <c r="I49" i="2"/>
  <c r="J49" i="2"/>
  <c r="K49" i="2"/>
  <c r="L49" i="2"/>
  <c r="M49" i="2"/>
  <c r="M49" i="3" s="1"/>
  <c r="N49" i="2"/>
  <c r="O49" i="2"/>
  <c r="P49" i="2"/>
  <c r="Q49" i="2"/>
  <c r="R49" i="2"/>
  <c r="S49" i="2"/>
  <c r="T49" i="2"/>
  <c r="T49" i="3" s="1"/>
  <c r="U49" i="2"/>
  <c r="V49" i="2"/>
  <c r="W49" i="2"/>
  <c r="X49" i="2"/>
  <c r="Y49" i="2"/>
  <c r="Y49" i="3" s="1"/>
  <c r="Z49" i="2"/>
  <c r="AA49" i="2"/>
  <c r="AB49" i="2"/>
  <c r="AC49" i="2"/>
  <c r="AC49" i="3" s="1"/>
  <c r="AD49" i="2"/>
  <c r="AE49" i="2"/>
  <c r="AF49" i="2"/>
  <c r="AG49" i="2"/>
  <c r="AH49" i="2"/>
  <c r="AI49" i="2"/>
  <c r="AJ49" i="2"/>
  <c r="AJ49" i="3" s="1"/>
  <c r="AK49" i="2"/>
  <c r="AL49" i="2"/>
  <c r="AM49" i="2"/>
  <c r="AN49" i="2"/>
  <c r="AO49" i="2"/>
  <c r="AO49" i="3" s="1"/>
  <c r="AP49" i="2"/>
  <c r="AQ49" i="2"/>
  <c r="AR49" i="2"/>
  <c r="AS49" i="2"/>
  <c r="AT49" i="2"/>
  <c r="AU49" i="2"/>
  <c r="AV49" i="2"/>
  <c r="AW49" i="2"/>
  <c r="AX49" i="2"/>
  <c r="AY49" i="2"/>
  <c r="AZ49" i="2"/>
  <c r="BG49" i="2"/>
  <c r="BH49" i="2"/>
  <c r="BI49" i="2"/>
  <c r="BK49" i="2"/>
  <c r="BN49" i="2"/>
  <c r="BO49" i="2"/>
  <c r="BP49" i="2"/>
  <c r="BQ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E50" i="3" s="1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F50" i="2"/>
  <c r="BG50" i="2"/>
  <c r="BH50" i="2"/>
  <c r="BI50" i="2"/>
  <c r="BJ50" i="2"/>
  <c r="BK50" i="2"/>
  <c r="BN50" i="2"/>
  <c r="BO50" i="2"/>
  <c r="BP50" i="2"/>
  <c r="BQ50" i="2"/>
  <c r="C51" i="2"/>
  <c r="C51" i="3" s="1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Q51" i="3" s="1"/>
  <c r="R51" i="2"/>
  <c r="S51" i="2"/>
  <c r="T51" i="2"/>
  <c r="U51" i="2"/>
  <c r="V51" i="2"/>
  <c r="W51" i="2"/>
  <c r="X51" i="2"/>
  <c r="Y51" i="2"/>
  <c r="Z51" i="2"/>
  <c r="AA51" i="2"/>
  <c r="AB51" i="2"/>
  <c r="AB51" i="3" s="1"/>
  <c r="AC51" i="2"/>
  <c r="AC51" i="3" s="1"/>
  <c r="AD51" i="2"/>
  <c r="AE51" i="2"/>
  <c r="AF51" i="2"/>
  <c r="AG51" i="2"/>
  <c r="AH51" i="2"/>
  <c r="AG51" i="3" s="1"/>
  <c r="AI51" i="2"/>
  <c r="AI51" i="3" s="1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F51" i="2"/>
  <c r="BG51" i="2"/>
  <c r="BH51" i="2"/>
  <c r="BI51" i="2"/>
  <c r="BJ51" i="2"/>
  <c r="BK51" i="2"/>
  <c r="BN51" i="2"/>
  <c r="BO51" i="2"/>
  <c r="BP51" i="2"/>
  <c r="BQ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A52" i="3" s="1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F52" i="2"/>
  <c r="BG52" i="2"/>
  <c r="BH52" i="2"/>
  <c r="BI52" i="2"/>
  <c r="BJ52" i="2"/>
  <c r="BK52" i="2"/>
  <c r="BN52" i="2"/>
  <c r="BO52" i="2"/>
  <c r="BP52" i="2"/>
  <c r="BQ52" i="2"/>
  <c r="C53" i="2"/>
  <c r="D53" i="2"/>
  <c r="E53" i="2"/>
  <c r="F53" i="2"/>
  <c r="G53" i="2"/>
  <c r="H53" i="2"/>
  <c r="I53" i="2"/>
  <c r="J53" i="2"/>
  <c r="K53" i="2"/>
  <c r="L53" i="2"/>
  <c r="M53" i="2"/>
  <c r="M53" i="3" s="1"/>
  <c r="N53" i="2"/>
  <c r="O53" i="2"/>
  <c r="P53" i="2"/>
  <c r="Q53" i="2"/>
  <c r="R53" i="2"/>
  <c r="S53" i="2"/>
  <c r="T53" i="2"/>
  <c r="U53" i="2"/>
  <c r="V53" i="2"/>
  <c r="W53" i="2"/>
  <c r="X53" i="2"/>
  <c r="Y53" i="2"/>
  <c r="Y53" i="3" s="1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F53" i="2"/>
  <c r="BG53" i="2"/>
  <c r="BH53" i="2"/>
  <c r="BI53" i="2"/>
  <c r="BJ53" i="2"/>
  <c r="BK53" i="2"/>
  <c r="BN53" i="2"/>
  <c r="BO53" i="2"/>
  <c r="BP53" i="2"/>
  <c r="BQ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W54" i="3" s="1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F54" i="2"/>
  <c r="BG54" i="2"/>
  <c r="BH54" i="2"/>
  <c r="BI54" i="2"/>
  <c r="BJ54" i="2"/>
  <c r="BK54" i="2"/>
  <c r="BN54" i="2"/>
  <c r="BO54" i="2"/>
  <c r="BP54" i="2"/>
  <c r="BQ54" i="2"/>
  <c r="C55" i="2"/>
  <c r="D55" i="2"/>
  <c r="E55" i="2"/>
  <c r="F55" i="2"/>
  <c r="G55" i="2"/>
  <c r="H55" i="2"/>
  <c r="I55" i="2"/>
  <c r="I55" i="3" s="1"/>
  <c r="J55" i="2"/>
  <c r="K55" i="2"/>
  <c r="L55" i="2"/>
  <c r="M55" i="2"/>
  <c r="N55" i="2"/>
  <c r="O55" i="2"/>
  <c r="P55" i="2"/>
  <c r="Q55" i="2"/>
  <c r="R55" i="2"/>
  <c r="S55" i="2"/>
  <c r="T55" i="2"/>
  <c r="T55" i="3" s="1"/>
  <c r="U55" i="2"/>
  <c r="U55" i="3" s="1"/>
  <c r="V55" i="2"/>
  <c r="W55" i="2"/>
  <c r="X55" i="2"/>
  <c r="Y55" i="2"/>
  <c r="Z55" i="2"/>
  <c r="Y55" i="3" s="1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O55" i="3" s="1"/>
  <c r="AP55" i="2"/>
  <c r="AQ55" i="2"/>
  <c r="AR55" i="2"/>
  <c r="AS55" i="2"/>
  <c r="AT55" i="2"/>
  <c r="AU55" i="2"/>
  <c r="AV55" i="2"/>
  <c r="AW55" i="2"/>
  <c r="AX55" i="2"/>
  <c r="AY55" i="2"/>
  <c r="AZ55" i="2"/>
  <c r="BF55" i="2"/>
  <c r="BG55" i="2"/>
  <c r="BH55" i="2"/>
  <c r="BI55" i="2"/>
  <c r="BJ55" i="2"/>
  <c r="BK55" i="2"/>
  <c r="BN55" i="2"/>
  <c r="BO55" i="2"/>
  <c r="BP55" i="2"/>
  <c r="BQ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F56" i="2"/>
  <c r="BG56" i="2"/>
  <c r="BH56" i="2"/>
  <c r="BI56" i="2"/>
  <c r="BJ56" i="2"/>
  <c r="BK56" i="2"/>
  <c r="BN56" i="2"/>
  <c r="BO56" i="2"/>
  <c r="BP56" i="2"/>
  <c r="BQ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Q57" i="3" s="1"/>
  <c r="R57" i="2"/>
  <c r="S57" i="2"/>
  <c r="T57" i="2"/>
  <c r="U57" i="2"/>
  <c r="V57" i="2"/>
  <c r="W57" i="2"/>
  <c r="W57" i="3" s="1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K57" i="3" s="1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F57" i="2"/>
  <c r="BG57" i="2"/>
  <c r="BH57" i="2"/>
  <c r="BI57" i="2"/>
  <c r="BJ57" i="2"/>
  <c r="BK57" i="2"/>
  <c r="BN57" i="2"/>
  <c r="BO57" i="2"/>
  <c r="BP57" i="2"/>
  <c r="BQ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O58" i="3" s="1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F58" i="2"/>
  <c r="BG58" i="2"/>
  <c r="BH58" i="2"/>
  <c r="BI58" i="2"/>
  <c r="BJ58" i="2"/>
  <c r="BK58" i="2"/>
  <c r="BN58" i="2"/>
  <c r="BO58" i="2"/>
  <c r="BP58" i="2"/>
  <c r="BQ58" i="2"/>
  <c r="C59" i="2"/>
  <c r="D59" i="2"/>
  <c r="E59" i="2"/>
  <c r="F59" i="2"/>
  <c r="G59" i="2"/>
  <c r="H59" i="2"/>
  <c r="I59" i="2"/>
  <c r="J59" i="2"/>
  <c r="K59" i="2"/>
  <c r="L59" i="2"/>
  <c r="L59" i="3" s="1"/>
  <c r="M59" i="2"/>
  <c r="M59" i="3" s="1"/>
  <c r="N59" i="2"/>
  <c r="O59" i="2"/>
  <c r="P59" i="2"/>
  <c r="Q59" i="2"/>
  <c r="R59" i="2"/>
  <c r="Q59" i="3" s="1"/>
  <c r="S59" i="2"/>
  <c r="S59" i="3" s="1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G59" i="3" s="1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F59" i="2"/>
  <c r="BG59" i="2"/>
  <c r="BH59" i="2"/>
  <c r="BI59" i="2"/>
  <c r="BJ59" i="2"/>
  <c r="BK59" i="2"/>
  <c r="BN59" i="2"/>
  <c r="BO59" i="2"/>
  <c r="BP59" i="2"/>
  <c r="BQ59" i="2"/>
  <c r="C60" i="2"/>
  <c r="D60" i="2"/>
  <c r="E60" i="2"/>
  <c r="F60" i="2"/>
  <c r="G60" i="2"/>
  <c r="H60" i="2"/>
  <c r="I60" i="2"/>
  <c r="J60" i="2"/>
  <c r="K60" i="2"/>
  <c r="K60" i="3" s="1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Q60" i="3" s="1"/>
  <c r="AR60" i="2"/>
  <c r="AS60" i="2"/>
  <c r="AT60" i="2"/>
  <c r="AU60" i="2"/>
  <c r="AV60" i="2"/>
  <c r="AW60" i="2"/>
  <c r="AX60" i="2"/>
  <c r="AY60" i="2"/>
  <c r="AZ60" i="2"/>
  <c r="BF60" i="2"/>
  <c r="BG60" i="2"/>
  <c r="BH60" i="2"/>
  <c r="BI60" i="2"/>
  <c r="BJ60" i="2"/>
  <c r="BK60" i="2"/>
  <c r="BN60" i="2"/>
  <c r="BO60" i="2"/>
  <c r="BP60" i="2"/>
  <c r="BQ60" i="2"/>
  <c r="C61" i="2"/>
  <c r="D61" i="2"/>
  <c r="E61" i="2"/>
  <c r="F61" i="2"/>
  <c r="G61" i="2"/>
  <c r="H61" i="2"/>
  <c r="I61" i="2"/>
  <c r="I61" i="3" s="1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C61" i="3" s="1"/>
  <c r="AD61" i="2"/>
  <c r="AE61" i="2"/>
  <c r="AF61" i="2"/>
  <c r="AG61" i="2"/>
  <c r="AH61" i="2"/>
  <c r="AI61" i="2"/>
  <c r="AJ61" i="2"/>
  <c r="AK61" i="2"/>
  <c r="AL61" i="2"/>
  <c r="AM61" i="2"/>
  <c r="AN61" i="2"/>
  <c r="AN61" i="3" s="1"/>
  <c r="AO61" i="2"/>
  <c r="AO61" i="3" s="1"/>
  <c r="AP61" i="2"/>
  <c r="AQ61" i="2"/>
  <c r="AR61" i="2"/>
  <c r="AS61" i="2"/>
  <c r="AT61" i="2"/>
  <c r="AU61" i="2"/>
  <c r="AV61" i="2"/>
  <c r="AW61" i="2"/>
  <c r="AX61" i="2"/>
  <c r="AY61" i="2"/>
  <c r="AZ61" i="2"/>
  <c r="BF61" i="2"/>
  <c r="BG61" i="2"/>
  <c r="BH61" i="2"/>
  <c r="BI61" i="2"/>
  <c r="BJ61" i="2"/>
  <c r="BK61" i="2"/>
  <c r="BN61" i="2"/>
  <c r="BO61" i="2"/>
  <c r="BP61" i="2"/>
  <c r="BQ61" i="2"/>
  <c r="C62" i="2"/>
  <c r="D62" i="2"/>
  <c r="E62" i="2"/>
  <c r="F62" i="2"/>
  <c r="G62" i="2"/>
  <c r="G62" i="3" s="1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M62" i="3" s="1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F62" i="2"/>
  <c r="BG62" i="2"/>
  <c r="BH62" i="2"/>
  <c r="BI62" i="2"/>
  <c r="BJ62" i="2"/>
  <c r="BK62" i="2"/>
  <c r="BN62" i="2"/>
  <c r="BO62" i="2"/>
  <c r="BP62" i="2"/>
  <c r="BQ62" i="2"/>
  <c r="C63" i="2"/>
  <c r="D63" i="2"/>
  <c r="D63" i="3" s="1"/>
  <c r="E63" i="2"/>
  <c r="E63" i="3" s="1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Y63" i="3" s="1"/>
  <c r="Z63" i="2"/>
  <c r="AA63" i="2"/>
  <c r="AB63" i="2"/>
  <c r="AC63" i="2"/>
  <c r="AD63" i="2"/>
  <c r="AE63" i="2"/>
  <c r="AF63" i="2"/>
  <c r="AG63" i="2"/>
  <c r="AH63" i="2"/>
  <c r="AI63" i="2"/>
  <c r="AJ63" i="2"/>
  <c r="AK63" i="2"/>
  <c r="AK63" i="3" s="1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F63" i="2"/>
  <c r="BG63" i="2"/>
  <c r="BH63" i="2"/>
  <c r="BI63" i="2"/>
  <c r="BJ63" i="2"/>
  <c r="BK63" i="2"/>
  <c r="BN63" i="2"/>
  <c r="BO63" i="2"/>
  <c r="BP63" i="2"/>
  <c r="BQ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A64" i="3" s="1"/>
  <c r="AB64" i="2"/>
  <c r="AC64" i="2"/>
  <c r="AD64" i="2"/>
  <c r="AE64" i="2"/>
  <c r="AF64" i="2"/>
  <c r="AG64" i="2"/>
  <c r="AH64" i="2"/>
  <c r="AI64" i="2"/>
  <c r="AI64" i="3" s="1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F64" i="2"/>
  <c r="BG64" i="2"/>
  <c r="BH64" i="2"/>
  <c r="BI64" i="2"/>
  <c r="BJ64" i="2"/>
  <c r="BK64" i="2"/>
  <c r="BN64" i="2"/>
  <c r="BO64" i="2"/>
  <c r="BP64" i="2"/>
  <c r="BQ64" i="2"/>
  <c r="C65" i="2"/>
  <c r="D65" i="2"/>
  <c r="E65" i="2"/>
  <c r="F65" i="2"/>
  <c r="G65" i="2"/>
  <c r="G65" i="3" s="1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U65" i="3" s="1"/>
  <c r="V65" i="2"/>
  <c r="W65" i="2"/>
  <c r="X65" i="2"/>
  <c r="Y65" i="2"/>
  <c r="Z65" i="2"/>
  <c r="AA65" i="2"/>
  <c r="AB65" i="2"/>
  <c r="AC65" i="2"/>
  <c r="AD65" i="2"/>
  <c r="AE65" i="2"/>
  <c r="AF65" i="2"/>
  <c r="AF65" i="3" s="1"/>
  <c r="AG65" i="2"/>
  <c r="AG65" i="3" s="1"/>
  <c r="AH65" i="2"/>
  <c r="AI65" i="2"/>
  <c r="AJ65" i="2"/>
  <c r="AK65" i="2"/>
  <c r="AL65" i="2"/>
  <c r="AK65" i="3" s="1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F65" i="2"/>
  <c r="BG65" i="2"/>
  <c r="BH65" i="2"/>
  <c r="BI65" i="2"/>
  <c r="BJ65" i="2"/>
  <c r="BK65" i="2"/>
  <c r="BN65" i="2"/>
  <c r="BO65" i="2"/>
  <c r="BP65" i="2"/>
  <c r="BQ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F66" i="2"/>
  <c r="BG66" i="2"/>
  <c r="BH66" i="2"/>
  <c r="BI66" i="2"/>
  <c r="BJ66" i="2"/>
  <c r="BK66" i="2"/>
  <c r="BN66" i="2"/>
  <c r="BO66" i="2"/>
  <c r="BP66" i="2"/>
  <c r="BQ66" i="2"/>
  <c r="C67" i="2"/>
  <c r="C67" i="3" s="1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Q67" i="3" s="1"/>
  <c r="R67" i="2"/>
  <c r="S67" i="2"/>
  <c r="T67" i="2"/>
  <c r="U67" i="2"/>
  <c r="V67" i="2"/>
  <c r="W67" i="2"/>
  <c r="X67" i="2"/>
  <c r="Y67" i="2"/>
  <c r="Z67" i="2"/>
  <c r="AA67" i="2"/>
  <c r="AB67" i="2"/>
  <c r="AC67" i="2"/>
  <c r="AC67" i="3" s="1"/>
  <c r="AD67" i="2"/>
  <c r="AE67" i="2"/>
  <c r="AF67" i="2"/>
  <c r="AG67" i="2"/>
  <c r="AH67" i="2"/>
  <c r="AG67" i="3" s="1"/>
  <c r="AI67" i="2"/>
  <c r="AI67" i="3" s="1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F67" i="2"/>
  <c r="BG67" i="2"/>
  <c r="BH67" i="2"/>
  <c r="BI67" i="2"/>
  <c r="BJ67" i="2"/>
  <c r="BK67" i="2"/>
  <c r="BN67" i="2"/>
  <c r="BO67" i="2"/>
  <c r="BP67" i="2"/>
  <c r="BQ67" i="2"/>
  <c r="C68" i="2"/>
  <c r="D68" i="2"/>
  <c r="E68" i="2"/>
  <c r="F68" i="2"/>
  <c r="G68" i="2"/>
  <c r="G68" i="3" s="1"/>
  <c r="H68" i="2"/>
  <c r="I68" i="2"/>
  <c r="J68" i="2"/>
  <c r="K68" i="2"/>
  <c r="K68" i="3" s="1"/>
  <c r="L68" i="2"/>
  <c r="M68" i="2"/>
  <c r="N68" i="2"/>
  <c r="O68" i="2"/>
  <c r="O68" i="3" s="1"/>
  <c r="P68" i="2"/>
  <c r="Q68" i="2"/>
  <c r="R68" i="2"/>
  <c r="S68" i="2"/>
  <c r="S68" i="3" s="1"/>
  <c r="T68" i="2"/>
  <c r="U68" i="2"/>
  <c r="V68" i="2"/>
  <c r="W68" i="2"/>
  <c r="W68" i="3" s="1"/>
  <c r="X68" i="2"/>
  <c r="Y68" i="2"/>
  <c r="Z68" i="2"/>
  <c r="AA68" i="2"/>
  <c r="AA68" i="3" s="1"/>
  <c r="AB68" i="2"/>
  <c r="AC68" i="2"/>
  <c r="AD68" i="2"/>
  <c r="AE68" i="2"/>
  <c r="AE68" i="3" s="1"/>
  <c r="AF68" i="2"/>
  <c r="AG68" i="2"/>
  <c r="AH68" i="2"/>
  <c r="AI68" i="2"/>
  <c r="AI68" i="3" s="1"/>
  <c r="AJ68" i="2"/>
  <c r="AK68" i="2"/>
  <c r="AL68" i="2"/>
  <c r="AM68" i="2"/>
  <c r="AM68" i="3" s="1"/>
  <c r="AN68" i="2"/>
  <c r="AO68" i="2"/>
  <c r="AP68" i="2"/>
  <c r="AQ68" i="2"/>
  <c r="AQ68" i="3" s="1"/>
  <c r="AR68" i="2"/>
  <c r="AS68" i="2"/>
  <c r="AT68" i="2"/>
  <c r="AU68" i="2"/>
  <c r="AV68" i="2"/>
  <c r="AW68" i="2"/>
  <c r="AX68" i="2"/>
  <c r="AY68" i="2"/>
  <c r="AZ68" i="2"/>
  <c r="BF68" i="2"/>
  <c r="BG68" i="2"/>
  <c r="BH68" i="2"/>
  <c r="BI68" i="2"/>
  <c r="BJ68" i="2"/>
  <c r="BK68" i="2"/>
  <c r="BN68" i="2"/>
  <c r="BO68" i="2"/>
  <c r="BP68" i="2"/>
  <c r="BQ68" i="2"/>
  <c r="BF69" i="2"/>
  <c r="BG69" i="2"/>
  <c r="BH69" i="2"/>
  <c r="BI69" i="2"/>
  <c r="BJ69" i="2"/>
  <c r="BK69" i="2"/>
  <c r="BN69" i="2"/>
  <c r="BO69" i="2"/>
  <c r="BP69" i="2"/>
  <c r="BQ69" i="2"/>
  <c r="BF70" i="2"/>
  <c r="BG70" i="2"/>
  <c r="BH70" i="2"/>
  <c r="BI70" i="2"/>
  <c r="BJ70" i="2"/>
  <c r="BK70" i="2"/>
  <c r="BN70" i="2"/>
  <c r="BO70" i="2"/>
  <c r="BP70" i="2"/>
  <c r="BQ70" i="2"/>
  <c r="BF71" i="2"/>
  <c r="BG71" i="2"/>
  <c r="BH71" i="2"/>
  <c r="BI71" i="2"/>
  <c r="BJ71" i="2"/>
  <c r="BK71" i="2"/>
  <c r="BN71" i="2"/>
  <c r="BO71" i="2"/>
  <c r="BP71" i="2"/>
  <c r="BQ71" i="2"/>
  <c r="BF72" i="2"/>
  <c r="BG72" i="2"/>
  <c r="BH72" i="2"/>
  <c r="BI72" i="2"/>
  <c r="BJ72" i="2"/>
  <c r="BK72" i="2"/>
  <c r="BN72" i="2"/>
  <c r="BO72" i="2"/>
  <c r="BP72" i="2"/>
  <c r="BQ72" i="2"/>
  <c r="BF73" i="2"/>
  <c r="BG73" i="2"/>
  <c r="BH73" i="2"/>
  <c r="BI73" i="2"/>
  <c r="BJ73" i="2"/>
  <c r="BK73" i="2"/>
  <c r="BN73" i="2"/>
  <c r="BO73" i="2"/>
  <c r="BP73" i="2"/>
  <c r="BQ73" i="2"/>
  <c r="BF74" i="2"/>
  <c r="BG74" i="2"/>
  <c r="BH74" i="2"/>
  <c r="BI74" i="2"/>
  <c r="BJ74" i="2"/>
  <c r="BK74" i="2"/>
  <c r="BN74" i="2"/>
  <c r="BO74" i="2"/>
  <c r="BP74" i="2"/>
  <c r="BQ74" i="2"/>
  <c r="BF75" i="2"/>
  <c r="BG75" i="2"/>
  <c r="BH75" i="2"/>
  <c r="BI75" i="2"/>
  <c r="BJ75" i="2"/>
  <c r="BK75" i="2"/>
  <c r="BN75" i="2"/>
  <c r="BO75" i="2"/>
  <c r="BP75" i="2"/>
  <c r="BQ75" i="2"/>
  <c r="BF76" i="2"/>
  <c r="BG76" i="2"/>
  <c r="BH76" i="2"/>
  <c r="BI76" i="2"/>
  <c r="BJ76" i="2"/>
  <c r="BK76" i="2"/>
  <c r="BN76" i="2"/>
  <c r="BO76" i="2"/>
  <c r="BP76" i="2"/>
  <c r="BQ76" i="2"/>
  <c r="BF77" i="2"/>
  <c r="BG77" i="2"/>
  <c r="BH77" i="2"/>
  <c r="BI77" i="2"/>
  <c r="BJ77" i="2"/>
  <c r="BK77" i="2"/>
  <c r="BN77" i="2"/>
  <c r="BO77" i="2"/>
  <c r="BP77" i="2"/>
  <c r="BQ77" i="2"/>
  <c r="BF78" i="2"/>
  <c r="BG78" i="2"/>
  <c r="BH78" i="2"/>
  <c r="BI78" i="2"/>
  <c r="BJ78" i="2"/>
  <c r="BK78" i="2"/>
  <c r="BN78" i="2"/>
  <c r="BO78" i="2"/>
  <c r="BP78" i="2"/>
  <c r="BQ78" i="2"/>
  <c r="C19" i="13"/>
  <c r="D19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AJ19" i="13"/>
  <c r="AK19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C20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C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C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C23" i="13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C24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C25" i="13"/>
  <c r="D25" i="13"/>
  <c r="E25" i="13"/>
  <c r="F25" i="13"/>
  <c r="G25" i="13"/>
  <c r="H25" i="13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AC25" i="13"/>
  <c r="AD25" i="13"/>
  <c r="AE25" i="13"/>
  <c r="AF25" i="13"/>
  <c r="AG25" i="13"/>
  <c r="AH25" i="13"/>
  <c r="AI25" i="13"/>
  <c r="AJ25" i="13"/>
  <c r="AK25" i="13"/>
  <c r="AL25" i="13"/>
  <c r="AM25" i="13"/>
  <c r="AN25" i="13"/>
  <c r="AO25" i="13"/>
  <c r="AP25" i="13"/>
  <c r="AQ25" i="13"/>
  <c r="AR25" i="13"/>
  <c r="AS25" i="13"/>
  <c r="AT25" i="13"/>
  <c r="AU25" i="13"/>
  <c r="AV25" i="13"/>
  <c r="AW25" i="13"/>
  <c r="AX25" i="13"/>
  <c r="AY25" i="13"/>
  <c r="AZ25" i="13"/>
  <c r="C26" i="13"/>
  <c r="D26" i="13"/>
  <c r="E26" i="13"/>
  <c r="F26" i="13"/>
  <c r="G26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AC26" i="13"/>
  <c r="AD26" i="13"/>
  <c r="AE26" i="13"/>
  <c r="AF26" i="13"/>
  <c r="AG26" i="13"/>
  <c r="AH26" i="13"/>
  <c r="AI26" i="13"/>
  <c r="AJ26" i="13"/>
  <c r="AK26" i="13"/>
  <c r="AL26" i="13"/>
  <c r="AM26" i="13"/>
  <c r="AN26" i="13"/>
  <c r="AO26" i="13"/>
  <c r="AP26" i="13"/>
  <c r="AQ26" i="13"/>
  <c r="AR26" i="13"/>
  <c r="AS26" i="13"/>
  <c r="AT26" i="13"/>
  <c r="AU26" i="13"/>
  <c r="AV26" i="13"/>
  <c r="AW26" i="13"/>
  <c r="AX26" i="13"/>
  <c r="AY26" i="13"/>
  <c r="AZ26" i="13"/>
  <c r="C27" i="13"/>
  <c r="D27" i="13"/>
  <c r="E27" i="13"/>
  <c r="F27" i="13"/>
  <c r="G27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AC27" i="13"/>
  <c r="AD27" i="13"/>
  <c r="AE27" i="13"/>
  <c r="AF27" i="13"/>
  <c r="AG27" i="13"/>
  <c r="AH27" i="13"/>
  <c r="AI27" i="13"/>
  <c r="AJ27" i="13"/>
  <c r="AK27" i="13"/>
  <c r="AL27" i="13"/>
  <c r="AM27" i="13"/>
  <c r="AN27" i="13"/>
  <c r="AO27" i="13"/>
  <c r="AP27" i="13"/>
  <c r="AQ27" i="13"/>
  <c r="AR27" i="13"/>
  <c r="AS27" i="13"/>
  <c r="AT27" i="13"/>
  <c r="AU27" i="13"/>
  <c r="AV27" i="13"/>
  <c r="AW27" i="13"/>
  <c r="AX27" i="13"/>
  <c r="AY27" i="13"/>
  <c r="AZ27" i="13"/>
  <c r="C28" i="13"/>
  <c r="D28" i="13"/>
  <c r="E28" i="13"/>
  <c r="F28" i="13"/>
  <c r="G28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AC28" i="13"/>
  <c r="AD28" i="13"/>
  <c r="AE28" i="13"/>
  <c r="AF28" i="13"/>
  <c r="AG28" i="13"/>
  <c r="AH28" i="13"/>
  <c r="AI28" i="13"/>
  <c r="AJ28" i="13"/>
  <c r="AK28" i="13"/>
  <c r="AL28" i="13"/>
  <c r="AM28" i="13"/>
  <c r="AN28" i="13"/>
  <c r="AO28" i="13"/>
  <c r="AP28" i="13"/>
  <c r="AQ28" i="13"/>
  <c r="AR28" i="13"/>
  <c r="AS28" i="13"/>
  <c r="AT28" i="13"/>
  <c r="AU28" i="13"/>
  <c r="AV28" i="13"/>
  <c r="AW28" i="13"/>
  <c r="AX28" i="13"/>
  <c r="AY28" i="13"/>
  <c r="AZ28" i="13"/>
  <c r="C29" i="13"/>
  <c r="D29" i="13"/>
  <c r="E29" i="13"/>
  <c r="F29" i="13"/>
  <c r="G29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AC29" i="13"/>
  <c r="AD29" i="13"/>
  <c r="AE29" i="13"/>
  <c r="AF29" i="13"/>
  <c r="AG29" i="13"/>
  <c r="AH29" i="13"/>
  <c r="AI29" i="13"/>
  <c r="AJ29" i="13"/>
  <c r="AK29" i="13"/>
  <c r="AL29" i="13"/>
  <c r="AM29" i="13"/>
  <c r="AN29" i="13"/>
  <c r="AO29" i="13"/>
  <c r="AP29" i="13"/>
  <c r="AQ29" i="13"/>
  <c r="AR29" i="13"/>
  <c r="AS29" i="13"/>
  <c r="AT29" i="13"/>
  <c r="AU29" i="13"/>
  <c r="AV29" i="13"/>
  <c r="AW29" i="13"/>
  <c r="AX29" i="13"/>
  <c r="AY29" i="13"/>
  <c r="AZ29" i="13"/>
  <c r="C30" i="13"/>
  <c r="D30" i="13"/>
  <c r="E30" i="13"/>
  <c r="F30" i="13"/>
  <c r="G30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AC30" i="13"/>
  <c r="AD30" i="13"/>
  <c r="AE30" i="13"/>
  <c r="AF30" i="13"/>
  <c r="AG30" i="13"/>
  <c r="AH30" i="13"/>
  <c r="AI30" i="13"/>
  <c r="AJ30" i="13"/>
  <c r="AK30" i="13"/>
  <c r="AL30" i="13"/>
  <c r="AM30" i="13"/>
  <c r="AN30" i="13"/>
  <c r="AO30" i="13"/>
  <c r="AP30" i="13"/>
  <c r="AQ30" i="13"/>
  <c r="AR30" i="13"/>
  <c r="AS30" i="13"/>
  <c r="AT30" i="13"/>
  <c r="AU30" i="13"/>
  <c r="AV30" i="13"/>
  <c r="AW30" i="13"/>
  <c r="AX30" i="13"/>
  <c r="AY30" i="13"/>
  <c r="AZ30" i="13"/>
  <c r="C31" i="13"/>
  <c r="D31" i="13"/>
  <c r="E31" i="13"/>
  <c r="F31" i="13"/>
  <c r="G31" i="13"/>
  <c r="H31" i="13"/>
  <c r="I31" i="13"/>
  <c r="J31" i="13"/>
  <c r="K31" i="13"/>
  <c r="L31" i="13"/>
  <c r="M31" i="13"/>
  <c r="N31" i="13"/>
  <c r="O31" i="13"/>
  <c r="P31" i="13"/>
  <c r="Q31" i="13"/>
  <c r="R31" i="13"/>
  <c r="S31" i="13"/>
  <c r="T31" i="13"/>
  <c r="U31" i="13"/>
  <c r="V31" i="13"/>
  <c r="W31" i="13"/>
  <c r="X31" i="13"/>
  <c r="Y31" i="13"/>
  <c r="Z31" i="13"/>
  <c r="AA31" i="13"/>
  <c r="AB31" i="13"/>
  <c r="AC31" i="13"/>
  <c r="AD31" i="13"/>
  <c r="AE31" i="13"/>
  <c r="AF31" i="13"/>
  <c r="AG31" i="13"/>
  <c r="AH31" i="13"/>
  <c r="AI31" i="13"/>
  <c r="AJ31" i="13"/>
  <c r="AK31" i="13"/>
  <c r="AL31" i="13"/>
  <c r="AM31" i="13"/>
  <c r="AN31" i="13"/>
  <c r="AO31" i="13"/>
  <c r="AP31" i="13"/>
  <c r="AQ31" i="13"/>
  <c r="AR31" i="13"/>
  <c r="AS31" i="13"/>
  <c r="AT31" i="13"/>
  <c r="AU31" i="13"/>
  <c r="AV31" i="13"/>
  <c r="AW31" i="13"/>
  <c r="AX31" i="13"/>
  <c r="AY31" i="13"/>
  <c r="AZ31" i="13"/>
  <c r="C32" i="13"/>
  <c r="D32" i="13"/>
  <c r="E32" i="13"/>
  <c r="F32" i="13"/>
  <c r="G32" i="13"/>
  <c r="H32" i="13"/>
  <c r="I32" i="13"/>
  <c r="J32" i="13"/>
  <c r="K32" i="13"/>
  <c r="L32" i="13"/>
  <c r="M32" i="13"/>
  <c r="N32" i="13"/>
  <c r="O32" i="13"/>
  <c r="P32" i="13"/>
  <c r="Q32" i="13"/>
  <c r="R32" i="13"/>
  <c r="S32" i="13"/>
  <c r="T32" i="13"/>
  <c r="U32" i="13"/>
  <c r="V32" i="13"/>
  <c r="W32" i="13"/>
  <c r="X32" i="13"/>
  <c r="Y32" i="13"/>
  <c r="Y32" i="8" s="1"/>
  <c r="Z32" i="13"/>
  <c r="AA32" i="13"/>
  <c r="AB32" i="13"/>
  <c r="AC32" i="13"/>
  <c r="AC32" i="8" s="1"/>
  <c r="AD32" i="13"/>
  <c r="AE32" i="13"/>
  <c r="AF32" i="13"/>
  <c r="AG32" i="13"/>
  <c r="AG32" i="8" s="1"/>
  <c r="AH32" i="13"/>
  <c r="AI32" i="13"/>
  <c r="AJ32" i="13"/>
  <c r="AK32" i="13"/>
  <c r="AK32" i="8" s="1"/>
  <c r="AL32" i="13"/>
  <c r="AM32" i="13"/>
  <c r="AN32" i="13"/>
  <c r="AO32" i="13"/>
  <c r="AO32" i="8" s="1"/>
  <c r="AP32" i="13"/>
  <c r="AQ32" i="13"/>
  <c r="AR32" i="13"/>
  <c r="AS32" i="13"/>
  <c r="AT32" i="13"/>
  <c r="AU32" i="13"/>
  <c r="AV32" i="13"/>
  <c r="AW32" i="13"/>
  <c r="AX32" i="13"/>
  <c r="AY32" i="13"/>
  <c r="AZ32" i="13"/>
  <c r="C33" i="13"/>
  <c r="D33" i="13"/>
  <c r="E33" i="13"/>
  <c r="F33" i="13"/>
  <c r="G33" i="13"/>
  <c r="H33" i="13"/>
  <c r="I33" i="13"/>
  <c r="J33" i="13"/>
  <c r="K33" i="13"/>
  <c r="L33" i="13"/>
  <c r="M33" i="13"/>
  <c r="N33" i="13"/>
  <c r="O33" i="13"/>
  <c r="P33" i="13"/>
  <c r="Q33" i="13"/>
  <c r="R33" i="13"/>
  <c r="S33" i="13"/>
  <c r="T33" i="13"/>
  <c r="U33" i="13"/>
  <c r="V33" i="13"/>
  <c r="W33" i="13"/>
  <c r="X33" i="13"/>
  <c r="Y33" i="13"/>
  <c r="Z33" i="13"/>
  <c r="AA33" i="13"/>
  <c r="AA33" i="12" s="1"/>
  <c r="AB33" i="13"/>
  <c r="AC33" i="13"/>
  <c r="AD33" i="13"/>
  <c r="AE33" i="13"/>
  <c r="AE33" i="12" s="1"/>
  <c r="AF33" i="13"/>
  <c r="AG33" i="13"/>
  <c r="AH33" i="13"/>
  <c r="AI33" i="13"/>
  <c r="AJ33" i="13"/>
  <c r="AK33" i="13"/>
  <c r="AL33" i="13"/>
  <c r="AM33" i="13"/>
  <c r="AN33" i="13"/>
  <c r="AO33" i="13"/>
  <c r="AP33" i="13"/>
  <c r="AQ33" i="13"/>
  <c r="AR33" i="13"/>
  <c r="AS33" i="13"/>
  <c r="AT33" i="13"/>
  <c r="AU33" i="13"/>
  <c r="AV33" i="13"/>
  <c r="AW33" i="13"/>
  <c r="AX33" i="13"/>
  <c r="AY33" i="13"/>
  <c r="AZ33" i="13"/>
  <c r="C34" i="13"/>
  <c r="D34" i="13"/>
  <c r="E34" i="13"/>
  <c r="F34" i="13"/>
  <c r="G34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T34" i="13"/>
  <c r="U34" i="13"/>
  <c r="V34" i="13"/>
  <c r="W34" i="13"/>
  <c r="X34" i="13"/>
  <c r="Y34" i="13"/>
  <c r="Y34" i="12" s="1"/>
  <c r="Z34" i="13"/>
  <c r="AA34" i="13"/>
  <c r="AB34" i="13"/>
  <c r="AC34" i="13"/>
  <c r="AD34" i="13"/>
  <c r="AE34" i="13"/>
  <c r="AF34" i="13"/>
  <c r="AG34" i="13"/>
  <c r="AH34" i="13"/>
  <c r="AI34" i="13"/>
  <c r="AJ34" i="13"/>
  <c r="AK34" i="13"/>
  <c r="AL34" i="13"/>
  <c r="AL34" i="12" s="1"/>
  <c r="AM34" i="13"/>
  <c r="AN34" i="13"/>
  <c r="AO34" i="13"/>
  <c r="AP34" i="13"/>
  <c r="AQ34" i="13"/>
  <c r="AR34" i="13"/>
  <c r="AS34" i="13"/>
  <c r="AT34" i="13"/>
  <c r="AU34" i="13"/>
  <c r="AV34" i="13"/>
  <c r="AW34" i="13"/>
  <c r="AX34" i="13"/>
  <c r="AY34" i="13"/>
  <c r="AZ34" i="13"/>
  <c r="C35" i="13"/>
  <c r="D35" i="13"/>
  <c r="E35" i="13"/>
  <c r="F35" i="13"/>
  <c r="G35" i="13"/>
  <c r="H35" i="13"/>
  <c r="I35" i="13"/>
  <c r="J35" i="13"/>
  <c r="K35" i="13"/>
  <c r="L35" i="13"/>
  <c r="M35" i="13"/>
  <c r="N35" i="13"/>
  <c r="O35" i="13"/>
  <c r="P35" i="13"/>
  <c r="Q35" i="13"/>
  <c r="R35" i="13"/>
  <c r="S35" i="13"/>
  <c r="T35" i="13"/>
  <c r="U35" i="13"/>
  <c r="V35" i="13"/>
  <c r="W35" i="13"/>
  <c r="W35" i="8" s="1"/>
  <c r="X35" i="13"/>
  <c r="Y35" i="13"/>
  <c r="Z35" i="13"/>
  <c r="AA35" i="13"/>
  <c r="AA35" i="12" s="1"/>
  <c r="AB35" i="13"/>
  <c r="AC35" i="13"/>
  <c r="AD35" i="13"/>
  <c r="AE35" i="13"/>
  <c r="AE35" i="8" s="1"/>
  <c r="AF35" i="13"/>
  <c r="AG35" i="13"/>
  <c r="AH35" i="13"/>
  <c r="AI35" i="13"/>
  <c r="AI35" i="8" s="1"/>
  <c r="AJ35" i="13"/>
  <c r="AK35" i="13"/>
  <c r="AL35" i="13"/>
  <c r="AM35" i="13"/>
  <c r="AM35" i="8" s="1"/>
  <c r="AN35" i="13"/>
  <c r="AO35" i="13"/>
  <c r="AP35" i="13"/>
  <c r="AQ35" i="13"/>
  <c r="AQ35" i="8" s="1"/>
  <c r="AR35" i="13"/>
  <c r="AS35" i="13"/>
  <c r="AT35" i="13"/>
  <c r="AU35" i="13"/>
  <c r="AV35" i="13"/>
  <c r="AW35" i="13"/>
  <c r="AX35" i="13"/>
  <c r="AY35" i="13"/>
  <c r="AZ35" i="13"/>
  <c r="C36" i="13"/>
  <c r="D36" i="13"/>
  <c r="E36" i="13"/>
  <c r="F36" i="13"/>
  <c r="G36" i="13"/>
  <c r="H36" i="13"/>
  <c r="I36" i="13"/>
  <c r="J36" i="13"/>
  <c r="K36" i="13"/>
  <c r="L36" i="13"/>
  <c r="M36" i="13"/>
  <c r="N36" i="13"/>
  <c r="O36" i="13"/>
  <c r="P36" i="13"/>
  <c r="Q36" i="13"/>
  <c r="R36" i="13"/>
  <c r="S36" i="13"/>
  <c r="T36" i="13"/>
  <c r="U36" i="13"/>
  <c r="V36" i="13"/>
  <c r="W36" i="13"/>
  <c r="X36" i="13"/>
  <c r="Y36" i="13"/>
  <c r="Y36" i="12" s="1"/>
  <c r="Z36" i="13"/>
  <c r="AA36" i="13"/>
  <c r="AB36" i="13"/>
  <c r="AC36" i="13"/>
  <c r="AD36" i="13"/>
  <c r="AD36" i="12" s="1"/>
  <c r="AE36" i="13"/>
  <c r="AF36" i="13"/>
  <c r="AG36" i="13"/>
  <c r="AH36" i="13"/>
  <c r="AI36" i="13"/>
  <c r="AJ36" i="13"/>
  <c r="AK36" i="13"/>
  <c r="AL36" i="13"/>
  <c r="AM36" i="13"/>
  <c r="AN36" i="13"/>
  <c r="AO36" i="13"/>
  <c r="AO36" i="12" s="1"/>
  <c r="AP36" i="13"/>
  <c r="AQ36" i="13"/>
  <c r="AR36" i="13"/>
  <c r="AS36" i="13"/>
  <c r="AT36" i="13"/>
  <c r="AU36" i="13"/>
  <c r="AV36" i="13"/>
  <c r="AW36" i="13"/>
  <c r="AX36" i="13"/>
  <c r="AY36" i="13"/>
  <c r="AZ36" i="13"/>
  <c r="C37" i="13"/>
  <c r="D37" i="13"/>
  <c r="E37" i="13"/>
  <c r="F37" i="13"/>
  <c r="G37" i="13"/>
  <c r="H37" i="13"/>
  <c r="I37" i="13"/>
  <c r="J37" i="13"/>
  <c r="K37" i="13"/>
  <c r="L37" i="13"/>
  <c r="M37" i="13"/>
  <c r="N37" i="13"/>
  <c r="O37" i="13"/>
  <c r="P37" i="13"/>
  <c r="Q37" i="13"/>
  <c r="R37" i="13"/>
  <c r="S37" i="13"/>
  <c r="T37" i="13"/>
  <c r="U37" i="13"/>
  <c r="V37" i="13"/>
  <c r="W37" i="13"/>
  <c r="W37" i="8" s="1"/>
  <c r="X37" i="13"/>
  <c r="Y37" i="13"/>
  <c r="Z37" i="13"/>
  <c r="AA37" i="13"/>
  <c r="AA37" i="12" s="1"/>
  <c r="AB37" i="13"/>
  <c r="AC37" i="13"/>
  <c r="AD37" i="13"/>
  <c r="AE37" i="13"/>
  <c r="AE37" i="8" s="1"/>
  <c r="AF37" i="13"/>
  <c r="AG37" i="13"/>
  <c r="AH37" i="13"/>
  <c r="AI37" i="13"/>
  <c r="AI37" i="8" s="1"/>
  <c r="AJ37" i="13"/>
  <c r="AK37" i="13"/>
  <c r="AL37" i="13"/>
  <c r="AM37" i="13"/>
  <c r="AM37" i="12" s="1"/>
  <c r="AN37" i="13"/>
  <c r="AN37" i="12" s="1"/>
  <c r="AN37" i="3" s="1"/>
  <c r="AO37" i="13"/>
  <c r="AP37" i="13"/>
  <c r="AQ37" i="13"/>
  <c r="AQ37" i="8" s="1"/>
  <c r="AR37" i="13"/>
  <c r="AS37" i="13"/>
  <c r="AT37" i="13"/>
  <c r="AU37" i="13"/>
  <c r="AV37" i="13"/>
  <c r="AW37" i="13"/>
  <c r="AX37" i="13"/>
  <c r="AY37" i="13"/>
  <c r="AZ37" i="13"/>
  <c r="C38" i="13"/>
  <c r="D38" i="13"/>
  <c r="E38" i="13"/>
  <c r="F38" i="13"/>
  <c r="G38" i="13"/>
  <c r="H38" i="13"/>
  <c r="I38" i="13"/>
  <c r="J38" i="13"/>
  <c r="K38" i="13"/>
  <c r="L38" i="13"/>
  <c r="M38" i="13"/>
  <c r="N38" i="13"/>
  <c r="O38" i="13"/>
  <c r="P38" i="13"/>
  <c r="Q38" i="13"/>
  <c r="R38" i="13"/>
  <c r="S38" i="13"/>
  <c r="T38" i="13"/>
  <c r="U38" i="13"/>
  <c r="V38" i="13"/>
  <c r="W38" i="13"/>
  <c r="X38" i="13"/>
  <c r="Y38" i="13"/>
  <c r="Z38" i="13"/>
  <c r="Z38" i="12" s="1"/>
  <c r="AA38" i="13"/>
  <c r="AB38" i="13"/>
  <c r="AC38" i="13"/>
  <c r="AD38" i="13"/>
  <c r="AD38" i="12" s="1"/>
  <c r="AE38" i="13"/>
  <c r="AF38" i="13"/>
  <c r="AG38" i="13"/>
  <c r="AH38" i="13"/>
  <c r="AI38" i="13"/>
  <c r="AJ38" i="13"/>
  <c r="AK38" i="13"/>
  <c r="AL38" i="13"/>
  <c r="AL38" i="12" s="1"/>
  <c r="AM38" i="13"/>
  <c r="AN38" i="13"/>
  <c r="AO38" i="13"/>
  <c r="AP38" i="13"/>
  <c r="AQ38" i="13"/>
  <c r="AR38" i="13"/>
  <c r="AS38" i="13"/>
  <c r="AT38" i="13"/>
  <c r="AU38" i="13"/>
  <c r="AV38" i="13"/>
  <c r="AW38" i="13"/>
  <c r="AX38" i="13"/>
  <c r="AY38" i="13"/>
  <c r="AZ38" i="13"/>
  <c r="C39" i="13"/>
  <c r="D39" i="13"/>
  <c r="E39" i="13"/>
  <c r="F39" i="13"/>
  <c r="G39" i="13"/>
  <c r="H39" i="13"/>
  <c r="I39" i="13"/>
  <c r="J39" i="13"/>
  <c r="K39" i="13"/>
  <c r="L39" i="13"/>
  <c r="M39" i="13"/>
  <c r="N39" i="13"/>
  <c r="O39" i="13"/>
  <c r="O39" i="12" s="1"/>
  <c r="P39" i="13"/>
  <c r="Q39" i="13"/>
  <c r="R39" i="13"/>
  <c r="S39" i="13"/>
  <c r="T39" i="13"/>
  <c r="U39" i="13"/>
  <c r="V39" i="13"/>
  <c r="W39" i="13"/>
  <c r="X39" i="13"/>
  <c r="Y39" i="13"/>
  <c r="Z39" i="13"/>
  <c r="AA39" i="13"/>
  <c r="AB39" i="13"/>
  <c r="AC39" i="13"/>
  <c r="AD39" i="13"/>
  <c r="AE39" i="13"/>
  <c r="AE39" i="12" s="1"/>
  <c r="AF39" i="13"/>
  <c r="AG39" i="13"/>
  <c r="AH39" i="13"/>
  <c r="AI39" i="13"/>
  <c r="AJ39" i="13"/>
  <c r="AK39" i="13"/>
  <c r="AL39" i="13"/>
  <c r="AM39" i="13"/>
  <c r="AN39" i="13"/>
  <c r="AN39" i="12" s="1"/>
  <c r="AO39" i="13"/>
  <c r="AP39" i="13"/>
  <c r="AQ39" i="13"/>
  <c r="AR39" i="13"/>
  <c r="AS39" i="13"/>
  <c r="AT39" i="13"/>
  <c r="AU39" i="13"/>
  <c r="AV39" i="13"/>
  <c r="AW39" i="13"/>
  <c r="AX39" i="13"/>
  <c r="AY39" i="13"/>
  <c r="AZ39" i="13"/>
  <c r="C40" i="13"/>
  <c r="D40" i="13"/>
  <c r="E40" i="13"/>
  <c r="F40" i="13"/>
  <c r="G40" i="13"/>
  <c r="H40" i="13"/>
  <c r="I40" i="13"/>
  <c r="J40" i="13"/>
  <c r="K40" i="13"/>
  <c r="L40" i="13"/>
  <c r="M40" i="13"/>
  <c r="M40" i="8" s="1"/>
  <c r="N40" i="13"/>
  <c r="O40" i="13"/>
  <c r="P40" i="13"/>
  <c r="Q40" i="13"/>
  <c r="Q40" i="8" s="1"/>
  <c r="R40" i="13"/>
  <c r="S40" i="13"/>
  <c r="T40" i="13"/>
  <c r="U40" i="13"/>
  <c r="U40" i="8" s="1"/>
  <c r="V40" i="13"/>
  <c r="W40" i="13"/>
  <c r="X40" i="13"/>
  <c r="Y40" i="13"/>
  <c r="Y40" i="8" s="1"/>
  <c r="Z40" i="13"/>
  <c r="AA40" i="13"/>
  <c r="AB40" i="13"/>
  <c r="AC40" i="13"/>
  <c r="AC40" i="12" s="1"/>
  <c r="AD40" i="13"/>
  <c r="AE40" i="13"/>
  <c r="AF40" i="13"/>
  <c r="AG40" i="13"/>
  <c r="AG40" i="8" s="1"/>
  <c r="AH40" i="13"/>
  <c r="AI40" i="13"/>
  <c r="AJ40" i="13"/>
  <c r="AK40" i="13"/>
  <c r="AK40" i="8" s="1"/>
  <c r="AL40" i="13"/>
  <c r="AM40" i="13"/>
  <c r="AN40" i="13"/>
  <c r="AO40" i="13"/>
  <c r="AO40" i="8" s="1"/>
  <c r="AP40" i="13"/>
  <c r="AQ40" i="13"/>
  <c r="AR40" i="13"/>
  <c r="AS40" i="13"/>
  <c r="AT40" i="13"/>
  <c r="AU40" i="13"/>
  <c r="AV40" i="13"/>
  <c r="AW40" i="13"/>
  <c r="AX40" i="13"/>
  <c r="AY40" i="13"/>
  <c r="AZ40" i="13"/>
  <c r="C41" i="13"/>
  <c r="D41" i="13"/>
  <c r="E41" i="13"/>
  <c r="F41" i="13"/>
  <c r="G41" i="13"/>
  <c r="H41" i="13"/>
  <c r="I41" i="13"/>
  <c r="J41" i="13"/>
  <c r="K41" i="13"/>
  <c r="L41" i="13"/>
  <c r="M41" i="13"/>
  <c r="N41" i="13"/>
  <c r="O41" i="13"/>
  <c r="O41" i="8" s="1"/>
  <c r="P41" i="13"/>
  <c r="Q41" i="13"/>
  <c r="R41" i="13"/>
  <c r="S41" i="13"/>
  <c r="S41" i="12" s="1"/>
  <c r="T41" i="13"/>
  <c r="U41" i="13"/>
  <c r="V41" i="13"/>
  <c r="W41" i="13"/>
  <c r="W41" i="8" s="1"/>
  <c r="X41" i="13"/>
  <c r="Y41" i="13"/>
  <c r="Z41" i="13"/>
  <c r="AA41" i="13"/>
  <c r="AA41" i="8" s="1"/>
  <c r="AB41" i="13"/>
  <c r="AC41" i="13"/>
  <c r="AD41" i="13"/>
  <c r="AE41" i="13"/>
  <c r="AE41" i="12" s="1"/>
  <c r="AF41" i="13"/>
  <c r="AG41" i="13"/>
  <c r="AH41" i="13"/>
  <c r="AI41" i="13"/>
  <c r="AI41" i="8" s="1"/>
  <c r="AJ41" i="13"/>
  <c r="AK41" i="13"/>
  <c r="AL41" i="13"/>
  <c r="AM41" i="13"/>
  <c r="AM41" i="8" s="1"/>
  <c r="AN41" i="13"/>
  <c r="AN41" i="12" s="1"/>
  <c r="AO41" i="13"/>
  <c r="AP41" i="13"/>
  <c r="AQ41" i="13"/>
  <c r="AQ41" i="8" s="1"/>
  <c r="AR41" i="13"/>
  <c r="AS41" i="13"/>
  <c r="AT41" i="13"/>
  <c r="AU41" i="13"/>
  <c r="AV41" i="13"/>
  <c r="AW41" i="13"/>
  <c r="AX41" i="13"/>
  <c r="AY41" i="13"/>
  <c r="AZ41" i="13"/>
  <c r="C42" i="13"/>
  <c r="D42" i="13"/>
  <c r="E42" i="13"/>
  <c r="F42" i="13"/>
  <c r="G42" i="13"/>
  <c r="H42" i="13"/>
  <c r="I42" i="13"/>
  <c r="J42" i="13"/>
  <c r="K42" i="13"/>
  <c r="L42" i="13"/>
  <c r="M42" i="13"/>
  <c r="N42" i="13"/>
  <c r="O42" i="13"/>
  <c r="P42" i="13"/>
  <c r="Q42" i="13"/>
  <c r="Q42" i="12" s="1"/>
  <c r="R42" i="13"/>
  <c r="S42" i="13"/>
  <c r="T42" i="13"/>
  <c r="U42" i="13"/>
  <c r="V42" i="13"/>
  <c r="W42" i="13"/>
  <c r="X42" i="13"/>
  <c r="Y42" i="13"/>
  <c r="Z42" i="13"/>
  <c r="AA42" i="13"/>
  <c r="AB42" i="13"/>
  <c r="AC42" i="13"/>
  <c r="AC42" i="12" s="1"/>
  <c r="AD42" i="13"/>
  <c r="AE42" i="13"/>
  <c r="AF42" i="13"/>
  <c r="AG42" i="13"/>
  <c r="AG42" i="12" s="1"/>
  <c r="AH42" i="13"/>
  <c r="AI42" i="13"/>
  <c r="AJ42" i="13"/>
  <c r="AK42" i="13"/>
  <c r="AL42" i="13"/>
  <c r="AM42" i="13"/>
  <c r="AN42" i="13"/>
  <c r="AO42" i="13"/>
  <c r="AP42" i="13"/>
  <c r="AQ42" i="13"/>
  <c r="AR42" i="13"/>
  <c r="AS42" i="13"/>
  <c r="AT42" i="13"/>
  <c r="AU42" i="13"/>
  <c r="AV42" i="13"/>
  <c r="AW42" i="13"/>
  <c r="AX42" i="13"/>
  <c r="AY42" i="13"/>
  <c r="AZ42" i="13"/>
  <c r="C43" i="13"/>
  <c r="D43" i="13"/>
  <c r="E43" i="13"/>
  <c r="F43" i="13"/>
  <c r="G43" i="13"/>
  <c r="H43" i="13"/>
  <c r="I43" i="13"/>
  <c r="J43" i="13"/>
  <c r="K43" i="13"/>
  <c r="L43" i="13"/>
  <c r="M43" i="13"/>
  <c r="N43" i="13"/>
  <c r="O43" i="13"/>
  <c r="P43" i="13"/>
  <c r="Q43" i="13"/>
  <c r="R43" i="13"/>
  <c r="S43" i="13"/>
  <c r="T43" i="13"/>
  <c r="U43" i="13"/>
  <c r="V43" i="13"/>
  <c r="W43" i="13"/>
  <c r="X43" i="13"/>
  <c r="Y43" i="13"/>
  <c r="Z43" i="13"/>
  <c r="AA43" i="13"/>
  <c r="AB43" i="13"/>
  <c r="AC43" i="13"/>
  <c r="AD43" i="13"/>
  <c r="AE43" i="13"/>
  <c r="AE43" i="12" s="1"/>
  <c r="AF43" i="13"/>
  <c r="AF43" i="12" s="1"/>
  <c r="AG43" i="13"/>
  <c r="AH43" i="13"/>
  <c r="AI43" i="13"/>
  <c r="AJ43" i="13"/>
  <c r="AK43" i="13"/>
  <c r="AL43" i="13"/>
  <c r="AM43" i="13"/>
  <c r="AN43" i="13"/>
  <c r="AO43" i="13"/>
  <c r="AP43" i="13"/>
  <c r="AQ43" i="13"/>
  <c r="AQ43" i="12" s="1"/>
  <c r="AR43" i="13"/>
  <c r="AS43" i="13"/>
  <c r="AT43" i="13"/>
  <c r="AU43" i="13"/>
  <c r="AV43" i="13"/>
  <c r="AW43" i="13"/>
  <c r="AX43" i="13"/>
  <c r="AY43" i="13"/>
  <c r="AZ43" i="13"/>
  <c r="C44" i="13"/>
  <c r="D44" i="13"/>
  <c r="E44" i="13"/>
  <c r="F44" i="13"/>
  <c r="G44" i="13"/>
  <c r="H44" i="13"/>
  <c r="I44" i="13"/>
  <c r="J44" i="13"/>
  <c r="K44" i="13"/>
  <c r="L44" i="13"/>
  <c r="M44" i="13"/>
  <c r="M44" i="8" s="1"/>
  <c r="N44" i="13"/>
  <c r="O44" i="13"/>
  <c r="P44" i="13"/>
  <c r="Q44" i="13"/>
  <c r="Q44" i="8" s="1"/>
  <c r="R44" i="13"/>
  <c r="S44" i="13"/>
  <c r="T44" i="13"/>
  <c r="U44" i="13"/>
  <c r="U44" i="8" s="1"/>
  <c r="V44" i="13"/>
  <c r="W44" i="13"/>
  <c r="X44" i="13"/>
  <c r="Y44" i="13"/>
  <c r="Y44" i="8" s="1"/>
  <c r="Z44" i="13"/>
  <c r="AA44" i="13"/>
  <c r="AB44" i="13"/>
  <c r="AC44" i="13"/>
  <c r="AC44" i="8" s="1"/>
  <c r="AD44" i="13"/>
  <c r="AD44" i="12" s="1"/>
  <c r="AE44" i="13"/>
  <c r="AF44" i="13"/>
  <c r="AG44" i="13"/>
  <c r="AG44" i="8" s="1"/>
  <c r="AH44" i="13"/>
  <c r="AI44" i="13"/>
  <c r="AJ44" i="13"/>
  <c r="AK44" i="13"/>
  <c r="AK44" i="8" s="1"/>
  <c r="AL44" i="13"/>
  <c r="AM44" i="13"/>
  <c r="AN44" i="13"/>
  <c r="AO44" i="13"/>
  <c r="AO44" i="8" s="1"/>
  <c r="AP44" i="13"/>
  <c r="AP44" i="12" s="1"/>
  <c r="AQ44" i="13"/>
  <c r="AR44" i="13"/>
  <c r="AS44" i="13"/>
  <c r="AT44" i="13"/>
  <c r="AU44" i="13"/>
  <c r="AV44" i="13"/>
  <c r="AW44" i="13"/>
  <c r="AX44" i="13"/>
  <c r="AY44" i="13"/>
  <c r="AZ44" i="13"/>
  <c r="C45" i="13"/>
  <c r="D45" i="13"/>
  <c r="E45" i="13"/>
  <c r="F45" i="13"/>
  <c r="G45" i="13"/>
  <c r="H45" i="13"/>
  <c r="I45" i="13"/>
  <c r="J45" i="13"/>
  <c r="K45" i="13"/>
  <c r="L45" i="13"/>
  <c r="M45" i="13"/>
  <c r="N45" i="13"/>
  <c r="O45" i="13"/>
  <c r="O45" i="8" s="1"/>
  <c r="P45" i="13"/>
  <c r="Q45" i="13"/>
  <c r="R45" i="13"/>
  <c r="S45" i="13"/>
  <c r="S45" i="8" s="1"/>
  <c r="T45" i="13"/>
  <c r="U45" i="13"/>
  <c r="V45" i="13"/>
  <c r="W45" i="13"/>
  <c r="W45" i="8" s="1"/>
  <c r="X45" i="13"/>
  <c r="Y45" i="13"/>
  <c r="Z45" i="13"/>
  <c r="AA45" i="13"/>
  <c r="AA45" i="8" s="1"/>
  <c r="AB45" i="13"/>
  <c r="AC45" i="13"/>
  <c r="AD45" i="13"/>
  <c r="AE45" i="13"/>
  <c r="AE45" i="8" s="1"/>
  <c r="AF45" i="13"/>
  <c r="AG45" i="13"/>
  <c r="AH45" i="13"/>
  <c r="AI45" i="13"/>
  <c r="AI45" i="12" s="1"/>
  <c r="AJ45" i="13"/>
  <c r="AK45" i="13"/>
  <c r="AL45" i="13"/>
  <c r="AM45" i="13"/>
  <c r="AM45" i="8" s="1"/>
  <c r="AN45" i="13"/>
  <c r="AO45" i="13"/>
  <c r="AP45" i="13"/>
  <c r="AQ45" i="13"/>
  <c r="AQ45" i="8" s="1"/>
  <c r="AR45" i="13"/>
  <c r="AS45" i="13"/>
  <c r="AT45" i="13"/>
  <c r="AU45" i="13"/>
  <c r="AV45" i="13"/>
  <c r="AW45" i="13"/>
  <c r="AX45" i="13"/>
  <c r="AY45" i="13"/>
  <c r="AZ45" i="13"/>
  <c r="C46" i="13"/>
  <c r="D46" i="13"/>
  <c r="E46" i="13"/>
  <c r="F46" i="13"/>
  <c r="G46" i="13"/>
  <c r="H46" i="13"/>
  <c r="I46" i="13"/>
  <c r="J46" i="13"/>
  <c r="K46" i="13"/>
  <c r="L46" i="13"/>
  <c r="M46" i="13"/>
  <c r="N46" i="13"/>
  <c r="O46" i="13"/>
  <c r="P46" i="13"/>
  <c r="Q46" i="13"/>
  <c r="Q46" i="12" s="1"/>
  <c r="R46" i="13"/>
  <c r="S46" i="13"/>
  <c r="T46" i="13"/>
  <c r="U46" i="13"/>
  <c r="V46" i="13"/>
  <c r="W46" i="13"/>
  <c r="X46" i="13"/>
  <c r="Y46" i="13"/>
  <c r="Z46" i="13"/>
  <c r="AA46" i="13"/>
  <c r="AB46" i="13"/>
  <c r="AC46" i="13"/>
  <c r="AD46" i="13"/>
  <c r="AE46" i="13"/>
  <c r="AF46" i="13"/>
  <c r="AG46" i="13"/>
  <c r="AH46" i="13"/>
  <c r="AI46" i="13"/>
  <c r="AJ46" i="13"/>
  <c r="AK46" i="13"/>
  <c r="AL46" i="13"/>
  <c r="AM46" i="13"/>
  <c r="AN46" i="13"/>
  <c r="AO46" i="13"/>
  <c r="AP46" i="13"/>
  <c r="AQ46" i="13"/>
  <c r="AR46" i="13"/>
  <c r="AS46" i="13"/>
  <c r="AT46" i="13"/>
  <c r="AU46" i="13"/>
  <c r="AV46" i="13"/>
  <c r="AW46" i="13"/>
  <c r="AX46" i="13"/>
  <c r="AY46" i="13"/>
  <c r="AZ46" i="13"/>
  <c r="C47" i="13"/>
  <c r="D47" i="13"/>
  <c r="E47" i="13"/>
  <c r="F47" i="13"/>
  <c r="G47" i="13"/>
  <c r="H47" i="13"/>
  <c r="I47" i="13"/>
  <c r="J47" i="13"/>
  <c r="K47" i="13"/>
  <c r="L47" i="13"/>
  <c r="M47" i="13"/>
  <c r="N47" i="13"/>
  <c r="O47" i="13"/>
  <c r="P47" i="13"/>
  <c r="Q47" i="13"/>
  <c r="R47" i="13"/>
  <c r="S47" i="13"/>
  <c r="T47" i="13"/>
  <c r="U47" i="13"/>
  <c r="V47" i="13"/>
  <c r="W47" i="13"/>
  <c r="W47" i="12" s="1"/>
  <c r="X47" i="13"/>
  <c r="Y47" i="13"/>
  <c r="Z47" i="13"/>
  <c r="AA47" i="13"/>
  <c r="AB47" i="13"/>
  <c r="AC47" i="13"/>
  <c r="AD47" i="13"/>
  <c r="AE47" i="13"/>
  <c r="AE47" i="12" s="1"/>
  <c r="AF47" i="13"/>
  <c r="AG47" i="13"/>
  <c r="AH47" i="13"/>
  <c r="AI47" i="13"/>
  <c r="AI47" i="12" s="1"/>
  <c r="AJ47" i="13"/>
  <c r="AK47" i="13"/>
  <c r="AL47" i="13"/>
  <c r="AM47" i="13"/>
  <c r="AN47" i="13"/>
  <c r="AO47" i="13"/>
  <c r="AP47" i="13"/>
  <c r="AQ47" i="13"/>
  <c r="AR47" i="13"/>
  <c r="AS47" i="13"/>
  <c r="AT47" i="13"/>
  <c r="AU47" i="13"/>
  <c r="AV47" i="13"/>
  <c r="AW47" i="13"/>
  <c r="AX47" i="13"/>
  <c r="AY47" i="13"/>
  <c r="AZ47" i="13"/>
  <c r="C48" i="13"/>
  <c r="D48" i="13"/>
  <c r="E48" i="13"/>
  <c r="F48" i="13"/>
  <c r="G48" i="13"/>
  <c r="H48" i="13"/>
  <c r="I48" i="13"/>
  <c r="J48" i="13"/>
  <c r="K48" i="13"/>
  <c r="L48" i="13"/>
  <c r="M48" i="13"/>
  <c r="M48" i="8" s="1"/>
  <c r="N48" i="13"/>
  <c r="O48" i="13"/>
  <c r="P48" i="13"/>
  <c r="Q48" i="13"/>
  <c r="Q48" i="8" s="1"/>
  <c r="R48" i="13"/>
  <c r="S48" i="13"/>
  <c r="T48" i="13"/>
  <c r="U48" i="13"/>
  <c r="U48" i="12" s="1"/>
  <c r="V48" i="13"/>
  <c r="W48" i="13"/>
  <c r="X48" i="13"/>
  <c r="Y48" i="13"/>
  <c r="Y48" i="8" s="1"/>
  <c r="Z48" i="13"/>
  <c r="AA48" i="13"/>
  <c r="AB48" i="13"/>
  <c r="AC48" i="13"/>
  <c r="AC48" i="8" s="1"/>
  <c r="AD48" i="13"/>
  <c r="AE48" i="13"/>
  <c r="AF48" i="13"/>
  <c r="AG48" i="13"/>
  <c r="AG48" i="8" s="1"/>
  <c r="AH48" i="13"/>
  <c r="AI48" i="13"/>
  <c r="AJ48" i="13"/>
  <c r="AK48" i="13"/>
  <c r="AK48" i="12" s="1"/>
  <c r="AL48" i="13"/>
  <c r="AM48" i="13"/>
  <c r="AN48" i="13"/>
  <c r="AO48" i="13"/>
  <c r="AO48" i="8" s="1"/>
  <c r="AP48" i="13"/>
  <c r="AQ48" i="13"/>
  <c r="AR48" i="13"/>
  <c r="AS48" i="13"/>
  <c r="AT48" i="13"/>
  <c r="AU48" i="13"/>
  <c r="AV48" i="13"/>
  <c r="AW48" i="13"/>
  <c r="AX48" i="13"/>
  <c r="AY48" i="13"/>
  <c r="AZ48" i="13"/>
  <c r="C49" i="13"/>
  <c r="D49" i="13"/>
  <c r="E49" i="13"/>
  <c r="F49" i="13"/>
  <c r="G49" i="13"/>
  <c r="H49" i="13"/>
  <c r="I49" i="13"/>
  <c r="J49" i="13"/>
  <c r="K49" i="13"/>
  <c r="L49" i="13"/>
  <c r="M49" i="13"/>
  <c r="N49" i="13"/>
  <c r="O49" i="13"/>
  <c r="O49" i="8" s="1"/>
  <c r="P49" i="13"/>
  <c r="Q49" i="13"/>
  <c r="R49" i="13"/>
  <c r="S49" i="13"/>
  <c r="S49" i="8" s="1"/>
  <c r="T49" i="13"/>
  <c r="U49" i="13"/>
  <c r="V49" i="13"/>
  <c r="W49" i="13"/>
  <c r="W49" i="8" s="1"/>
  <c r="X49" i="13"/>
  <c r="Y49" i="13"/>
  <c r="Z49" i="13"/>
  <c r="AA49" i="13"/>
  <c r="AA49" i="8" s="1"/>
  <c r="AB49" i="13"/>
  <c r="AC49" i="13"/>
  <c r="AD49" i="13"/>
  <c r="AE49" i="13"/>
  <c r="AE49" i="8" s="1"/>
  <c r="AF49" i="13"/>
  <c r="AG49" i="13"/>
  <c r="AH49" i="13"/>
  <c r="AI49" i="13"/>
  <c r="AI49" i="12" s="1"/>
  <c r="AJ49" i="13"/>
  <c r="AJ49" i="12" s="1"/>
  <c r="AK49" i="13"/>
  <c r="AL49" i="13"/>
  <c r="AM49" i="13"/>
  <c r="AM49" i="8" s="1"/>
  <c r="AN49" i="13"/>
  <c r="AO49" i="13"/>
  <c r="AP49" i="13"/>
  <c r="AQ49" i="13"/>
  <c r="AQ49" i="8" s="1"/>
  <c r="AR49" i="13"/>
  <c r="AS49" i="13"/>
  <c r="AT49" i="13"/>
  <c r="AU49" i="13"/>
  <c r="AV49" i="13"/>
  <c r="AW49" i="13"/>
  <c r="AX49" i="13"/>
  <c r="AY49" i="13"/>
  <c r="AZ49" i="13"/>
  <c r="C50" i="13"/>
  <c r="D50" i="13"/>
  <c r="E50" i="13"/>
  <c r="F50" i="13"/>
  <c r="G50" i="13"/>
  <c r="H50" i="13"/>
  <c r="I50" i="13"/>
  <c r="J50" i="13"/>
  <c r="K50" i="13"/>
  <c r="L50" i="13"/>
  <c r="M50" i="13"/>
  <c r="M50" i="12" s="1"/>
  <c r="N50" i="13"/>
  <c r="O50" i="13"/>
  <c r="P50" i="13"/>
  <c r="Q50" i="13"/>
  <c r="R50" i="13"/>
  <c r="S50" i="13"/>
  <c r="T50" i="13"/>
  <c r="U50" i="13"/>
  <c r="V50" i="13"/>
  <c r="W50" i="13"/>
  <c r="X50" i="13"/>
  <c r="Y50" i="13"/>
  <c r="Z50" i="13"/>
  <c r="AA50" i="13"/>
  <c r="AB50" i="13"/>
  <c r="AC50" i="13"/>
  <c r="AD50" i="13"/>
  <c r="AE50" i="13"/>
  <c r="AF50" i="13"/>
  <c r="AG50" i="13"/>
  <c r="AH50" i="13"/>
  <c r="AH50" i="12" s="1"/>
  <c r="AI50" i="13"/>
  <c r="AJ50" i="13"/>
  <c r="AK50" i="13"/>
  <c r="AL50" i="13"/>
  <c r="AM50" i="13"/>
  <c r="AN50" i="13"/>
  <c r="AO50" i="13"/>
  <c r="AP50" i="13"/>
  <c r="AQ50" i="13"/>
  <c r="AR50" i="13"/>
  <c r="AS50" i="13"/>
  <c r="AT50" i="13"/>
  <c r="AU50" i="13"/>
  <c r="AV50" i="13"/>
  <c r="AW50" i="13"/>
  <c r="AX50" i="13"/>
  <c r="AY50" i="13"/>
  <c r="AZ50" i="13"/>
  <c r="C51" i="13"/>
  <c r="C51" i="12" s="1"/>
  <c r="D51" i="13"/>
  <c r="E51" i="13"/>
  <c r="F51" i="13"/>
  <c r="G51" i="13"/>
  <c r="G51" i="12" s="1"/>
  <c r="H51" i="13"/>
  <c r="I51" i="13"/>
  <c r="J51" i="13"/>
  <c r="K51" i="13"/>
  <c r="K51" i="12" s="1"/>
  <c r="L51" i="13"/>
  <c r="L51" i="12" s="1"/>
  <c r="M51" i="13"/>
  <c r="N51" i="13"/>
  <c r="O51" i="13"/>
  <c r="O51" i="12" s="1"/>
  <c r="P51" i="13"/>
  <c r="Q51" i="13"/>
  <c r="R51" i="13"/>
  <c r="S51" i="13"/>
  <c r="S51" i="12" s="1"/>
  <c r="T51" i="13"/>
  <c r="T51" i="12" s="1"/>
  <c r="U51" i="13"/>
  <c r="V51" i="13"/>
  <c r="W51" i="13"/>
  <c r="W51" i="12" s="1"/>
  <c r="X51" i="13"/>
  <c r="Y51" i="13"/>
  <c r="Z51" i="13"/>
  <c r="AA51" i="13"/>
  <c r="AA51" i="12" s="1"/>
  <c r="AB51" i="13"/>
  <c r="AB51" i="12" s="1"/>
  <c r="AC51" i="13"/>
  <c r="AD51" i="13"/>
  <c r="AE51" i="13"/>
  <c r="AE51" i="12" s="1"/>
  <c r="AF51" i="13"/>
  <c r="AG51" i="13"/>
  <c r="AH51" i="13"/>
  <c r="AI51" i="13"/>
  <c r="AI51" i="12" s="1"/>
  <c r="AJ51" i="13"/>
  <c r="AJ51" i="12" s="1"/>
  <c r="AK51" i="13"/>
  <c r="AL51" i="13"/>
  <c r="AM51" i="13"/>
  <c r="AM51" i="12" s="1"/>
  <c r="AN51" i="13"/>
  <c r="AO51" i="13"/>
  <c r="AP51" i="13"/>
  <c r="AQ51" i="13"/>
  <c r="AQ51" i="12" s="1"/>
  <c r="AR51" i="13"/>
  <c r="AS51" i="13"/>
  <c r="AT51" i="13"/>
  <c r="AU51" i="13"/>
  <c r="AV51" i="13"/>
  <c r="AW51" i="13"/>
  <c r="AX51" i="13"/>
  <c r="AY51" i="13"/>
  <c r="AZ51" i="13"/>
  <c r="C52" i="13"/>
  <c r="D52" i="13"/>
  <c r="E52" i="13"/>
  <c r="E52" i="12" s="1"/>
  <c r="F52" i="13"/>
  <c r="G52" i="13"/>
  <c r="H52" i="13"/>
  <c r="I52" i="13"/>
  <c r="I52" i="12" s="1"/>
  <c r="J52" i="13"/>
  <c r="K52" i="13"/>
  <c r="L52" i="13"/>
  <c r="M52" i="13"/>
  <c r="M52" i="12" s="1"/>
  <c r="N52" i="13"/>
  <c r="N52" i="12" s="1"/>
  <c r="O52" i="13"/>
  <c r="P52" i="13"/>
  <c r="Q52" i="13"/>
  <c r="Q52" i="12" s="1"/>
  <c r="R52" i="13"/>
  <c r="S52" i="13"/>
  <c r="T52" i="13"/>
  <c r="U52" i="13"/>
  <c r="U52" i="12" s="1"/>
  <c r="V52" i="13"/>
  <c r="W52" i="13"/>
  <c r="X52" i="13"/>
  <c r="Y52" i="13"/>
  <c r="Y52" i="12" s="1"/>
  <c r="Z52" i="13"/>
  <c r="Z52" i="12" s="1"/>
  <c r="AA52" i="13"/>
  <c r="AB52" i="13"/>
  <c r="AC52" i="13"/>
  <c r="AC52" i="12" s="1"/>
  <c r="AD52" i="13"/>
  <c r="AD52" i="12" s="1"/>
  <c r="AE52" i="13"/>
  <c r="AF52" i="13"/>
  <c r="AG52" i="13"/>
  <c r="AG52" i="12" s="1"/>
  <c r="AH52" i="13"/>
  <c r="AH52" i="12" s="1"/>
  <c r="AI52" i="13"/>
  <c r="AJ52" i="13"/>
  <c r="AK52" i="13"/>
  <c r="AK52" i="12" s="1"/>
  <c r="AL52" i="13"/>
  <c r="AM52" i="13"/>
  <c r="AN52" i="13"/>
  <c r="AO52" i="13"/>
  <c r="AO52" i="12" s="1"/>
  <c r="AP52" i="13"/>
  <c r="AP52" i="12" s="1"/>
  <c r="AQ52" i="13"/>
  <c r="AR52" i="13"/>
  <c r="AS52" i="13"/>
  <c r="AT52" i="13"/>
  <c r="AU52" i="13"/>
  <c r="AV52" i="13"/>
  <c r="AW52" i="13"/>
  <c r="AX52" i="13"/>
  <c r="AY52" i="13"/>
  <c r="AZ52" i="13"/>
  <c r="C53" i="13"/>
  <c r="C53" i="12" s="1"/>
  <c r="D53" i="13"/>
  <c r="E53" i="13"/>
  <c r="F53" i="13"/>
  <c r="G53" i="13"/>
  <c r="G53" i="12" s="1"/>
  <c r="H53" i="13"/>
  <c r="H53" i="12" s="1"/>
  <c r="I53" i="13"/>
  <c r="J53" i="13"/>
  <c r="K53" i="13"/>
  <c r="K53" i="12" s="1"/>
  <c r="L53" i="13"/>
  <c r="L53" i="12" s="1"/>
  <c r="M53" i="13"/>
  <c r="N53" i="13"/>
  <c r="O53" i="13"/>
  <c r="O53" i="12" s="1"/>
  <c r="P53" i="13"/>
  <c r="P53" i="12" s="1"/>
  <c r="Q53" i="13"/>
  <c r="R53" i="13"/>
  <c r="S53" i="13"/>
  <c r="S53" i="12" s="1"/>
  <c r="T53" i="13"/>
  <c r="U53" i="13"/>
  <c r="V53" i="13"/>
  <c r="W53" i="13"/>
  <c r="W53" i="12" s="1"/>
  <c r="X53" i="13"/>
  <c r="Y53" i="13"/>
  <c r="Z53" i="13"/>
  <c r="AA53" i="13"/>
  <c r="AA53" i="12" s="1"/>
  <c r="AB53" i="13"/>
  <c r="AB53" i="12" s="1"/>
  <c r="AC53" i="13"/>
  <c r="AD53" i="13"/>
  <c r="AE53" i="13"/>
  <c r="AE53" i="12" s="1"/>
  <c r="AF53" i="13"/>
  <c r="AG53" i="13"/>
  <c r="AH53" i="13"/>
  <c r="AI53" i="13"/>
  <c r="AI53" i="12" s="1"/>
  <c r="AJ53" i="13"/>
  <c r="AK53" i="13"/>
  <c r="AL53" i="13"/>
  <c r="AM53" i="13"/>
  <c r="AM53" i="12" s="1"/>
  <c r="AN53" i="13"/>
  <c r="AN53" i="12" s="1"/>
  <c r="AO53" i="13"/>
  <c r="AP53" i="13"/>
  <c r="AQ53" i="13"/>
  <c r="AQ53" i="12" s="1"/>
  <c r="AR53" i="13"/>
  <c r="AS53" i="13"/>
  <c r="AT53" i="13"/>
  <c r="AU53" i="13"/>
  <c r="AV53" i="13"/>
  <c r="AW53" i="13"/>
  <c r="AX53" i="13"/>
  <c r="AY53" i="13"/>
  <c r="AZ53" i="13"/>
  <c r="C54" i="13"/>
  <c r="D54" i="13"/>
  <c r="E54" i="13"/>
  <c r="E54" i="12" s="1"/>
  <c r="F54" i="13"/>
  <c r="F54" i="12" s="1"/>
  <c r="G54" i="13"/>
  <c r="H54" i="13"/>
  <c r="I54" i="13"/>
  <c r="I54" i="12" s="1"/>
  <c r="J54" i="13"/>
  <c r="K54" i="13"/>
  <c r="L54" i="13"/>
  <c r="M54" i="13"/>
  <c r="M54" i="12" s="1"/>
  <c r="N54" i="13"/>
  <c r="N54" i="12" s="1"/>
  <c r="O54" i="13"/>
  <c r="P54" i="13"/>
  <c r="Q54" i="13"/>
  <c r="Q54" i="12" s="1"/>
  <c r="R54" i="13"/>
  <c r="S54" i="13"/>
  <c r="T54" i="13"/>
  <c r="U54" i="13"/>
  <c r="U54" i="12" s="1"/>
  <c r="V54" i="13"/>
  <c r="W54" i="13"/>
  <c r="X54" i="13"/>
  <c r="Y54" i="13"/>
  <c r="Y54" i="12" s="1"/>
  <c r="Z54" i="13"/>
  <c r="AA54" i="13"/>
  <c r="AB54" i="13"/>
  <c r="AC54" i="13"/>
  <c r="AC54" i="12" s="1"/>
  <c r="AD54" i="13"/>
  <c r="AD54" i="12" s="1"/>
  <c r="AE54" i="13"/>
  <c r="AF54" i="13"/>
  <c r="AG54" i="13"/>
  <c r="AG54" i="12" s="1"/>
  <c r="AH54" i="13"/>
  <c r="AI54" i="13"/>
  <c r="AJ54" i="13"/>
  <c r="AK54" i="13"/>
  <c r="AK54" i="12" s="1"/>
  <c r="AL54" i="13"/>
  <c r="AM54" i="13"/>
  <c r="AN54" i="13"/>
  <c r="AO54" i="13"/>
  <c r="AO54" i="12" s="1"/>
  <c r="AP54" i="13"/>
  <c r="AP54" i="12" s="1"/>
  <c r="AQ54" i="13"/>
  <c r="AR54" i="13"/>
  <c r="AS54" i="13"/>
  <c r="AT54" i="13"/>
  <c r="AU54" i="13"/>
  <c r="AV54" i="13"/>
  <c r="AW54" i="13"/>
  <c r="AX54" i="13"/>
  <c r="AY54" i="13"/>
  <c r="AZ54" i="13"/>
  <c r="C55" i="13"/>
  <c r="C55" i="12" s="1"/>
  <c r="D55" i="13"/>
  <c r="D55" i="12" s="1"/>
  <c r="E55" i="13"/>
  <c r="F55" i="13"/>
  <c r="G55" i="13"/>
  <c r="G55" i="12" s="1"/>
  <c r="H55" i="13"/>
  <c r="H55" i="12" s="1"/>
  <c r="I55" i="13"/>
  <c r="J55" i="13"/>
  <c r="K55" i="13"/>
  <c r="K55" i="12" s="1"/>
  <c r="L55" i="13"/>
  <c r="M55" i="13"/>
  <c r="N55" i="13"/>
  <c r="O55" i="13"/>
  <c r="O55" i="12" s="1"/>
  <c r="P55" i="13"/>
  <c r="Q55" i="13"/>
  <c r="R55" i="13"/>
  <c r="S55" i="13"/>
  <c r="S55" i="12" s="1"/>
  <c r="T55" i="13"/>
  <c r="T55" i="12" s="1"/>
  <c r="U55" i="13"/>
  <c r="V55" i="13"/>
  <c r="W55" i="13"/>
  <c r="W55" i="12" s="1"/>
  <c r="X55" i="13"/>
  <c r="Y55" i="13"/>
  <c r="Z55" i="13"/>
  <c r="AA55" i="13"/>
  <c r="AA55" i="12" s="1"/>
  <c r="AB55" i="13"/>
  <c r="AB55" i="12" s="1"/>
  <c r="AC55" i="13"/>
  <c r="AD55" i="13"/>
  <c r="AE55" i="13"/>
  <c r="AE55" i="12" s="1"/>
  <c r="AF55" i="13"/>
  <c r="AG55" i="13"/>
  <c r="AH55" i="13"/>
  <c r="AI55" i="13"/>
  <c r="AI55" i="12" s="1"/>
  <c r="AJ55" i="13"/>
  <c r="AJ55" i="12" s="1"/>
  <c r="AK55" i="13"/>
  <c r="AL55" i="13"/>
  <c r="AM55" i="13"/>
  <c r="AM55" i="12" s="1"/>
  <c r="AN55" i="13"/>
  <c r="AN55" i="12" s="1"/>
  <c r="AO55" i="13"/>
  <c r="AP55" i="13"/>
  <c r="AQ55" i="13"/>
  <c r="AQ55" i="12" s="1"/>
  <c r="AR55" i="13"/>
  <c r="AS55" i="13"/>
  <c r="AT55" i="13"/>
  <c r="AU55" i="13"/>
  <c r="AV55" i="13"/>
  <c r="AW55" i="13"/>
  <c r="AX55" i="13"/>
  <c r="AY55" i="13"/>
  <c r="AZ55" i="13"/>
  <c r="C56" i="13"/>
  <c r="D56" i="13"/>
  <c r="E56" i="13"/>
  <c r="E56" i="12" s="1"/>
  <c r="F56" i="13"/>
  <c r="F56" i="12" s="1"/>
  <c r="G56" i="13"/>
  <c r="H56" i="13"/>
  <c r="I56" i="13"/>
  <c r="I56" i="12" s="1"/>
  <c r="J56" i="13"/>
  <c r="K56" i="13"/>
  <c r="L56" i="13"/>
  <c r="M56" i="13"/>
  <c r="M56" i="12" s="1"/>
  <c r="N56" i="13"/>
  <c r="O56" i="13"/>
  <c r="P56" i="13"/>
  <c r="Q56" i="13"/>
  <c r="Q56" i="12" s="1"/>
  <c r="R56" i="13"/>
  <c r="R56" i="12" s="1"/>
  <c r="S56" i="13"/>
  <c r="T56" i="13"/>
  <c r="U56" i="13"/>
  <c r="U56" i="12" s="1"/>
  <c r="V56" i="13"/>
  <c r="V56" i="12" s="1"/>
  <c r="W56" i="13"/>
  <c r="X56" i="13"/>
  <c r="Y56" i="13"/>
  <c r="Y56" i="12" s="1"/>
  <c r="Z56" i="13"/>
  <c r="Z56" i="12" s="1"/>
  <c r="AA56" i="13"/>
  <c r="AB56" i="13"/>
  <c r="AC56" i="13"/>
  <c r="AC56" i="12" s="1"/>
  <c r="AD56" i="13"/>
  <c r="AE56" i="13"/>
  <c r="AF56" i="13"/>
  <c r="AG56" i="13"/>
  <c r="AG56" i="12" s="1"/>
  <c r="AH56" i="13"/>
  <c r="AH56" i="12" s="1"/>
  <c r="AI56" i="13"/>
  <c r="AJ56" i="13"/>
  <c r="AK56" i="13"/>
  <c r="AK56" i="12" s="1"/>
  <c r="AL56" i="13"/>
  <c r="AM56" i="13"/>
  <c r="AN56" i="13"/>
  <c r="AO56" i="13"/>
  <c r="AO56" i="12" s="1"/>
  <c r="AP56" i="13"/>
  <c r="AP56" i="12" s="1"/>
  <c r="AQ56" i="13"/>
  <c r="AR56" i="13"/>
  <c r="AS56" i="13"/>
  <c r="AT56" i="13"/>
  <c r="AU56" i="13"/>
  <c r="AV56" i="13"/>
  <c r="AW56" i="13"/>
  <c r="AX56" i="13"/>
  <c r="AY56" i="13"/>
  <c r="AZ56" i="13"/>
  <c r="C57" i="13"/>
  <c r="C57" i="12" s="1"/>
  <c r="D57" i="13"/>
  <c r="D57" i="12" s="1"/>
  <c r="E57" i="13"/>
  <c r="F57" i="13"/>
  <c r="G57" i="13"/>
  <c r="G57" i="12" s="1"/>
  <c r="H57" i="13"/>
  <c r="H57" i="12" s="1"/>
  <c r="I57" i="13"/>
  <c r="J57" i="13"/>
  <c r="K57" i="13"/>
  <c r="K57" i="12" s="1"/>
  <c r="L57" i="13"/>
  <c r="M57" i="13"/>
  <c r="N57" i="13"/>
  <c r="O57" i="13"/>
  <c r="O57" i="12" s="1"/>
  <c r="P57" i="13"/>
  <c r="Q57" i="13"/>
  <c r="R57" i="13"/>
  <c r="S57" i="13"/>
  <c r="S57" i="12" s="1"/>
  <c r="T57" i="13"/>
  <c r="T57" i="12" s="1"/>
  <c r="U57" i="13"/>
  <c r="V57" i="13"/>
  <c r="W57" i="13"/>
  <c r="W57" i="12" s="1"/>
  <c r="X57" i="13"/>
  <c r="Y57" i="13"/>
  <c r="Z57" i="13"/>
  <c r="AA57" i="13"/>
  <c r="AA57" i="12" s="1"/>
  <c r="AB57" i="13"/>
  <c r="AC57" i="13"/>
  <c r="AD57" i="13"/>
  <c r="AE57" i="13"/>
  <c r="AE57" i="12" s="1"/>
  <c r="AF57" i="13"/>
  <c r="AF57" i="12" s="1"/>
  <c r="AG57" i="13"/>
  <c r="AH57" i="13"/>
  <c r="AI57" i="13"/>
  <c r="AI57" i="12" s="1"/>
  <c r="AJ57" i="13"/>
  <c r="AJ57" i="12" s="1"/>
  <c r="AK57" i="13"/>
  <c r="AL57" i="13"/>
  <c r="AM57" i="13"/>
  <c r="AM57" i="12" s="1"/>
  <c r="AN57" i="13"/>
  <c r="AN57" i="12" s="1"/>
  <c r="AO57" i="13"/>
  <c r="AP57" i="13"/>
  <c r="AQ57" i="13"/>
  <c r="AQ57" i="12" s="1"/>
  <c r="AR57" i="13"/>
  <c r="AS57" i="13"/>
  <c r="AT57" i="13"/>
  <c r="AU57" i="13"/>
  <c r="AV57" i="13"/>
  <c r="AW57" i="13"/>
  <c r="AX57" i="13"/>
  <c r="AY57" i="13"/>
  <c r="AZ57" i="13"/>
  <c r="C58" i="13"/>
  <c r="D58" i="13"/>
  <c r="E58" i="13"/>
  <c r="E58" i="12" s="1"/>
  <c r="F58" i="13"/>
  <c r="F58" i="12" s="1"/>
  <c r="G58" i="13"/>
  <c r="H58" i="13"/>
  <c r="I58" i="13"/>
  <c r="I58" i="12" s="1"/>
  <c r="J58" i="13"/>
  <c r="K58" i="13"/>
  <c r="L58" i="13"/>
  <c r="M58" i="13"/>
  <c r="M58" i="12" s="1"/>
  <c r="N58" i="13"/>
  <c r="O58" i="13"/>
  <c r="P58" i="13"/>
  <c r="Q58" i="13"/>
  <c r="Q58" i="12" s="1"/>
  <c r="R58" i="13"/>
  <c r="R58" i="12" s="1"/>
  <c r="S58" i="13"/>
  <c r="T58" i="13"/>
  <c r="U58" i="13"/>
  <c r="U58" i="12" s="1"/>
  <c r="V58" i="13"/>
  <c r="V58" i="12" s="1"/>
  <c r="W58" i="13"/>
  <c r="X58" i="13"/>
  <c r="Y58" i="13"/>
  <c r="Y58" i="12" s="1"/>
  <c r="Z58" i="13"/>
  <c r="AA58" i="13"/>
  <c r="AB58" i="13"/>
  <c r="AC58" i="13"/>
  <c r="AC58" i="12" s="1"/>
  <c r="AD58" i="13"/>
  <c r="AE58" i="13"/>
  <c r="AF58" i="13"/>
  <c r="AG58" i="13"/>
  <c r="AG58" i="12" s="1"/>
  <c r="AH58" i="13"/>
  <c r="AH58" i="12" s="1"/>
  <c r="AI58" i="13"/>
  <c r="AJ58" i="13"/>
  <c r="AK58" i="13"/>
  <c r="AK58" i="12" s="1"/>
  <c r="AL58" i="13"/>
  <c r="AM58" i="13"/>
  <c r="AN58" i="13"/>
  <c r="AO58" i="13"/>
  <c r="AO58" i="12" s="1"/>
  <c r="AP58" i="13"/>
  <c r="AQ58" i="13"/>
  <c r="AR58" i="13"/>
  <c r="AS58" i="13"/>
  <c r="AT58" i="13"/>
  <c r="AU58" i="13"/>
  <c r="AV58" i="13"/>
  <c r="AW58" i="13"/>
  <c r="AX58" i="13"/>
  <c r="AY58" i="13"/>
  <c r="AZ58" i="13"/>
  <c r="C59" i="13"/>
  <c r="C59" i="12" s="1"/>
  <c r="D59" i="13"/>
  <c r="E59" i="13"/>
  <c r="F59" i="13"/>
  <c r="G59" i="13"/>
  <c r="G59" i="12" s="1"/>
  <c r="H59" i="13"/>
  <c r="I59" i="13"/>
  <c r="J59" i="13"/>
  <c r="K59" i="13"/>
  <c r="K59" i="12" s="1"/>
  <c r="L59" i="13"/>
  <c r="L59" i="12" s="1"/>
  <c r="M59" i="13"/>
  <c r="N59" i="13"/>
  <c r="O59" i="13"/>
  <c r="O59" i="12" s="1"/>
  <c r="P59" i="13"/>
  <c r="Q59" i="13"/>
  <c r="R59" i="13"/>
  <c r="S59" i="13"/>
  <c r="S59" i="12" s="1"/>
  <c r="T59" i="13"/>
  <c r="T59" i="12" s="1"/>
  <c r="U59" i="13"/>
  <c r="V59" i="13"/>
  <c r="W59" i="13"/>
  <c r="W59" i="12" s="1"/>
  <c r="X59" i="13"/>
  <c r="Y59" i="13"/>
  <c r="Z59" i="13"/>
  <c r="AA59" i="13"/>
  <c r="AA59" i="12" s="1"/>
  <c r="AB59" i="13"/>
  <c r="AB59" i="12" s="1"/>
  <c r="AC59" i="13"/>
  <c r="AD59" i="13"/>
  <c r="AE59" i="13"/>
  <c r="AE59" i="12" s="1"/>
  <c r="AF59" i="13"/>
  <c r="AF59" i="12" s="1"/>
  <c r="AG59" i="13"/>
  <c r="AH59" i="13"/>
  <c r="AI59" i="13"/>
  <c r="AI59" i="12" s="1"/>
  <c r="AJ59" i="13"/>
  <c r="AJ59" i="12" s="1"/>
  <c r="AK59" i="13"/>
  <c r="AL59" i="13"/>
  <c r="AM59" i="13"/>
  <c r="AM59" i="12" s="1"/>
  <c r="AN59" i="13"/>
  <c r="AO59" i="13"/>
  <c r="AP59" i="13"/>
  <c r="AQ59" i="13"/>
  <c r="AQ59" i="12" s="1"/>
  <c r="AR59" i="13"/>
  <c r="AS59" i="13"/>
  <c r="AT59" i="13"/>
  <c r="AU59" i="13"/>
  <c r="AV59" i="13"/>
  <c r="AW59" i="13"/>
  <c r="AX59" i="13"/>
  <c r="AY59" i="13"/>
  <c r="AZ59" i="13"/>
  <c r="C60" i="13"/>
  <c r="D60" i="13"/>
  <c r="E60" i="13"/>
  <c r="E60" i="12" s="1"/>
  <c r="F60" i="13"/>
  <c r="G60" i="13"/>
  <c r="H60" i="13"/>
  <c r="I60" i="13"/>
  <c r="I60" i="12" s="1"/>
  <c r="J60" i="13"/>
  <c r="J60" i="12" s="1"/>
  <c r="K60" i="13"/>
  <c r="L60" i="13"/>
  <c r="M60" i="13"/>
  <c r="M60" i="12" s="1"/>
  <c r="N60" i="13"/>
  <c r="N60" i="12" s="1"/>
  <c r="O60" i="13"/>
  <c r="P60" i="13"/>
  <c r="Q60" i="13"/>
  <c r="Q60" i="12" s="1"/>
  <c r="R60" i="13"/>
  <c r="R60" i="12" s="1"/>
  <c r="S60" i="13"/>
  <c r="T60" i="13"/>
  <c r="U60" i="13"/>
  <c r="U60" i="12" s="1"/>
  <c r="V60" i="13"/>
  <c r="W60" i="13"/>
  <c r="X60" i="13"/>
  <c r="Y60" i="13"/>
  <c r="Y60" i="12" s="1"/>
  <c r="Z60" i="13"/>
  <c r="AA60" i="13"/>
  <c r="AB60" i="13"/>
  <c r="AC60" i="13"/>
  <c r="AC60" i="12" s="1"/>
  <c r="AD60" i="13"/>
  <c r="AE60" i="13"/>
  <c r="AF60" i="13"/>
  <c r="AG60" i="13"/>
  <c r="AG60" i="12" s="1"/>
  <c r="AH60" i="13"/>
  <c r="AH60" i="12" s="1"/>
  <c r="AI60" i="13"/>
  <c r="AJ60" i="13"/>
  <c r="AK60" i="13"/>
  <c r="AK60" i="12" s="1"/>
  <c r="AL60" i="13"/>
  <c r="AM60" i="13"/>
  <c r="AN60" i="13"/>
  <c r="AO60" i="13"/>
  <c r="AO60" i="12" s="1"/>
  <c r="AP60" i="13"/>
  <c r="AP60" i="12" s="1"/>
  <c r="AQ60" i="13"/>
  <c r="AR60" i="13"/>
  <c r="AS60" i="13"/>
  <c r="AT60" i="13"/>
  <c r="AU60" i="13"/>
  <c r="AV60" i="13"/>
  <c r="AW60" i="13"/>
  <c r="AX60" i="13"/>
  <c r="AY60" i="13"/>
  <c r="AZ60" i="13"/>
  <c r="C61" i="13"/>
  <c r="C61" i="12" s="1"/>
  <c r="D61" i="13"/>
  <c r="E61" i="13"/>
  <c r="F61" i="13"/>
  <c r="G61" i="13"/>
  <c r="G61" i="12" s="1"/>
  <c r="H61" i="13"/>
  <c r="I61" i="13"/>
  <c r="J61" i="13"/>
  <c r="K61" i="13"/>
  <c r="K61" i="12" s="1"/>
  <c r="L61" i="13"/>
  <c r="L61" i="12" s="1"/>
  <c r="M61" i="13"/>
  <c r="N61" i="13"/>
  <c r="O61" i="13"/>
  <c r="O61" i="12" s="1"/>
  <c r="P61" i="13"/>
  <c r="Q61" i="13"/>
  <c r="R61" i="13"/>
  <c r="S61" i="13"/>
  <c r="S61" i="12" s="1"/>
  <c r="T61" i="13"/>
  <c r="U61" i="13"/>
  <c r="V61" i="13"/>
  <c r="W61" i="13"/>
  <c r="W61" i="12" s="1"/>
  <c r="X61" i="13"/>
  <c r="X61" i="12" s="1"/>
  <c r="Y61" i="13"/>
  <c r="Z61" i="13"/>
  <c r="AA61" i="13"/>
  <c r="AA61" i="12" s="1"/>
  <c r="AB61" i="13"/>
  <c r="AB61" i="12" s="1"/>
  <c r="AC61" i="13"/>
  <c r="AD61" i="13"/>
  <c r="AE61" i="13"/>
  <c r="AE61" i="12" s="1"/>
  <c r="AF61" i="13"/>
  <c r="AF61" i="12" s="1"/>
  <c r="AG61" i="13"/>
  <c r="AH61" i="13"/>
  <c r="AI61" i="13"/>
  <c r="AI61" i="12" s="1"/>
  <c r="AJ61" i="13"/>
  <c r="AK61" i="13"/>
  <c r="AL61" i="13"/>
  <c r="AM61" i="13"/>
  <c r="AM61" i="12" s="1"/>
  <c r="AN61" i="13"/>
  <c r="AN61" i="12" s="1"/>
  <c r="AO61" i="13"/>
  <c r="AP61" i="13"/>
  <c r="AQ61" i="13"/>
  <c r="AQ61" i="12" s="1"/>
  <c r="AR61" i="13"/>
  <c r="AS61" i="13"/>
  <c r="AT61" i="13"/>
  <c r="AU61" i="13"/>
  <c r="AV61" i="13"/>
  <c r="AW61" i="13"/>
  <c r="AX61" i="13"/>
  <c r="AY61" i="13"/>
  <c r="AZ61" i="13"/>
  <c r="C62" i="13"/>
  <c r="D62" i="13"/>
  <c r="E62" i="13"/>
  <c r="E62" i="12" s="1"/>
  <c r="F62" i="13"/>
  <c r="F62" i="12" s="1"/>
  <c r="G62" i="13"/>
  <c r="H62" i="13"/>
  <c r="I62" i="13"/>
  <c r="I62" i="12" s="1"/>
  <c r="J62" i="13"/>
  <c r="J62" i="12" s="1"/>
  <c r="K62" i="13"/>
  <c r="L62" i="13"/>
  <c r="M62" i="13"/>
  <c r="M62" i="12" s="1"/>
  <c r="N62" i="13"/>
  <c r="N62" i="12" s="1"/>
  <c r="O62" i="13"/>
  <c r="P62" i="13"/>
  <c r="Q62" i="13"/>
  <c r="Q62" i="12" s="1"/>
  <c r="R62" i="13"/>
  <c r="S62" i="13"/>
  <c r="T62" i="13"/>
  <c r="U62" i="13"/>
  <c r="U62" i="12" s="1"/>
  <c r="V62" i="13"/>
  <c r="W62" i="13"/>
  <c r="X62" i="13"/>
  <c r="Y62" i="13"/>
  <c r="Y62" i="12" s="1"/>
  <c r="Z62" i="13"/>
  <c r="Z62" i="12" s="1"/>
  <c r="AA62" i="13"/>
  <c r="AB62" i="13"/>
  <c r="AC62" i="13"/>
  <c r="AC62" i="12" s="1"/>
  <c r="AD62" i="13"/>
  <c r="AE62" i="13"/>
  <c r="AF62" i="13"/>
  <c r="AG62" i="13"/>
  <c r="AG62" i="12" s="1"/>
  <c r="AH62" i="13"/>
  <c r="AI62" i="13"/>
  <c r="AJ62" i="13"/>
  <c r="AK62" i="13"/>
  <c r="AK62" i="12" s="1"/>
  <c r="AL62" i="13"/>
  <c r="AL62" i="12" s="1"/>
  <c r="AM62" i="13"/>
  <c r="AN62" i="13"/>
  <c r="AO62" i="13"/>
  <c r="AO62" i="12" s="1"/>
  <c r="AP62" i="13"/>
  <c r="AQ62" i="13"/>
  <c r="AR62" i="13"/>
  <c r="AS62" i="13"/>
  <c r="AT62" i="13"/>
  <c r="AU62" i="13"/>
  <c r="AV62" i="13"/>
  <c r="AW62" i="13"/>
  <c r="AX62" i="13"/>
  <c r="AY62" i="13"/>
  <c r="AZ62" i="13"/>
  <c r="C63" i="13"/>
  <c r="C63" i="12" s="1"/>
  <c r="D63" i="13"/>
  <c r="D63" i="12" s="1"/>
  <c r="E63" i="13"/>
  <c r="F63" i="13"/>
  <c r="G63" i="13"/>
  <c r="G63" i="12" s="1"/>
  <c r="H63" i="13"/>
  <c r="I63" i="13"/>
  <c r="J63" i="13"/>
  <c r="K63" i="13"/>
  <c r="K63" i="12" s="1"/>
  <c r="L63" i="13"/>
  <c r="L63" i="12" s="1"/>
  <c r="M63" i="13"/>
  <c r="N63" i="13"/>
  <c r="O63" i="13"/>
  <c r="O63" i="12" s="1"/>
  <c r="P63" i="13"/>
  <c r="Q63" i="13"/>
  <c r="R63" i="13"/>
  <c r="S63" i="13"/>
  <c r="S63" i="12" s="1"/>
  <c r="T63" i="13"/>
  <c r="T63" i="12" s="1"/>
  <c r="U63" i="13"/>
  <c r="V63" i="13"/>
  <c r="W63" i="13"/>
  <c r="W63" i="12" s="1"/>
  <c r="X63" i="13"/>
  <c r="X63" i="12" s="1"/>
  <c r="Y63" i="13"/>
  <c r="Z63" i="13"/>
  <c r="AA63" i="13"/>
  <c r="AA63" i="12" s="1"/>
  <c r="AB63" i="13"/>
  <c r="AC63" i="13"/>
  <c r="AD63" i="13"/>
  <c r="AE63" i="13"/>
  <c r="AE63" i="12" s="1"/>
  <c r="AF63" i="13"/>
  <c r="AG63" i="13"/>
  <c r="AH63" i="13"/>
  <c r="AI63" i="13"/>
  <c r="AI63" i="12" s="1"/>
  <c r="AJ63" i="13"/>
  <c r="AK63" i="13"/>
  <c r="AL63" i="13"/>
  <c r="AM63" i="13"/>
  <c r="AM63" i="12" s="1"/>
  <c r="AN63" i="13"/>
  <c r="AN63" i="12" s="1"/>
  <c r="AO63" i="13"/>
  <c r="AP63" i="13"/>
  <c r="AQ63" i="13"/>
  <c r="AQ63" i="12" s="1"/>
  <c r="AR63" i="13"/>
  <c r="AS63" i="13"/>
  <c r="AT63" i="13"/>
  <c r="AU63" i="13"/>
  <c r="AV63" i="13"/>
  <c r="AW63" i="13"/>
  <c r="AX63" i="13"/>
  <c r="AY63" i="13"/>
  <c r="AZ63" i="13"/>
  <c r="C64" i="13"/>
  <c r="D64" i="13"/>
  <c r="E64" i="13"/>
  <c r="E64" i="12" s="1"/>
  <c r="F64" i="13"/>
  <c r="F64" i="12" s="1"/>
  <c r="G64" i="13"/>
  <c r="H64" i="13"/>
  <c r="I64" i="13"/>
  <c r="I64" i="12" s="1"/>
  <c r="J64" i="13"/>
  <c r="J64" i="12" s="1"/>
  <c r="K64" i="13"/>
  <c r="L64" i="13"/>
  <c r="M64" i="13"/>
  <c r="M64" i="12" s="1"/>
  <c r="N64" i="13"/>
  <c r="O64" i="13"/>
  <c r="P64" i="13"/>
  <c r="Q64" i="13"/>
  <c r="Q64" i="12" s="1"/>
  <c r="R64" i="13"/>
  <c r="S64" i="13"/>
  <c r="T64" i="13"/>
  <c r="U64" i="13"/>
  <c r="U64" i="12" s="1"/>
  <c r="V64" i="13"/>
  <c r="W64" i="13"/>
  <c r="X64" i="13"/>
  <c r="Y64" i="13"/>
  <c r="Y64" i="12" s="1"/>
  <c r="Z64" i="13"/>
  <c r="Z64" i="12" s="1"/>
  <c r="AA64" i="13"/>
  <c r="AB64" i="13"/>
  <c r="AC64" i="13"/>
  <c r="AC64" i="12" s="1"/>
  <c r="AD64" i="13"/>
  <c r="AE64" i="13"/>
  <c r="AF64" i="13"/>
  <c r="AG64" i="13"/>
  <c r="AG64" i="12" s="1"/>
  <c r="AH64" i="13"/>
  <c r="AH64" i="12" s="1"/>
  <c r="AI64" i="13"/>
  <c r="AJ64" i="13"/>
  <c r="AK64" i="13"/>
  <c r="AK64" i="12" s="1"/>
  <c r="AL64" i="13"/>
  <c r="AL64" i="12" s="1"/>
  <c r="AM64" i="13"/>
  <c r="AN64" i="13"/>
  <c r="AO64" i="13"/>
  <c r="AO64" i="12" s="1"/>
  <c r="AP64" i="13"/>
  <c r="AP64" i="12" s="1"/>
  <c r="AQ64" i="13"/>
  <c r="AR64" i="13"/>
  <c r="AS64" i="13"/>
  <c r="AT64" i="13"/>
  <c r="AU64" i="13"/>
  <c r="AV64" i="13"/>
  <c r="AW64" i="13"/>
  <c r="AX64" i="13"/>
  <c r="AY64" i="13"/>
  <c r="AZ64" i="13"/>
  <c r="C65" i="13"/>
  <c r="C65" i="12" s="1"/>
  <c r="D65" i="13"/>
  <c r="E65" i="13"/>
  <c r="F65" i="13"/>
  <c r="G65" i="13"/>
  <c r="G65" i="12" s="1"/>
  <c r="H65" i="13"/>
  <c r="I65" i="13"/>
  <c r="J65" i="13"/>
  <c r="K65" i="13"/>
  <c r="K65" i="12" s="1"/>
  <c r="L65" i="13"/>
  <c r="M65" i="13"/>
  <c r="N65" i="13"/>
  <c r="O65" i="13"/>
  <c r="O65" i="12" s="1"/>
  <c r="P65" i="13"/>
  <c r="P65" i="12" s="1"/>
  <c r="Q65" i="13"/>
  <c r="R65" i="13"/>
  <c r="S65" i="13"/>
  <c r="S65" i="12" s="1"/>
  <c r="T65" i="13"/>
  <c r="T65" i="12" s="1"/>
  <c r="U65" i="13"/>
  <c r="V65" i="13"/>
  <c r="W65" i="13"/>
  <c r="W65" i="12" s="1"/>
  <c r="X65" i="13"/>
  <c r="X65" i="12" s="1"/>
  <c r="Y65" i="13"/>
  <c r="Z65" i="13"/>
  <c r="AA65" i="13"/>
  <c r="AA65" i="12" s="1"/>
  <c r="AB65" i="13"/>
  <c r="AC65" i="13"/>
  <c r="AD65" i="13"/>
  <c r="AE65" i="13"/>
  <c r="AE65" i="12" s="1"/>
  <c r="AF65" i="13"/>
  <c r="AF65" i="12" s="1"/>
  <c r="AG65" i="13"/>
  <c r="AH65" i="13"/>
  <c r="AI65" i="13"/>
  <c r="AI65" i="12" s="1"/>
  <c r="AJ65" i="13"/>
  <c r="AK65" i="13"/>
  <c r="AL65" i="13"/>
  <c r="AM65" i="13"/>
  <c r="AM65" i="12" s="1"/>
  <c r="AN65" i="13"/>
  <c r="AN65" i="12" s="1"/>
  <c r="AO65" i="13"/>
  <c r="AP65" i="13"/>
  <c r="AQ65" i="13"/>
  <c r="AQ65" i="12" s="1"/>
  <c r="AR65" i="13"/>
  <c r="AS65" i="13"/>
  <c r="AT65" i="13"/>
  <c r="AU65" i="13"/>
  <c r="AV65" i="13"/>
  <c r="AW65" i="13"/>
  <c r="AX65" i="13"/>
  <c r="AY65" i="13"/>
  <c r="AZ65" i="13"/>
  <c r="C66" i="13"/>
  <c r="D66" i="13"/>
  <c r="E66" i="13"/>
  <c r="E66" i="12" s="1"/>
  <c r="F66" i="13"/>
  <c r="F66" i="12" s="1"/>
  <c r="G66" i="13"/>
  <c r="H66" i="13"/>
  <c r="I66" i="13"/>
  <c r="I66" i="12" s="1"/>
  <c r="J66" i="13"/>
  <c r="K66" i="13"/>
  <c r="L66" i="13"/>
  <c r="M66" i="13"/>
  <c r="M66" i="12" s="1"/>
  <c r="N66" i="13"/>
  <c r="O66" i="13"/>
  <c r="P66" i="13"/>
  <c r="Q66" i="13"/>
  <c r="Q66" i="12" s="1"/>
  <c r="R66" i="13"/>
  <c r="R66" i="12" s="1"/>
  <c r="S66" i="13"/>
  <c r="T66" i="13"/>
  <c r="U66" i="13"/>
  <c r="U66" i="12" s="1"/>
  <c r="V66" i="13"/>
  <c r="W66" i="13"/>
  <c r="X66" i="13"/>
  <c r="Y66" i="13"/>
  <c r="Y66" i="12" s="1"/>
  <c r="Z66" i="13"/>
  <c r="AA66" i="13"/>
  <c r="AB66" i="13"/>
  <c r="AC66" i="13"/>
  <c r="AC66" i="12" s="1"/>
  <c r="AD66" i="13"/>
  <c r="AE66" i="13"/>
  <c r="AF66" i="13"/>
  <c r="AG66" i="13"/>
  <c r="AG66" i="12" s="1"/>
  <c r="AH66" i="13"/>
  <c r="AH66" i="12" s="1"/>
  <c r="AI66" i="13"/>
  <c r="AJ66" i="13"/>
  <c r="AK66" i="13"/>
  <c r="AK66" i="12" s="1"/>
  <c r="AL66" i="13"/>
  <c r="AL66" i="12" s="1"/>
  <c r="AM66" i="13"/>
  <c r="AN66" i="13"/>
  <c r="AO66" i="13"/>
  <c r="AO66" i="12" s="1"/>
  <c r="AP66" i="13"/>
  <c r="AQ66" i="13"/>
  <c r="AR66" i="13"/>
  <c r="AS66" i="13"/>
  <c r="AT66" i="13"/>
  <c r="AU66" i="13"/>
  <c r="AV66" i="13"/>
  <c r="AW66" i="13"/>
  <c r="AX66" i="13"/>
  <c r="AY66" i="13"/>
  <c r="AZ66" i="13"/>
  <c r="C67" i="13"/>
  <c r="C67" i="12" s="1"/>
  <c r="D67" i="13"/>
  <c r="D67" i="12" s="1"/>
  <c r="E67" i="13"/>
  <c r="F67" i="13"/>
  <c r="G67" i="13"/>
  <c r="G67" i="12" s="1"/>
  <c r="H67" i="13"/>
  <c r="I67" i="13"/>
  <c r="J67" i="13"/>
  <c r="K67" i="13"/>
  <c r="K67" i="12" s="1"/>
  <c r="L67" i="13"/>
  <c r="L67" i="12" s="1"/>
  <c r="M67" i="13"/>
  <c r="N67" i="13"/>
  <c r="O67" i="13"/>
  <c r="O67" i="12" s="1"/>
  <c r="P67" i="13"/>
  <c r="P67" i="12" s="1"/>
  <c r="Q67" i="13"/>
  <c r="R67" i="13"/>
  <c r="S67" i="13"/>
  <c r="S67" i="12" s="1"/>
  <c r="T67" i="13"/>
  <c r="U67" i="13"/>
  <c r="V67" i="13"/>
  <c r="W67" i="13"/>
  <c r="W67" i="12" s="1"/>
  <c r="X67" i="13"/>
  <c r="Y67" i="13"/>
  <c r="Z67" i="13"/>
  <c r="AA67" i="13"/>
  <c r="AA67" i="12" s="1"/>
  <c r="AB67" i="13"/>
  <c r="AC67" i="13"/>
  <c r="AD67" i="13"/>
  <c r="AE67" i="13"/>
  <c r="AE67" i="12" s="1"/>
  <c r="AF67" i="13"/>
  <c r="AF67" i="12" s="1"/>
  <c r="AG67" i="13"/>
  <c r="AH67" i="13"/>
  <c r="AI67" i="13"/>
  <c r="AI67" i="12" s="1"/>
  <c r="AJ67" i="13"/>
  <c r="AK67" i="13"/>
  <c r="AL67" i="13"/>
  <c r="AM67" i="13"/>
  <c r="AM67" i="12" s="1"/>
  <c r="AN67" i="13"/>
  <c r="AO67" i="13"/>
  <c r="AP67" i="13"/>
  <c r="AQ67" i="13"/>
  <c r="AQ67" i="12" s="1"/>
  <c r="AR67" i="13"/>
  <c r="AS67" i="13"/>
  <c r="AT67" i="13"/>
  <c r="AU67" i="13"/>
  <c r="AV67" i="13"/>
  <c r="AW67" i="13"/>
  <c r="AX67" i="13"/>
  <c r="AY67" i="13"/>
  <c r="AZ67" i="13"/>
  <c r="C68" i="13"/>
  <c r="D68" i="13"/>
  <c r="E68" i="13"/>
  <c r="E68" i="12" s="1"/>
  <c r="F68" i="13"/>
  <c r="G68" i="13"/>
  <c r="H68" i="13"/>
  <c r="I68" i="13"/>
  <c r="I68" i="12" s="1"/>
  <c r="J68" i="13"/>
  <c r="J68" i="12" s="1"/>
  <c r="K68" i="13"/>
  <c r="L68" i="13"/>
  <c r="M68" i="13"/>
  <c r="M68" i="12" s="1"/>
  <c r="N68" i="13"/>
  <c r="O68" i="13"/>
  <c r="P68" i="13"/>
  <c r="Q68" i="13"/>
  <c r="Q68" i="12" s="1"/>
  <c r="R68" i="13"/>
  <c r="R68" i="12" s="1"/>
  <c r="S68" i="13"/>
  <c r="T68" i="13"/>
  <c r="U68" i="13"/>
  <c r="U68" i="12" s="1"/>
  <c r="V68" i="13"/>
  <c r="W68" i="13"/>
  <c r="X68" i="13"/>
  <c r="Y68" i="13"/>
  <c r="Y68" i="12" s="1"/>
  <c r="Z68" i="13"/>
  <c r="Z68" i="12" s="1"/>
  <c r="AA68" i="13"/>
  <c r="AB68" i="13"/>
  <c r="AC68" i="13"/>
  <c r="AC68" i="12" s="1"/>
  <c r="AD68" i="13"/>
  <c r="AD68" i="12" s="1"/>
  <c r="AE68" i="13"/>
  <c r="AF68" i="13"/>
  <c r="AG68" i="13"/>
  <c r="AG68" i="12" s="1"/>
  <c r="AH68" i="13"/>
  <c r="AH68" i="12" s="1"/>
  <c r="AI68" i="13"/>
  <c r="AJ68" i="13"/>
  <c r="AK68" i="13"/>
  <c r="AK68" i="12" s="1"/>
  <c r="AL68" i="13"/>
  <c r="AM68" i="13"/>
  <c r="AN68" i="13"/>
  <c r="AO68" i="13"/>
  <c r="AO68" i="12" s="1"/>
  <c r="AP68" i="13"/>
  <c r="AQ68" i="13"/>
  <c r="AR68" i="13"/>
  <c r="AS68" i="13"/>
  <c r="AT68" i="13"/>
  <c r="AU68" i="13"/>
  <c r="AV68" i="13"/>
  <c r="AW68" i="13"/>
  <c r="AX68" i="13"/>
  <c r="AY68" i="13"/>
  <c r="AZ68" i="13"/>
  <c r="W32" i="8"/>
  <c r="X32" i="8"/>
  <c r="Z32" i="8"/>
  <c r="AA32" i="8"/>
  <c r="AB32" i="8"/>
  <c r="AD32" i="8"/>
  <c r="AE32" i="8"/>
  <c r="AF32" i="8"/>
  <c r="AH32" i="8"/>
  <c r="AI32" i="8"/>
  <c r="AJ32" i="8"/>
  <c r="AJ32" i="3" s="1"/>
  <c r="AL32" i="8"/>
  <c r="AM32" i="8"/>
  <c r="AN32" i="8"/>
  <c r="AP32" i="8"/>
  <c r="AQ32" i="8"/>
  <c r="W33" i="8"/>
  <c r="X33" i="8"/>
  <c r="Y33" i="8"/>
  <c r="Z33" i="8"/>
  <c r="AA33" i="8"/>
  <c r="AB33" i="8"/>
  <c r="AC33" i="8"/>
  <c r="AD33" i="8"/>
  <c r="AE33" i="8"/>
  <c r="AF33" i="8"/>
  <c r="AG33" i="8"/>
  <c r="AH33" i="8"/>
  <c r="AH33" i="3" s="1"/>
  <c r="AI33" i="8"/>
  <c r="AJ33" i="8"/>
  <c r="AK33" i="8"/>
  <c r="AL33" i="8"/>
  <c r="AM33" i="8"/>
  <c r="AN33" i="8"/>
  <c r="AO33" i="8"/>
  <c r="AO33" i="3" s="1"/>
  <c r="AP33" i="8"/>
  <c r="AQ33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X35" i="8"/>
  <c r="Y35" i="8"/>
  <c r="Z35" i="8"/>
  <c r="AB35" i="8"/>
  <c r="AC35" i="8"/>
  <c r="AD35" i="8"/>
  <c r="AF35" i="8"/>
  <c r="AG35" i="8"/>
  <c r="AH35" i="8"/>
  <c r="AJ35" i="8"/>
  <c r="AK35" i="8"/>
  <c r="AL35" i="8"/>
  <c r="AN35" i="8"/>
  <c r="AO35" i="8"/>
  <c r="AO35" i="3" s="1"/>
  <c r="AP35" i="8"/>
  <c r="W36" i="8"/>
  <c r="X36" i="8"/>
  <c r="Y36" i="8"/>
  <c r="Z36" i="8"/>
  <c r="AA36" i="8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O36" i="3" s="1"/>
  <c r="AP36" i="8"/>
  <c r="AQ36" i="8"/>
  <c r="X37" i="8"/>
  <c r="Y37" i="8"/>
  <c r="Y37" i="3" s="1"/>
  <c r="Z37" i="8"/>
  <c r="AB37" i="8"/>
  <c r="AC37" i="8"/>
  <c r="AD37" i="8"/>
  <c r="AF37" i="8"/>
  <c r="AG37" i="8"/>
  <c r="AH37" i="8"/>
  <c r="AJ37" i="8"/>
  <c r="AK37" i="8"/>
  <c r="AL37" i="8"/>
  <c r="AN37" i="8"/>
  <c r="AO37" i="8"/>
  <c r="AP37" i="8"/>
  <c r="L38" i="8"/>
  <c r="M38" i="8"/>
  <c r="N38" i="8"/>
  <c r="O38" i="8"/>
  <c r="P38" i="8"/>
  <c r="Q38" i="8"/>
  <c r="R38" i="8"/>
  <c r="S38" i="8"/>
  <c r="T38" i="8"/>
  <c r="U38" i="8"/>
  <c r="V38" i="8"/>
  <c r="W38" i="8"/>
  <c r="X38" i="8"/>
  <c r="Y38" i="8"/>
  <c r="Z38" i="8"/>
  <c r="AA38" i="8"/>
  <c r="AB38" i="8"/>
  <c r="AC38" i="8"/>
  <c r="AD38" i="8"/>
  <c r="AE38" i="8"/>
  <c r="AF38" i="8"/>
  <c r="AG38" i="8"/>
  <c r="AH38" i="8"/>
  <c r="AI38" i="8"/>
  <c r="AJ38" i="8"/>
  <c r="AK38" i="8"/>
  <c r="AL38" i="8"/>
  <c r="AM38" i="8"/>
  <c r="AN38" i="8"/>
  <c r="AO38" i="8"/>
  <c r="AP38" i="8"/>
  <c r="AQ38" i="8"/>
  <c r="L39" i="8"/>
  <c r="M39" i="8"/>
  <c r="N39" i="8"/>
  <c r="O39" i="8"/>
  <c r="O39" i="3" s="1"/>
  <c r="P39" i="8"/>
  <c r="Q39" i="8"/>
  <c r="R39" i="8"/>
  <c r="S39" i="8"/>
  <c r="T39" i="8"/>
  <c r="U39" i="8"/>
  <c r="U39" i="3" s="1"/>
  <c r="V39" i="8"/>
  <c r="W39" i="8"/>
  <c r="X39" i="8"/>
  <c r="Y39" i="8"/>
  <c r="Z39" i="8"/>
  <c r="AA39" i="8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O39" i="3" s="1"/>
  <c r="AP39" i="8"/>
  <c r="AQ39" i="8"/>
  <c r="L40" i="8"/>
  <c r="N40" i="8"/>
  <c r="O40" i="8"/>
  <c r="P40" i="8"/>
  <c r="R40" i="8"/>
  <c r="S40" i="8"/>
  <c r="T40" i="8"/>
  <c r="V40" i="8"/>
  <c r="W40" i="8"/>
  <c r="X40" i="8"/>
  <c r="Z40" i="8"/>
  <c r="AA40" i="8"/>
  <c r="AB40" i="8"/>
  <c r="AD40" i="8"/>
  <c r="AE40" i="8"/>
  <c r="AF40" i="8"/>
  <c r="AH40" i="8"/>
  <c r="AI40" i="8"/>
  <c r="AJ40" i="8"/>
  <c r="AL40" i="8"/>
  <c r="AM40" i="8"/>
  <c r="AN40" i="8"/>
  <c r="AP40" i="8"/>
  <c r="AQ40" i="8"/>
  <c r="L41" i="8"/>
  <c r="M41" i="8"/>
  <c r="N41" i="8"/>
  <c r="P41" i="8"/>
  <c r="Q41" i="8"/>
  <c r="Q41" i="3" s="1"/>
  <c r="R41" i="8"/>
  <c r="T41" i="8"/>
  <c r="U41" i="8"/>
  <c r="V41" i="8"/>
  <c r="X41" i="8"/>
  <c r="Y41" i="8"/>
  <c r="Z41" i="8"/>
  <c r="AB41" i="8"/>
  <c r="AC41" i="8"/>
  <c r="AD41" i="8"/>
  <c r="AF41" i="8"/>
  <c r="AG41" i="8"/>
  <c r="AH41" i="8"/>
  <c r="AJ41" i="8"/>
  <c r="AK41" i="8"/>
  <c r="AK41" i="3" s="1"/>
  <c r="AL41" i="8"/>
  <c r="AN41" i="8"/>
  <c r="AO41" i="8"/>
  <c r="AP41" i="8"/>
  <c r="L42" i="8"/>
  <c r="M42" i="8"/>
  <c r="N42" i="8"/>
  <c r="O42" i="8"/>
  <c r="P42" i="8"/>
  <c r="Q42" i="8"/>
  <c r="R42" i="8"/>
  <c r="S42" i="8"/>
  <c r="T42" i="8"/>
  <c r="U42" i="8"/>
  <c r="V42" i="8"/>
  <c r="W42" i="8"/>
  <c r="X42" i="8"/>
  <c r="Y42" i="8"/>
  <c r="Z42" i="8"/>
  <c r="AA42" i="8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L43" i="8"/>
  <c r="M43" i="8"/>
  <c r="M43" i="3" s="1"/>
  <c r="N43" i="8"/>
  <c r="O43" i="8"/>
  <c r="P43" i="8"/>
  <c r="Q43" i="8"/>
  <c r="R43" i="8"/>
  <c r="S43" i="8"/>
  <c r="T43" i="8"/>
  <c r="U43" i="8"/>
  <c r="V43" i="8"/>
  <c r="W43" i="8"/>
  <c r="X43" i="8"/>
  <c r="Y43" i="8"/>
  <c r="Z43" i="8"/>
  <c r="AA43" i="8"/>
  <c r="AB43" i="8"/>
  <c r="AC43" i="8"/>
  <c r="AD43" i="8"/>
  <c r="AE43" i="8"/>
  <c r="AF43" i="8"/>
  <c r="AG43" i="8"/>
  <c r="AG43" i="3" s="1"/>
  <c r="AH43" i="8"/>
  <c r="AI43" i="8"/>
  <c r="AJ43" i="8"/>
  <c r="AK43" i="8"/>
  <c r="AL43" i="8"/>
  <c r="AM43" i="8"/>
  <c r="AN43" i="8"/>
  <c r="AO43" i="8"/>
  <c r="AP43" i="8"/>
  <c r="AQ43" i="8"/>
  <c r="L44" i="8"/>
  <c r="N44" i="8"/>
  <c r="O44" i="8"/>
  <c r="P44" i="8"/>
  <c r="R44" i="8"/>
  <c r="S44" i="8"/>
  <c r="T44" i="8"/>
  <c r="V44" i="8"/>
  <c r="W44" i="8"/>
  <c r="X44" i="8"/>
  <c r="Z44" i="8"/>
  <c r="AA44" i="8"/>
  <c r="AB44" i="8"/>
  <c r="AD44" i="8"/>
  <c r="AE44" i="8"/>
  <c r="AF44" i="8"/>
  <c r="AH44" i="8"/>
  <c r="AI44" i="8"/>
  <c r="AJ44" i="8"/>
  <c r="AL44" i="8"/>
  <c r="AM44" i="8"/>
  <c r="AN44" i="8"/>
  <c r="AP44" i="8"/>
  <c r="AQ44" i="8"/>
  <c r="L45" i="8"/>
  <c r="M45" i="8"/>
  <c r="N45" i="8"/>
  <c r="P45" i="8"/>
  <c r="Q45" i="8"/>
  <c r="R45" i="8"/>
  <c r="T45" i="8"/>
  <c r="U45" i="8"/>
  <c r="V45" i="8"/>
  <c r="X45" i="8"/>
  <c r="Y45" i="8"/>
  <c r="Z45" i="8"/>
  <c r="AB45" i="8"/>
  <c r="AC45" i="8"/>
  <c r="AC45" i="3" s="1"/>
  <c r="AD45" i="8"/>
  <c r="AF45" i="8"/>
  <c r="AG45" i="8"/>
  <c r="AH45" i="8"/>
  <c r="AJ45" i="8"/>
  <c r="AK45" i="8"/>
  <c r="AL45" i="8"/>
  <c r="AN45" i="8"/>
  <c r="AO45" i="8"/>
  <c r="AO45" i="3" s="1"/>
  <c r="AP45" i="8"/>
  <c r="L46" i="8"/>
  <c r="M46" i="8"/>
  <c r="N46" i="8"/>
  <c r="O46" i="8"/>
  <c r="P46" i="8"/>
  <c r="Q46" i="8"/>
  <c r="Q46" i="3" s="1"/>
  <c r="R46" i="8"/>
  <c r="S46" i="8"/>
  <c r="T46" i="8"/>
  <c r="U46" i="8"/>
  <c r="V46" i="8"/>
  <c r="W46" i="8"/>
  <c r="X46" i="8"/>
  <c r="Y46" i="8"/>
  <c r="Z46" i="8"/>
  <c r="AA46" i="8"/>
  <c r="AB46" i="8"/>
  <c r="AC46" i="8"/>
  <c r="AD46" i="8"/>
  <c r="AE46" i="8"/>
  <c r="AF46" i="8"/>
  <c r="AG46" i="8"/>
  <c r="AH46" i="8"/>
  <c r="AI46" i="8"/>
  <c r="AJ46" i="8"/>
  <c r="AK46" i="8"/>
  <c r="AL46" i="8"/>
  <c r="AM46" i="8"/>
  <c r="AN46" i="8"/>
  <c r="AO46" i="8"/>
  <c r="AP46" i="8"/>
  <c r="AQ46" i="8"/>
  <c r="L47" i="8"/>
  <c r="M47" i="8"/>
  <c r="N47" i="8"/>
  <c r="O47" i="8"/>
  <c r="P47" i="8"/>
  <c r="Q47" i="8"/>
  <c r="R47" i="8"/>
  <c r="S47" i="8"/>
  <c r="T47" i="8"/>
  <c r="U47" i="8"/>
  <c r="V47" i="8"/>
  <c r="W47" i="8"/>
  <c r="X47" i="8"/>
  <c r="Y47" i="8"/>
  <c r="Y47" i="3" s="1"/>
  <c r="Z47" i="8"/>
  <c r="AA47" i="8"/>
  <c r="AB47" i="8"/>
  <c r="AC47" i="8"/>
  <c r="AD47" i="8"/>
  <c r="AE47" i="8"/>
  <c r="AF47" i="8"/>
  <c r="AG47" i="8"/>
  <c r="AH47" i="8"/>
  <c r="AI47" i="8"/>
  <c r="AJ47" i="8"/>
  <c r="AK47" i="8"/>
  <c r="AK47" i="3" s="1"/>
  <c r="AL47" i="8"/>
  <c r="AM47" i="8"/>
  <c r="AN47" i="8"/>
  <c r="AO47" i="8"/>
  <c r="AP47" i="8"/>
  <c r="AQ47" i="8"/>
  <c r="L48" i="8"/>
  <c r="N48" i="8"/>
  <c r="O48" i="8"/>
  <c r="P48" i="8"/>
  <c r="R48" i="8"/>
  <c r="S48" i="8"/>
  <c r="T48" i="8"/>
  <c r="V48" i="8"/>
  <c r="W48" i="8"/>
  <c r="X48" i="8"/>
  <c r="Z48" i="8"/>
  <c r="AA48" i="8"/>
  <c r="AB48" i="8"/>
  <c r="AD48" i="8"/>
  <c r="AE48" i="8"/>
  <c r="AF48" i="8"/>
  <c r="AH48" i="8"/>
  <c r="AI48" i="8"/>
  <c r="AJ48" i="8"/>
  <c r="AL48" i="8"/>
  <c r="AM48" i="8"/>
  <c r="AN48" i="8"/>
  <c r="AP48" i="8"/>
  <c r="AQ48" i="8"/>
  <c r="L49" i="8"/>
  <c r="M49" i="8"/>
  <c r="N49" i="8"/>
  <c r="P49" i="8"/>
  <c r="Q49" i="8"/>
  <c r="R49" i="8"/>
  <c r="T49" i="8"/>
  <c r="U49" i="8"/>
  <c r="U49" i="3" s="1"/>
  <c r="V49" i="8"/>
  <c r="X49" i="8"/>
  <c r="Y49" i="8"/>
  <c r="Z49" i="8"/>
  <c r="AB49" i="8"/>
  <c r="AC49" i="8"/>
  <c r="AD49" i="8"/>
  <c r="AF49" i="8"/>
  <c r="AG49" i="8"/>
  <c r="AG49" i="3" s="1"/>
  <c r="AH49" i="8"/>
  <c r="AJ49" i="8"/>
  <c r="AK49" i="8"/>
  <c r="AL49" i="8"/>
  <c r="AN49" i="8"/>
  <c r="AO49" i="8"/>
  <c r="AP49" i="8"/>
  <c r="L50" i="8"/>
  <c r="M50" i="8"/>
  <c r="N50" i="8"/>
  <c r="O50" i="8"/>
  <c r="P50" i="8"/>
  <c r="Q50" i="8"/>
  <c r="R50" i="8"/>
  <c r="S50" i="8"/>
  <c r="T50" i="8"/>
  <c r="U50" i="8"/>
  <c r="V50" i="8"/>
  <c r="W50" i="8"/>
  <c r="X50" i="8"/>
  <c r="Y50" i="8"/>
  <c r="Z50" i="8"/>
  <c r="AA50" i="8"/>
  <c r="AB50" i="8"/>
  <c r="AC50" i="8"/>
  <c r="AD50" i="8"/>
  <c r="AE50" i="8"/>
  <c r="AF50" i="8"/>
  <c r="AG50" i="8"/>
  <c r="AH50" i="8"/>
  <c r="AI50" i="8"/>
  <c r="AJ50" i="8"/>
  <c r="AK50" i="8"/>
  <c r="AL50" i="8"/>
  <c r="AM50" i="8"/>
  <c r="AN50" i="8"/>
  <c r="AO50" i="8"/>
  <c r="AP50" i="8"/>
  <c r="AQ50" i="8"/>
  <c r="C51" i="8"/>
  <c r="D51" i="8"/>
  <c r="E51" i="8"/>
  <c r="F51" i="8"/>
  <c r="G51" i="8"/>
  <c r="H51" i="8"/>
  <c r="I51" i="8"/>
  <c r="J51" i="8"/>
  <c r="K51" i="8"/>
  <c r="L51" i="8"/>
  <c r="M51" i="8"/>
  <c r="N51" i="8"/>
  <c r="O51" i="8"/>
  <c r="P51" i="8"/>
  <c r="Q51" i="8"/>
  <c r="R51" i="8"/>
  <c r="S51" i="8"/>
  <c r="T51" i="8"/>
  <c r="U51" i="8"/>
  <c r="V51" i="8"/>
  <c r="W51" i="8"/>
  <c r="X51" i="8"/>
  <c r="Y51" i="8"/>
  <c r="Z51" i="8"/>
  <c r="AA51" i="8"/>
  <c r="AB51" i="8"/>
  <c r="AC51" i="8"/>
  <c r="AD51" i="8"/>
  <c r="AE51" i="8"/>
  <c r="AF51" i="8"/>
  <c r="AG51" i="8"/>
  <c r="AH51" i="8"/>
  <c r="AI51" i="8"/>
  <c r="AJ51" i="8"/>
  <c r="AK51" i="8"/>
  <c r="AL51" i="8"/>
  <c r="AM51" i="8"/>
  <c r="AN51" i="8"/>
  <c r="AO51" i="8"/>
  <c r="AP51" i="8"/>
  <c r="AQ51" i="8"/>
  <c r="C52" i="8"/>
  <c r="D52" i="8"/>
  <c r="F52" i="8"/>
  <c r="G52" i="8"/>
  <c r="H52" i="8"/>
  <c r="J52" i="8"/>
  <c r="K52" i="8"/>
  <c r="L52" i="8"/>
  <c r="N52" i="8"/>
  <c r="O52" i="8"/>
  <c r="P52" i="8"/>
  <c r="R52" i="8"/>
  <c r="S52" i="8"/>
  <c r="T52" i="8"/>
  <c r="V52" i="8"/>
  <c r="W52" i="8"/>
  <c r="X52" i="8"/>
  <c r="Z52" i="8"/>
  <c r="AA52" i="8"/>
  <c r="AB52" i="8"/>
  <c r="AD52" i="8"/>
  <c r="AE52" i="8"/>
  <c r="AF52" i="8"/>
  <c r="AH52" i="8"/>
  <c r="AI52" i="8"/>
  <c r="AJ52" i="8"/>
  <c r="AL52" i="8"/>
  <c r="AM52" i="8"/>
  <c r="AN52" i="8"/>
  <c r="AP52" i="8"/>
  <c r="AQ52" i="8"/>
  <c r="D53" i="8"/>
  <c r="E53" i="8"/>
  <c r="F53" i="8"/>
  <c r="H53" i="8"/>
  <c r="I53" i="8"/>
  <c r="J53" i="8"/>
  <c r="L53" i="8"/>
  <c r="M53" i="8"/>
  <c r="N53" i="8"/>
  <c r="P53" i="8"/>
  <c r="Q53" i="8"/>
  <c r="R53" i="8"/>
  <c r="T53" i="8"/>
  <c r="U53" i="8"/>
  <c r="V53" i="8"/>
  <c r="X53" i="8"/>
  <c r="Y53" i="8"/>
  <c r="Z53" i="8"/>
  <c r="AB53" i="8"/>
  <c r="AC53" i="8"/>
  <c r="AD53" i="8"/>
  <c r="AF53" i="8"/>
  <c r="AG53" i="8"/>
  <c r="AH53" i="8"/>
  <c r="AJ53" i="8"/>
  <c r="AK53" i="8"/>
  <c r="AL53" i="8"/>
  <c r="AN53" i="8"/>
  <c r="AO53" i="8"/>
  <c r="AP53" i="8"/>
  <c r="C54" i="8"/>
  <c r="D54" i="8"/>
  <c r="F54" i="8"/>
  <c r="G54" i="8"/>
  <c r="H54" i="8"/>
  <c r="J54" i="8"/>
  <c r="K54" i="8"/>
  <c r="L54" i="8"/>
  <c r="N54" i="8"/>
  <c r="O54" i="8"/>
  <c r="P54" i="8"/>
  <c r="R54" i="8"/>
  <c r="S54" i="8"/>
  <c r="T54" i="8"/>
  <c r="V54" i="8"/>
  <c r="W54" i="8"/>
  <c r="X54" i="8"/>
  <c r="Z54" i="8"/>
  <c r="AA54" i="8"/>
  <c r="AB54" i="8"/>
  <c r="AD54" i="8"/>
  <c r="AE54" i="8"/>
  <c r="AF54" i="8"/>
  <c r="AH54" i="8"/>
  <c r="AI54" i="8"/>
  <c r="AJ54" i="8"/>
  <c r="AL54" i="8"/>
  <c r="AM54" i="8"/>
  <c r="AN54" i="8"/>
  <c r="AP54" i="8"/>
  <c r="AQ54" i="8"/>
  <c r="D55" i="8"/>
  <c r="E55" i="8"/>
  <c r="F55" i="8"/>
  <c r="H55" i="8"/>
  <c r="I55" i="8"/>
  <c r="J55" i="8"/>
  <c r="L55" i="8"/>
  <c r="M55" i="8"/>
  <c r="N55" i="8"/>
  <c r="P55" i="8"/>
  <c r="Q55" i="8"/>
  <c r="R55" i="8"/>
  <c r="T55" i="8"/>
  <c r="U55" i="8"/>
  <c r="V55" i="8"/>
  <c r="X55" i="8"/>
  <c r="Y55" i="8"/>
  <c r="Z55" i="8"/>
  <c r="AB55" i="8"/>
  <c r="AC55" i="8"/>
  <c r="AD55" i="8"/>
  <c r="AF55" i="8"/>
  <c r="AG55" i="8"/>
  <c r="AH55" i="8"/>
  <c r="AJ55" i="8"/>
  <c r="AK55" i="8"/>
  <c r="AL55" i="8"/>
  <c r="AN55" i="8"/>
  <c r="AO55" i="8"/>
  <c r="AP55" i="8"/>
  <c r="C56" i="8"/>
  <c r="D56" i="8"/>
  <c r="E56" i="8"/>
  <c r="F56" i="8"/>
  <c r="G56" i="8"/>
  <c r="H56" i="8"/>
  <c r="I56" i="8"/>
  <c r="I56" i="3" s="1"/>
  <c r="J56" i="8"/>
  <c r="K56" i="8"/>
  <c r="L56" i="8"/>
  <c r="M56" i="8"/>
  <c r="N56" i="8"/>
  <c r="O56" i="8"/>
  <c r="P56" i="8"/>
  <c r="Q56" i="8"/>
  <c r="R56" i="8"/>
  <c r="S56" i="8"/>
  <c r="T56" i="8"/>
  <c r="U56" i="8"/>
  <c r="V56" i="8"/>
  <c r="W56" i="8"/>
  <c r="X56" i="8"/>
  <c r="Y56" i="8"/>
  <c r="Z56" i="8"/>
  <c r="AA56" i="8"/>
  <c r="AB56" i="8"/>
  <c r="AC56" i="8"/>
  <c r="AC56" i="3" s="1"/>
  <c r="AD56" i="8"/>
  <c r="AE56" i="8"/>
  <c r="AF56" i="8"/>
  <c r="AG56" i="8"/>
  <c r="AH56" i="8"/>
  <c r="AI56" i="8"/>
  <c r="AJ56" i="8"/>
  <c r="AK56" i="8"/>
  <c r="AL56" i="8"/>
  <c r="AM56" i="8"/>
  <c r="AN56" i="8"/>
  <c r="AO56" i="8"/>
  <c r="AO56" i="3" s="1"/>
  <c r="AP56" i="8"/>
  <c r="AQ56" i="8"/>
  <c r="C57" i="8"/>
  <c r="D57" i="8"/>
  <c r="E57" i="8"/>
  <c r="F57" i="8"/>
  <c r="G57" i="8"/>
  <c r="H57" i="8"/>
  <c r="I57" i="8"/>
  <c r="J57" i="8"/>
  <c r="K57" i="8"/>
  <c r="L57" i="8"/>
  <c r="M57" i="8"/>
  <c r="N57" i="8"/>
  <c r="O57" i="8"/>
  <c r="P57" i="8"/>
  <c r="Q57" i="8"/>
  <c r="R57" i="8"/>
  <c r="S57" i="8"/>
  <c r="T57" i="8"/>
  <c r="U57" i="8"/>
  <c r="V57" i="8"/>
  <c r="W57" i="8"/>
  <c r="X57" i="8"/>
  <c r="Y57" i="8"/>
  <c r="Z57" i="8"/>
  <c r="AA57" i="8"/>
  <c r="AB57" i="8"/>
  <c r="AC57" i="8"/>
  <c r="AD57" i="8"/>
  <c r="AE57" i="8"/>
  <c r="AF57" i="8"/>
  <c r="AG57" i="8"/>
  <c r="AH57" i="8"/>
  <c r="AI57" i="8"/>
  <c r="AJ57" i="8"/>
  <c r="AK57" i="8"/>
  <c r="AL57" i="8"/>
  <c r="AM57" i="8"/>
  <c r="AN57" i="8"/>
  <c r="AO57" i="8"/>
  <c r="AP57" i="8"/>
  <c r="AQ57" i="8"/>
  <c r="C58" i="8"/>
  <c r="D58" i="8"/>
  <c r="E58" i="8"/>
  <c r="F58" i="8"/>
  <c r="G58" i="8"/>
  <c r="H58" i="8"/>
  <c r="I58" i="8"/>
  <c r="J58" i="8"/>
  <c r="K58" i="8"/>
  <c r="L58" i="8"/>
  <c r="M58" i="8"/>
  <c r="N58" i="8"/>
  <c r="O58" i="8"/>
  <c r="P58" i="8"/>
  <c r="Q58" i="8"/>
  <c r="R58" i="8"/>
  <c r="S58" i="8"/>
  <c r="T58" i="8"/>
  <c r="U58" i="8"/>
  <c r="V58" i="8"/>
  <c r="W58" i="8"/>
  <c r="X58" i="8"/>
  <c r="Y58" i="8"/>
  <c r="Y58" i="3" s="1"/>
  <c r="Z58" i="8"/>
  <c r="AA58" i="8"/>
  <c r="AB58" i="8"/>
  <c r="AC58" i="8"/>
  <c r="AD58" i="8"/>
  <c r="AE58" i="8"/>
  <c r="AF58" i="8"/>
  <c r="AG58" i="8"/>
  <c r="AH58" i="8"/>
  <c r="AI58" i="8"/>
  <c r="AJ58" i="8"/>
  <c r="AK58" i="8"/>
  <c r="AK58" i="3" s="1"/>
  <c r="AL58" i="8"/>
  <c r="AM58" i="8"/>
  <c r="AN58" i="8"/>
  <c r="AO58" i="8"/>
  <c r="AP58" i="8"/>
  <c r="AQ58" i="8"/>
  <c r="C59" i="8"/>
  <c r="D59" i="8"/>
  <c r="E59" i="8"/>
  <c r="F59" i="8"/>
  <c r="G59" i="8"/>
  <c r="H59" i="8"/>
  <c r="I59" i="8"/>
  <c r="J59" i="8"/>
  <c r="K59" i="8"/>
  <c r="L59" i="8"/>
  <c r="M59" i="8"/>
  <c r="N59" i="8"/>
  <c r="O59" i="8"/>
  <c r="P59" i="8"/>
  <c r="Q59" i="8"/>
  <c r="R59" i="8"/>
  <c r="S59" i="8"/>
  <c r="T59" i="8"/>
  <c r="U59" i="8"/>
  <c r="V59" i="8"/>
  <c r="W59" i="8"/>
  <c r="X59" i="8"/>
  <c r="Y59" i="8"/>
  <c r="Z59" i="8"/>
  <c r="AA59" i="8"/>
  <c r="AB59" i="8"/>
  <c r="AC59" i="8"/>
  <c r="AD59" i="8"/>
  <c r="AE59" i="8"/>
  <c r="AF59" i="8"/>
  <c r="AG59" i="8"/>
  <c r="AH59" i="8"/>
  <c r="AI59" i="8"/>
  <c r="AJ59" i="8"/>
  <c r="AK59" i="8"/>
  <c r="AL59" i="8"/>
  <c r="AM59" i="8"/>
  <c r="AN59" i="8"/>
  <c r="AO59" i="8"/>
  <c r="AP59" i="8"/>
  <c r="AQ59" i="8"/>
  <c r="C60" i="8"/>
  <c r="D60" i="8"/>
  <c r="F60" i="8"/>
  <c r="G60" i="8"/>
  <c r="H60" i="8"/>
  <c r="J60" i="8"/>
  <c r="K60" i="8"/>
  <c r="L60" i="8"/>
  <c r="N60" i="8"/>
  <c r="O60" i="8"/>
  <c r="P60" i="8"/>
  <c r="R60" i="8"/>
  <c r="S60" i="8"/>
  <c r="T60" i="8"/>
  <c r="V60" i="8"/>
  <c r="W60" i="8"/>
  <c r="X60" i="8"/>
  <c r="Z60" i="8"/>
  <c r="AA60" i="8"/>
  <c r="AB60" i="8"/>
  <c r="AD60" i="8"/>
  <c r="AE60" i="8"/>
  <c r="AF60" i="8"/>
  <c r="AH60" i="8"/>
  <c r="AI60" i="8"/>
  <c r="AJ60" i="8"/>
  <c r="AL60" i="8"/>
  <c r="AM60" i="8"/>
  <c r="AN60" i="8"/>
  <c r="AP60" i="8"/>
  <c r="AQ60" i="8"/>
  <c r="D61" i="8"/>
  <c r="E61" i="8"/>
  <c r="F61" i="8"/>
  <c r="H61" i="8"/>
  <c r="I61" i="8"/>
  <c r="J61" i="8"/>
  <c r="L61" i="8"/>
  <c r="M61" i="8"/>
  <c r="N61" i="8"/>
  <c r="P61" i="8"/>
  <c r="Q61" i="8"/>
  <c r="R61" i="8"/>
  <c r="T61" i="8"/>
  <c r="U61" i="8"/>
  <c r="V61" i="8"/>
  <c r="X61" i="8"/>
  <c r="Y61" i="8"/>
  <c r="Z61" i="8"/>
  <c r="AB61" i="8"/>
  <c r="AC61" i="8"/>
  <c r="AD61" i="8"/>
  <c r="AF61" i="8"/>
  <c r="AG61" i="8"/>
  <c r="AH61" i="8"/>
  <c r="AJ61" i="8"/>
  <c r="AK61" i="8"/>
  <c r="AL61" i="8"/>
  <c r="AN61" i="8"/>
  <c r="AO61" i="8"/>
  <c r="AP61" i="8"/>
  <c r="C62" i="8"/>
  <c r="D62" i="8"/>
  <c r="F62" i="8"/>
  <c r="G62" i="8"/>
  <c r="H62" i="8"/>
  <c r="J62" i="8"/>
  <c r="K62" i="8"/>
  <c r="L62" i="8"/>
  <c r="N62" i="8"/>
  <c r="O62" i="8"/>
  <c r="P62" i="8"/>
  <c r="R62" i="8"/>
  <c r="S62" i="8"/>
  <c r="T62" i="8"/>
  <c r="V62" i="8"/>
  <c r="W62" i="8"/>
  <c r="X62" i="8"/>
  <c r="Z62" i="8"/>
  <c r="AA62" i="8"/>
  <c r="AB62" i="8"/>
  <c r="AD62" i="8"/>
  <c r="AE62" i="8"/>
  <c r="AF62" i="8"/>
  <c r="AH62" i="8"/>
  <c r="AI62" i="8"/>
  <c r="AJ62" i="8"/>
  <c r="AL62" i="8"/>
  <c r="AM62" i="8"/>
  <c r="AN62" i="8"/>
  <c r="AP62" i="8"/>
  <c r="AQ62" i="8"/>
  <c r="D63" i="8"/>
  <c r="E63" i="8"/>
  <c r="F63" i="8"/>
  <c r="H63" i="8"/>
  <c r="I63" i="8"/>
  <c r="J63" i="8"/>
  <c r="L63" i="8"/>
  <c r="M63" i="8"/>
  <c r="N63" i="8"/>
  <c r="P63" i="8"/>
  <c r="Q63" i="8"/>
  <c r="R63" i="8"/>
  <c r="T63" i="8"/>
  <c r="U63" i="8"/>
  <c r="V63" i="8"/>
  <c r="X63" i="8"/>
  <c r="Y63" i="8"/>
  <c r="Z63" i="8"/>
  <c r="AB63" i="8"/>
  <c r="AC63" i="8"/>
  <c r="AD63" i="8"/>
  <c r="AF63" i="8"/>
  <c r="AG63" i="8"/>
  <c r="AH63" i="8"/>
  <c r="AJ63" i="8"/>
  <c r="AK63" i="8"/>
  <c r="AL63" i="8"/>
  <c r="AN63" i="8"/>
  <c r="AO63" i="8"/>
  <c r="AP63" i="8"/>
  <c r="C64" i="8"/>
  <c r="D64" i="8"/>
  <c r="E64" i="8"/>
  <c r="F64" i="8"/>
  <c r="G64" i="8"/>
  <c r="H64" i="8"/>
  <c r="I64" i="8"/>
  <c r="J64" i="8"/>
  <c r="K64" i="8"/>
  <c r="L64" i="8"/>
  <c r="M64" i="8"/>
  <c r="M64" i="3" s="1"/>
  <c r="N64" i="8"/>
  <c r="O64" i="8"/>
  <c r="P64" i="8"/>
  <c r="Q64" i="8"/>
  <c r="R64" i="8"/>
  <c r="S64" i="8"/>
  <c r="T64" i="8"/>
  <c r="U64" i="8"/>
  <c r="V64" i="8"/>
  <c r="W64" i="8"/>
  <c r="X64" i="8"/>
  <c r="Y64" i="8"/>
  <c r="Y64" i="3" s="1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C65" i="8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Z65" i="8"/>
  <c r="AA65" i="8"/>
  <c r="AB65" i="8"/>
  <c r="AC65" i="8"/>
  <c r="AD65" i="8"/>
  <c r="AE65" i="8"/>
  <c r="AF65" i="8"/>
  <c r="AG65" i="8"/>
  <c r="AH65" i="8"/>
  <c r="AI65" i="8"/>
  <c r="AJ65" i="8"/>
  <c r="AK65" i="8"/>
  <c r="AL65" i="8"/>
  <c r="AM65" i="8"/>
  <c r="AM65" i="3" s="1"/>
  <c r="AN65" i="8"/>
  <c r="AO65" i="8"/>
  <c r="AP65" i="8"/>
  <c r="AQ65" i="8"/>
  <c r="C66" i="8"/>
  <c r="D66" i="8"/>
  <c r="E66" i="8"/>
  <c r="F66" i="8"/>
  <c r="G66" i="8"/>
  <c r="H66" i="8"/>
  <c r="I66" i="8"/>
  <c r="I66" i="3" s="1"/>
  <c r="J66" i="8"/>
  <c r="K66" i="8"/>
  <c r="L66" i="8"/>
  <c r="M66" i="8"/>
  <c r="N66" i="8"/>
  <c r="O66" i="8"/>
  <c r="P66" i="8"/>
  <c r="Q66" i="8"/>
  <c r="R66" i="8"/>
  <c r="S66" i="8"/>
  <c r="T66" i="8"/>
  <c r="U66" i="8"/>
  <c r="U66" i="3" s="1"/>
  <c r="V66" i="8"/>
  <c r="W66" i="8"/>
  <c r="X66" i="8"/>
  <c r="Y66" i="8"/>
  <c r="Z66" i="8"/>
  <c r="AA66" i="8"/>
  <c r="AB66" i="8"/>
  <c r="AC66" i="8"/>
  <c r="AD66" i="8"/>
  <c r="AE66" i="8"/>
  <c r="AF66" i="8"/>
  <c r="AG66" i="8"/>
  <c r="AH66" i="8"/>
  <c r="AI66" i="8"/>
  <c r="AJ66" i="8"/>
  <c r="AK66" i="8"/>
  <c r="AL66" i="8"/>
  <c r="AM66" i="8"/>
  <c r="AN66" i="8"/>
  <c r="AO66" i="8"/>
  <c r="AO66" i="3" s="1"/>
  <c r="AP66" i="8"/>
  <c r="AQ66" i="8"/>
  <c r="C67" i="8"/>
  <c r="D67" i="8"/>
  <c r="E67" i="8"/>
  <c r="F67" i="8"/>
  <c r="G67" i="8"/>
  <c r="H67" i="8"/>
  <c r="I67" i="8"/>
  <c r="J67" i="8"/>
  <c r="K67" i="8"/>
  <c r="L67" i="8"/>
  <c r="M67" i="8"/>
  <c r="N67" i="8"/>
  <c r="O67" i="8"/>
  <c r="P67" i="8"/>
  <c r="Q67" i="8"/>
  <c r="R67" i="8"/>
  <c r="S67" i="8"/>
  <c r="T67" i="8"/>
  <c r="U67" i="8"/>
  <c r="V67" i="8"/>
  <c r="W67" i="8"/>
  <c r="X67" i="8"/>
  <c r="Y67" i="8"/>
  <c r="Z67" i="8"/>
  <c r="AA67" i="8"/>
  <c r="AB67" i="8"/>
  <c r="AC67" i="8"/>
  <c r="AD67" i="8"/>
  <c r="AE67" i="8"/>
  <c r="AF67" i="8"/>
  <c r="AG67" i="8"/>
  <c r="AH67" i="8"/>
  <c r="AI67" i="8"/>
  <c r="AJ67" i="8"/>
  <c r="AK67" i="8"/>
  <c r="AL67" i="8"/>
  <c r="AM67" i="8"/>
  <c r="AN67" i="8"/>
  <c r="AO67" i="8"/>
  <c r="AP67" i="8"/>
  <c r="AQ67" i="8"/>
  <c r="C68" i="8"/>
  <c r="D68" i="8"/>
  <c r="F68" i="8"/>
  <c r="G68" i="8"/>
  <c r="H68" i="8"/>
  <c r="J68" i="8"/>
  <c r="K68" i="8"/>
  <c r="L68" i="8"/>
  <c r="N68" i="8"/>
  <c r="O68" i="8"/>
  <c r="P68" i="8"/>
  <c r="R68" i="8"/>
  <c r="S68" i="8"/>
  <c r="T68" i="8"/>
  <c r="V68" i="8"/>
  <c r="W68" i="8"/>
  <c r="X68" i="8"/>
  <c r="Z68" i="8"/>
  <c r="AA68" i="8"/>
  <c r="AB68" i="8"/>
  <c r="AD68" i="8"/>
  <c r="AE68" i="8"/>
  <c r="AF68" i="8"/>
  <c r="AH68" i="8"/>
  <c r="AI68" i="8"/>
  <c r="AJ68" i="8"/>
  <c r="AL68" i="8"/>
  <c r="AM68" i="8"/>
  <c r="AN68" i="8"/>
  <c r="AP68" i="8"/>
  <c r="AQ68" i="8"/>
  <c r="AA39" i="3" l="1"/>
  <c r="AA49" i="3"/>
  <c r="AC48" i="3"/>
  <c r="G47" i="8"/>
  <c r="O45" i="3"/>
  <c r="AK44" i="3"/>
  <c r="U44" i="3"/>
  <c r="I42" i="8"/>
  <c r="W41" i="3"/>
  <c r="E40" i="8"/>
  <c r="I36" i="8"/>
  <c r="O35" i="8"/>
  <c r="C33" i="8"/>
  <c r="AI31" i="8"/>
  <c r="W31" i="8"/>
  <c r="E30" i="8"/>
  <c r="AM29" i="8"/>
  <c r="M28" i="8"/>
  <c r="I28" i="8"/>
  <c r="AC26" i="8"/>
  <c r="Q26" i="8"/>
  <c r="AG24" i="8"/>
  <c r="G23" i="8"/>
  <c r="C23" i="8"/>
  <c r="W21" i="8"/>
  <c r="K21" i="8"/>
  <c r="AQ19" i="8"/>
  <c r="AA19" i="8"/>
  <c r="O61" i="3"/>
  <c r="AE53" i="3"/>
  <c r="S43" i="3"/>
  <c r="AD40" i="3"/>
  <c r="M38" i="3"/>
  <c r="W64" i="3"/>
  <c r="O64" i="3"/>
  <c r="G64" i="3"/>
  <c r="AM63" i="3"/>
  <c r="W63" i="3"/>
  <c r="G63" i="3"/>
  <c r="AI62" i="3"/>
  <c r="AE62" i="3"/>
  <c r="W62" i="3"/>
  <c r="O62" i="3"/>
  <c r="C62" i="3"/>
  <c r="AA61" i="3"/>
  <c r="X61" i="3"/>
  <c r="G61" i="3"/>
  <c r="AM60" i="3"/>
  <c r="AE60" i="3"/>
  <c r="W60" i="3"/>
  <c r="O60" i="3"/>
  <c r="AM59" i="3"/>
  <c r="AE59" i="3"/>
  <c r="AA59" i="3"/>
  <c r="AB59" i="3"/>
  <c r="O59" i="3"/>
  <c r="G59" i="3"/>
  <c r="AM58" i="3"/>
  <c r="AE58" i="3"/>
  <c r="W58" i="3"/>
  <c r="K58" i="3"/>
  <c r="C58" i="3"/>
  <c r="AM57" i="3"/>
  <c r="AA57" i="3"/>
  <c r="S57" i="3"/>
  <c r="K57" i="3"/>
  <c r="C57" i="3"/>
  <c r="AM56" i="3"/>
  <c r="AE56" i="3"/>
  <c r="W56" i="3"/>
  <c r="O56" i="3"/>
  <c r="G56" i="3"/>
  <c r="AQ55" i="3"/>
  <c r="K55" i="3"/>
  <c r="AM54" i="3"/>
  <c r="AE54" i="3"/>
  <c r="S54" i="3"/>
  <c r="K54" i="3"/>
  <c r="C54" i="3"/>
  <c r="AI53" i="3"/>
  <c r="C53" i="3"/>
  <c r="AQ52" i="3"/>
  <c r="AI52" i="3"/>
  <c r="S52" i="3"/>
  <c r="K52" i="3"/>
  <c r="C52" i="3"/>
  <c r="AM51" i="3"/>
  <c r="AA51" i="3"/>
  <c r="S51" i="3"/>
  <c r="G51" i="3"/>
  <c r="AM50" i="3"/>
  <c r="AA50" i="3"/>
  <c r="S50" i="3"/>
  <c r="AH48" i="3"/>
  <c r="Z48" i="3"/>
  <c r="V48" i="3"/>
  <c r="W48" i="3"/>
  <c r="AE47" i="3"/>
  <c r="W47" i="3"/>
  <c r="T47" i="3"/>
  <c r="AJ46" i="3"/>
  <c r="AB46" i="3"/>
  <c r="T46" i="3"/>
  <c r="L46" i="3"/>
  <c r="U45" i="3"/>
  <c r="AL44" i="3"/>
  <c r="AD44" i="3"/>
  <c r="AE44" i="3"/>
  <c r="AE43" i="3"/>
  <c r="O43" i="3"/>
  <c r="AJ42" i="3"/>
  <c r="AB42" i="3"/>
  <c r="T42" i="3"/>
  <c r="L42" i="3"/>
  <c r="AL40" i="3"/>
  <c r="AI37" i="3"/>
  <c r="AI33" i="3"/>
  <c r="AM40" i="3"/>
  <c r="AO68" i="8"/>
  <c r="AK68" i="8"/>
  <c r="AK68" i="3" s="1"/>
  <c r="AG68" i="8"/>
  <c r="AC68" i="8"/>
  <c r="Y68" i="8"/>
  <c r="Y68" i="3" s="1"/>
  <c r="U68" i="8"/>
  <c r="Q68" i="8"/>
  <c r="Q68" i="3" s="1"/>
  <c r="M68" i="8"/>
  <c r="M68" i="3" s="1"/>
  <c r="I68" i="8"/>
  <c r="I68" i="3" s="1"/>
  <c r="E68" i="8"/>
  <c r="E68" i="3" s="1"/>
  <c r="AQ61" i="8"/>
  <c r="AQ61" i="3" s="1"/>
  <c r="AM61" i="8"/>
  <c r="AM61" i="3" s="1"/>
  <c r="AI61" i="8"/>
  <c r="AI61" i="3" s="1"/>
  <c r="AE61" i="8"/>
  <c r="AA61" i="8"/>
  <c r="W61" i="8"/>
  <c r="W61" i="3" s="1"/>
  <c r="S61" i="8"/>
  <c r="O61" i="8"/>
  <c r="K61" i="8"/>
  <c r="G61" i="8"/>
  <c r="C61" i="8"/>
  <c r="C61" i="3" s="1"/>
  <c r="AO60" i="8"/>
  <c r="AK60" i="8"/>
  <c r="AG60" i="8"/>
  <c r="AG60" i="3" s="1"/>
  <c r="AC60" i="8"/>
  <c r="AC60" i="3" s="1"/>
  <c r="Y60" i="8"/>
  <c r="U60" i="8"/>
  <c r="U60" i="3" s="1"/>
  <c r="Q60" i="8"/>
  <c r="Q60" i="3" s="1"/>
  <c r="M60" i="8"/>
  <c r="M60" i="3" s="1"/>
  <c r="I60" i="8"/>
  <c r="E60" i="8"/>
  <c r="AQ53" i="8"/>
  <c r="AM53" i="8"/>
  <c r="AM53" i="3" s="1"/>
  <c r="AI53" i="8"/>
  <c r="AE53" i="8"/>
  <c r="AA53" i="8"/>
  <c r="W53" i="8"/>
  <c r="W53" i="3" s="1"/>
  <c r="S53" i="8"/>
  <c r="O53" i="8"/>
  <c r="O53" i="3" s="1"/>
  <c r="K53" i="8"/>
  <c r="K53" i="3" s="1"/>
  <c r="G53" i="8"/>
  <c r="G53" i="3" s="1"/>
  <c r="C53" i="8"/>
  <c r="AO52" i="8"/>
  <c r="AK52" i="8"/>
  <c r="AK52" i="3" s="1"/>
  <c r="AG52" i="8"/>
  <c r="AC52" i="8"/>
  <c r="Y52" i="8"/>
  <c r="U52" i="8"/>
  <c r="U52" i="3" s="1"/>
  <c r="Q52" i="8"/>
  <c r="Q52" i="3" s="1"/>
  <c r="M52" i="8"/>
  <c r="I52" i="8"/>
  <c r="E52" i="8"/>
  <c r="E52" i="3" s="1"/>
  <c r="AA35" i="8"/>
  <c r="AA35" i="3" s="1"/>
  <c r="AP33" i="3"/>
  <c r="AD33" i="3"/>
  <c r="Z68" i="3"/>
  <c r="J68" i="3"/>
  <c r="AD66" i="3"/>
  <c r="AH64" i="3"/>
  <c r="R64" i="3"/>
  <c r="AL62" i="3"/>
  <c r="F62" i="3"/>
  <c r="AP60" i="3"/>
  <c r="Z60" i="3"/>
  <c r="J60" i="3"/>
  <c r="N58" i="3"/>
  <c r="J58" i="3"/>
  <c r="AH56" i="3"/>
  <c r="R56" i="3"/>
  <c r="V54" i="3"/>
  <c r="R54" i="3"/>
  <c r="F54" i="3"/>
  <c r="AP52" i="3"/>
  <c r="Z52" i="3"/>
  <c r="V52" i="3"/>
  <c r="N50" i="3"/>
  <c r="P49" i="3"/>
  <c r="AQ46" i="3"/>
  <c r="AA46" i="3"/>
  <c r="W46" i="3"/>
  <c r="AN45" i="3"/>
  <c r="AI42" i="3"/>
  <c r="AE42" i="3"/>
  <c r="S42" i="3"/>
  <c r="P41" i="3"/>
  <c r="AQ38" i="3"/>
  <c r="AM38" i="3"/>
  <c r="AA38" i="3"/>
  <c r="U44" i="12"/>
  <c r="AF39" i="3"/>
  <c r="AG34" i="3"/>
  <c r="H67" i="3"/>
  <c r="AB57" i="3"/>
  <c r="X53" i="3"/>
  <c r="H51" i="3"/>
  <c r="BO19" i="2"/>
  <c r="J11" i="3"/>
  <c r="T3" i="3" s="1"/>
  <c r="J15" i="3" s="1"/>
  <c r="M12" i="3" s="1"/>
  <c r="J12" i="3"/>
  <c r="T4" i="3" s="1"/>
  <c r="J13" i="3"/>
  <c r="T5" i="3" s="1"/>
  <c r="J47" i="12"/>
  <c r="F45" i="12"/>
  <c r="H44" i="12"/>
  <c r="H40" i="12"/>
  <c r="J39" i="12"/>
  <c r="D38" i="12"/>
  <c r="R37" i="12"/>
  <c r="T36" i="12"/>
  <c r="D36" i="12"/>
  <c r="F35" i="12"/>
  <c r="T34" i="12"/>
  <c r="J33" i="12"/>
  <c r="L32" i="12"/>
  <c r="R31" i="12"/>
  <c r="AB30" i="12"/>
  <c r="H30" i="12"/>
  <c r="AD29" i="12"/>
  <c r="N29" i="12"/>
  <c r="AJ28" i="12"/>
  <c r="T28" i="12"/>
  <c r="AD27" i="12"/>
  <c r="AJ26" i="12"/>
  <c r="D26" i="12"/>
  <c r="AL25" i="12"/>
  <c r="N25" i="12"/>
  <c r="T24" i="12"/>
  <c r="D24" i="12"/>
  <c r="Z23" i="12"/>
  <c r="J23" i="12"/>
  <c r="AJ22" i="12"/>
  <c r="T22" i="12"/>
  <c r="AP21" i="12"/>
  <c r="Z21" i="12"/>
  <c r="AB20" i="12"/>
  <c r="D20" i="12"/>
  <c r="AL19" i="12"/>
  <c r="J19" i="12"/>
  <c r="M46" i="3"/>
  <c r="Q38" i="3"/>
  <c r="AZ68" i="3"/>
  <c r="AQ67" i="3"/>
  <c r="AM67" i="3"/>
  <c r="AE67" i="3"/>
  <c r="AA67" i="3"/>
  <c r="W67" i="3"/>
  <c r="S67" i="3"/>
  <c r="O67" i="3"/>
  <c r="K67" i="3"/>
  <c r="L67" i="3"/>
  <c r="G67" i="3"/>
  <c r="AQ66" i="3"/>
  <c r="AM66" i="3"/>
  <c r="AI66" i="3"/>
  <c r="AA66" i="3"/>
  <c r="W66" i="3"/>
  <c r="S66" i="3"/>
  <c r="O66" i="3"/>
  <c r="K66" i="3"/>
  <c r="G66" i="3"/>
  <c r="C66" i="3"/>
  <c r="AQ65" i="3"/>
  <c r="AI65" i="3"/>
  <c r="AE65" i="3"/>
  <c r="AA65" i="3"/>
  <c r="W65" i="3"/>
  <c r="S65" i="3"/>
  <c r="O65" i="3"/>
  <c r="P65" i="3"/>
  <c r="K65" i="3"/>
  <c r="C65" i="3"/>
  <c r="AQ64" i="3"/>
  <c r="AM64" i="3"/>
  <c r="AE64" i="3"/>
  <c r="S64" i="3"/>
  <c r="K64" i="3"/>
  <c r="T63" i="3"/>
  <c r="AQ62" i="3"/>
  <c r="AA62" i="3"/>
  <c r="S62" i="3"/>
  <c r="K62" i="3"/>
  <c r="AE61" i="3"/>
  <c r="S61" i="3"/>
  <c r="K61" i="3"/>
  <c r="AI60" i="3"/>
  <c r="AA60" i="3"/>
  <c r="S60" i="3"/>
  <c r="G60" i="3"/>
  <c r="C60" i="3"/>
  <c r="AQ59" i="3"/>
  <c r="AI59" i="3"/>
  <c r="W59" i="3"/>
  <c r="K59" i="3"/>
  <c r="C59" i="3"/>
  <c r="AQ58" i="3"/>
  <c r="AI58" i="3"/>
  <c r="AA58" i="3"/>
  <c r="S58" i="3"/>
  <c r="G58" i="3"/>
  <c r="AQ57" i="3"/>
  <c r="AI57" i="3"/>
  <c r="AE57" i="3"/>
  <c r="AF57" i="3"/>
  <c r="O57" i="3"/>
  <c r="G57" i="3"/>
  <c r="AQ56" i="3"/>
  <c r="AI56" i="3"/>
  <c r="AA56" i="3"/>
  <c r="K56" i="3"/>
  <c r="C56" i="3"/>
  <c r="AM55" i="3"/>
  <c r="AJ55" i="3"/>
  <c r="C55" i="3"/>
  <c r="D55" i="3"/>
  <c r="AQ54" i="3"/>
  <c r="AI54" i="3"/>
  <c r="AA54" i="3"/>
  <c r="O54" i="3"/>
  <c r="G54" i="3"/>
  <c r="AQ53" i="3"/>
  <c r="AN53" i="3"/>
  <c r="AA53" i="3"/>
  <c r="S53" i="3"/>
  <c r="H53" i="3"/>
  <c r="AM52" i="3"/>
  <c r="AE52" i="3"/>
  <c r="W52" i="3"/>
  <c r="O52" i="3"/>
  <c r="G52" i="3"/>
  <c r="AQ51" i="3"/>
  <c r="AE51" i="3"/>
  <c r="W51" i="3"/>
  <c r="O51" i="3"/>
  <c r="K51" i="3"/>
  <c r="L51" i="3"/>
  <c r="AQ50" i="3"/>
  <c r="AI50" i="3"/>
  <c r="W50" i="3"/>
  <c r="O50" i="3"/>
  <c r="AL48" i="3"/>
  <c r="AI47" i="3"/>
  <c r="AA47" i="3"/>
  <c r="O47" i="3"/>
  <c r="AN46" i="3"/>
  <c r="AF46" i="3"/>
  <c r="X46" i="3"/>
  <c r="P46" i="3"/>
  <c r="AP44" i="3"/>
  <c r="AQ43" i="3"/>
  <c r="AA43" i="3"/>
  <c r="AN42" i="3"/>
  <c r="AF42" i="3"/>
  <c r="X42" i="3"/>
  <c r="P42" i="3"/>
  <c r="AM37" i="3"/>
  <c r="AA37" i="3"/>
  <c r="AQ32" i="3"/>
  <c r="AM46" i="3"/>
  <c r="W38" i="3"/>
  <c r="AQ63" i="8"/>
  <c r="AQ63" i="3" s="1"/>
  <c r="AM63" i="8"/>
  <c r="AI63" i="8"/>
  <c r="AI63" i="3" s="1"/>
  <c r="AE63" i="8"/>
  <c r="AE63" i="3" s="1"/>
  <c r="AA63" i="8"/>
  <c r="AA63" i="3" s="1"/>
  <c r="W63" i="8"/>
  <c r="S63" i="8"/>
  <c r="S63" i="3" s="1"/>
  <c r="O63" i="8"/>
  <c r="O63" i="3" s="1"/>
  <c r="K63" i="8"/>
  <c r="K63" i="3" s="1"/>
  <c r="G63" i="8"/>
  <c r="C63" i="8"/>
  <c r="C63" i="3" s="1"/>
  <c r="AO62" i="8"/>
  <c r="AO62" i="3" s="1"/>
  <c r="AK62" i="8"/>
  <c r="AG62" i="8"/>
  <c r="AC62" i="8"/>
  <c r="AC62" i="3" s="1"/>
  <c r="Y62" i="8"/>
  <c r="U62" i="8"/>
  <c r="U62" i="3" s="1"/>
  <c r="Q62" i="8"/>
  <c r="Q62" i="3" s="1"/>
  <c r="M62" i="8"/>
  <c r="M62" i="3" s="1"/>
  <c r="I62" i="8"/>
  <c r="I62" i="3" s="1"/>
  <c r="E62" i="8"/>
  <c r="E62" i="3" s="1"/>
  <c r="AQ55" i="8"/>
  <c r="AM55" i="8"/>
  <c r="AI55" i="8"/>
  <c r="AI55" i="3" s="1"/>
  <c r="AE55" i="8"/>
  <c r="AE55" i="3" s="1"/>
  <c r="AA55" i="8"/>
  <c r="AA55" i="3" s="1"/>
  <c r="W55" i="8"/>
  <c r="W55" i="3" s="1"/>
  <c r="S55" i="8"/>
  <c r="S55" i="3" s="1"/>
  <c r="O55" i="8"/>
  <c r="O55" i="3" s="1"/>
  <c r="K55" i="8"/>
  <c r="G55" i="8"/>
  <c r="G55" i="3" s="1"/>
  <c r="C55" i="8"/>
  <c r="AO54" i="8"/>
  <c r="AO54" i="3" s="1"/>
  <c r="AK54" i="8"/>
  <c r="AG54" i="8"/>
  <c r="AG54" i="3" s="1"/>
  <c r="AC54" i="8"/>
  <c r="AC54" i="3" s="1"/>
  <c r="Y54" i="8"/>
  <c r="Y54" i="3" s="1"/>
  <c r="U54" i="8"/>
  <c r="Q54" i="8"/>
  <c r="M54" i="8"/>
  <c r="M54" i="3" s="1"/>
  <c r="I54" i="8"/>
  <c r="I54" i="3" s="1"/>
  <c r="E54" i="8"/>
  <c r="AI49" i="8"/>
  <c r="AI49" i="3" s="1"/>
  <c r="AK48" i="8"/>
  <c r="U48" i="8"/>
  <c r="AI45" i="8"/>
  <c r="AI45" i="3" s="1"/>
  <c r="AE41" i="8"/>
  <c r="AE41" i="3" s="1"/>
  <c r="S41" i="8"/>
  <c r="S41" i="3" s="1"/>
  <c r="AC40" i="8"/>
  <c r="AC40" i="3" s="1"/>
  <c r="AM37" i="8"/>
  <c r="AA37" i="8"/>
  <c r="AG68" i="3"/>
  <c r="U68" i="3"/>
  <c r="AK66" i="3"/>
  <c r="Y66" i="3"/>
  <c r="E66" i="3"/>
  <c r="AO64" i="3"/>
  <c r="AC64" i="3"/>
  <c r="I64" i="3"/>
  <c r="AG62" i="3"/>
  <c r="AK60" i="3"/>
  <c r="E60" i="3"/>
  <c r="AO58" i="3"/>
  <c r="U58" i="3"/>
  <c r="I58" i="3"/>
  <c r="E57" i="3"/>
  <c r="Y56" i="3"/>
  <c r="M56" i="3"/>
  <c r="Q54" i="3"/>
  <c r="AG52" i="3"/>
  <c r="Y50" i="3"/>
  <c r="AQ49" i="3"/>
  <c r="AE39" i="3"/>
  <c r="AL38" i="3"/>
  <c r="AQ35" i="3"/>
  <c r="AB34" i="3"/>
  <c r="S40" i="3"/>
  <c r="AH68" i="3"/>
  <c r="AL67" i="3"/>
  <c r="AD67" i="3"/>
  <c r="V67" i="3"/>
  <c r="N67" i="3"/>
  <c r="F67" i="3"/>
  <c r="AL66" i="3"/>
  <c r="V66" i="3"/>
  <c r="F66" i="3"/>
  <c r="AP65" i="3"/>
  <c r="AH65" i="3"/>
  <c r="Z65" i="3"/>
  <c r="R65" i="3"/>
  <c r="J65" i="3"/>
  <c r="AP64" i="3"/>
  <c r="V64" i="3"/>
  <c r="F64" i="3"/>
  <c r="AL63" i="3"/>
  <c r="AD63" i="3"/>
  <c r="V63" i="3"/>
  <c r="N63" i="3"/>
  <c r="F63" i="3"/>
  <c r="AP62" i="3"/>
  <c r="AD62" i="3"/>
  <c r="N62" i="3"/>
  <c r="AL61" i="3"/>
  <c r="AD61" i="3"/>
  <c r="V61" i="3"/>
  <c r="N61" i="3"/>
  <c r="F61" i="3"/>
  <c r="AH60" i="3"/>
  <c r="N60" i="3"/>
  <c r="AL59" i="3"/>
  <c r="AD59" i="3"/>
  <c r="V59" i="3"/>
  <c r="N59" i="3"/>
  <c r="F59" i="3"/>
  <c r="V58" i="3"/>
  <c r="F58" i="3"/>
  <c r="AP57" i="3"/>
  <c r="AH57" i="3"/>
  <c r="V57" i="3"/>
  <c r="N57" i="3"/>
  <c r="F57" i="3"/>
  <c r="AP56" i="3"/>
  <c r="Z56" i="3"/>
  <c r="F56" i="3"/>
  <c r="AL55" i="3"/>
  <c r="AD55" i="3"/>
  <c r="V55" i="3"/>
  <c r="N55" i="3"/>
  <c r="F55" i="3"/>
  <c r="Z54" i="3"/>
  <c r="AP53" i="3"/>
  <c r="AH53" i="3"/>
  <c r="Z53" i="3"/>
  <c r="R53" i="3"/>
  <c r="J53" i="3"/>
  <c r="AD52" i="3"/>
  <c r="AL51" i="3"/>
  <c r="AD51" i="3"/>
  <c r="V51" i="3"/>
  <c r="N51" i="3"/>
  <c r="F51" i="3"/>
  <c r="V50" i="3"/>
  <c r="X49" i="3"/>
  <c r="AP47" i="3"/>
  <c r="AH47" i="3"/>
  <c r="Z47" i="3"/>
  <c r="R47" i="3"/>
  <c r="AI46" i="3"/>
  <c r="S46" i="3"/>
  <c r="AF45" i="3"/>
  <c r="AP43" i="3"/>
  <c r="AH43" i="3"/>
  <c r="Z43" i="3"/>
  <c r="R43" i="3"/>
  <c r="AM42" i="3"/>
  <c r="W42" i="3"/>
  <c r="AE38" i="3"/>
  <c r="O38" i="3"/>
  <c r="AL37" i="3"/>
  <c r="AD37" i="3"/>
  <c r="Y36" i="3"/>
  <c r="Z33" i="3"/>
  <c r="AB32" i="3"/>
  <c r="AK49" i="3"/>
  <c r="AO47" i="3"/>
  <c r="U41" i="3"/>
  <c r="K48" i="12"/>
  <c r="C46" i="12"/>
  <c r="E43" i="12"/>
  <c r="K38" i="12"/>
  <c r="G38" i="12"/>
  <c r="K36" i="12"/>
  <c r="E35" i="12"/>
  <c r="Q33" i="12"/>
  <c r="M33" i="12"/>
  <c r="M31" i="12"/>
  <c r="O30" i="12"/>
  <c r="W24" i="12"/>
  <c r="U23" i="12"/>
  <c r="AK33" i="3"/>
  <c r="AC33" i="3"/>
  <c r="Y33" i="3"/>
  <c r="AO68" i="3"/>
  <c r="AC68" i="3"/>
  <c r="AO67" i="3"/>
  <c r="AK67" i="3"/>
  <c r="Y67" i="3"/>
  <c r="U67" i="3"/>
  <c r="I67" i="3"/>
  <c r="E67" i="3"/>
  <c r="AG66" i="3"/>
  <c r="AC66" i="3"/>
  <c r="Q66" i="3"/>
  <c r="M66" i="3"/>
  <c r="AO65" i="3"/>
  <c r="AC65" i="3"/>
  <c r="Y65" i="3"/>
  <c r="M65" i="3"/>
  <c r="I65" i="3"/>
  <c r="AK64" i="3"/>
  <c r="AG64" i="3"/>
  <c r="U64" i="3"/>
  <c r="Q64" i="3"/>
  <c r="E64" i="3"/>
  <c r="AG63" i="3"/>
  <c r="AC63" i="3"/>
  <c r="Q63" i="3"/>
  <c r="M63" i="3"/>
  <c r="AK62" i="3"/>
  <c r="Y62" i="3"/>
  <c r="AK61" i="3"/>
  <c r="AG61" i="3"/>
  <c r="U61" i="3"/>
  <c r="Q61" i="3"/>
  <c r="E61" i="3"/>
  <c r="AO60" i="3"/>
  <c r="Y60" i="3"/>
  <c r="I60" i="3"/>
  <c r="AO59" i="3"/>
  <c r="AK59" i="3"/>
  <c r="Y59" i="3"/>
  <c r="U59" i="3"/>
  <c r="I59" i="3"/>
  <c r="E59" i="3"/>
  <c r="AG58" i="3"/>
  <c r="AC58" i="3"/>
  <c r="Q58" i="3"/>
  <c r="M58" i="3"/>
  <c r="AO57" i="3"/>
  <c r="AC57" i="3"/>
  <c r="Y57" i="3"/>
  <c r="M57" i="3"/>
  <c r="I57" i="3"/>
  <c r="AK56" i="3"/>
  <c r="AG56" i="3"/>
  <c r="U56" i="3"/>
  <c r="Q56" i="3"/>
  <c r="E56" i="3"/>
  <c r="AG55" i="3"/>
  <c r="AC55" i="3"/>
  <c r="Q55" i="3"/>
  <c r="M55" i="3"/>
  <c r="AK54" i="3"/>
  <c r="U54" i="3"/>
  <c r="E54" i="3"/>
  <c r="AK53" i="3"/>
  <c r="AG53" i="3"/>
  <c r="U53" i="3"/>
  <c r="Q53" i="3"/>
  <c r="E53" i="3"/>
  <c r="AO52" i="3"/>
  <c r="AC52" i="3"/>
  <c r="Y52" i="3"/>
  <c r="M52" i="3"/>
  <c r="I52" i="3"/>
  <c r="AO51" i="3"/>
  <c r="AK51" i="3"/>
  <c r="Y51" i="3"/>
  <c r="U51" i="3"/>
  <c r="I51" i="3"/>
  <c r="E51" i="3"/>
  <c r="AC50" i="3"/>
  <c r="M50" i="3"/>
  <c r="AN48" i="3"/>
  <c r="AJ48" i="3"/>
  <c r="AF48" i="3"/>
  <c r="AB48" i="3"/>
  <c r="X48" i="3"/>
  <c r="T48" i="3"/>
  <c r="P48" i="3"/>
  <c r="L48" i="3"/>
  <c r="AG47" i="3"/>
  <c r="AC47" i="3"/>
  <c r="Q47" i="3"/>
  <c r="M47" i="3"/>
  <c r="Z46" i="3"/>
  <c r="W45" i="3"/>
  <c r="AN44" i="3"/>
  <c r="AJ44" i="3"/>
  <c r="AF44" i="3"/>
  <c r="AB44" i="3"/>
  <c r="X44" i="3"/>
  <c r="T44" i="3"/>
  <c r="P44" i="3"/>
  <c r="L44" i="3"/>
  <c r="AO43" i="3"/>
  <c r="AK43" i="3"/>
  <c r="Y43" i="3"/>
  <c r="U43" i="3"/>
  <c r="AH42" i="3"/>
  <c r="R42" i="3"/>
  <c r="AN40" i="3"/>
  <c r="AJ40" i="3"/>
  <c r="AF40" i="3"/>
  <c r="AB40" i="3"/>
  <c r="X40" i="3"/>
  <c r="AM39" i="3"/>
  <c r="AD38" i="3"/>
  <c r="Z38" i="3"/>
  <c r="N38" i="3"/>
  <c r="AK37" i="3"/>
  <c r="AG37" i="3"/>
  <c r="AE35" i="3"/>
  <c r="AJ34" i="3"/>
  <c r="AF34" i="3"/>
  <c r="X34" i="3"/>
  <c r="AG33" i="3"/>
  <c r="AE32" i="3"/>
  <c r="BG25" i="2"/>
  <c r="BN24" i="2"/>
  <c r="BH23" i="2"/>
  <c r="BK22" i="2"/>
  <c r="BN21" i="2"/>
  <c r="BG20" i="2"/>
  <c r="AD68" i="3"/>
  <c r="R68" i="3"/>
  <c r="AP67" i="3"/>
  <c r="AH67" i="3"/>
  <c r="Z67" i="3"/>
  <c r="R67" i="3"/>
  <c r="J67" i="3"/>
  <c r="AH66" i="3"/>
  <c r="R66" i="3"/>
  <c r="AL65" i="3"/>
  <c r="AD65" i="3"/>
  <c r="V65" i="3"/>
  <c r="N65" i="3"/>
  <c r="F65" i="3"/>
  <c r="AL64" i="3"/>
  <c r="Z64" i="3"/>
  <c r="J64" i="3"/>
  <c r="AP63" i="3"/>
  <c r="AH63" i="3"/>
  <c r="Z63" i="3"/>
  <c r="R63" i="3"/>
  <c r="J63" i="3"/>
  <c r="Z62" i="3"/>
  <c r="J62" i="3"/>
  <c r="AP61" i="3"/>
  <c r="AH61" i="3"/>
  <c r="Z61" i="3"/>
  <c r="R61" i="3"/>
  <c r="J61" i="3"/>
  <c r="R60" i="3"/>
  <c r="AP59" i="3"/>
  <c r="AH59" i="3"/>
  <c r="Z59" i="3"/>
  <c r="R59" i="3"/>
  <c r="J59" i="3"/>
  <c r="AH58" i="3"/>
  <c r="R58" i="3"/>
  <c r="AL57" i="3"/>
  <c r="AD57" i="3"/>
  <c r="Z57" i="3"/>
  <c r="R57" i="3"/>
  <c r="J57" i="3"/>
  <c r="V56" i="3"/>
  <c r="J56" i="3"/>
  <c r="AP55" i="3"/>
  <c r="AH55" i="3"/>
  <c r="Z55" i="3"/>
  <c r="R55" i="3"/>
  <c r="J55" i="3"/>
  <c r="AP54" i="3"/>
  <c r="AD54" i="3"/>
  <c r="N54" i="3"/>
  <c r="AL53" i="3"/>
  <c r="AD53" i="3"/>
  <c r="V53" i="3"/>
  <c r="N53" i="3"/>
  <c r="F53" i="3"/>
  <c r="AH52" i="3"/>
  <c r="N52" i="3"/>
  <c r="AP51" i="3"/>
  <c r="AH51" i="3"/>
  <c r="Z51" i="3"/>
  <c r="R51" i="3"/>
  <c r="J51" i="3"/>
  <c r="AH50" i="3"/>
  <c r="AK48" i="3"/>
  <c r="U48" i="3"/>
  <c r="AL47" i="3"/>
  <c r="AD47" i="3"/>
  <c r="V47" i="3"/>
  <c r="N47" i="3"/>
  <c r="AE46" i="3"/>
  <c r="O46" i="3"/>
  <c r="AL43" i="3"/>
  <c r="AD43" i="3"/>
  <c r="V43" i="3"/>
  <c r="N43" i="3"/>
  <c r="AQ42" i="3"/>
  <c r="AA42" i="3"/>
  <c r="AN41" i="3"/>
  <c r="AG40" i="3"/>
  <c r="Q40" i="3"/>
  <c r="AN39" i="3"/>
  <c r="AI38" i="3"/>
  <c r="S38" i="3"/>
  <c r="AP37" i="3"/>
  <c r="AH37" i="3"/>
  <c r="Z37" i="3"/>
  <c r="AO63" i="3"/>
  <c r="M61" i="3"/>
  <c r="U57" i="3"/>
  <c r="AC53" i="3"/>
  <c r="Q43" i="3"/>
  <c r="AC37" i="3"/>
  <c r="E49" i="12"/>
  <c r="AN68" i="3"/>
  <c r="AJ68" i="3"/>
  <c r="AF68" i="3"/>
  <c r="AB68" i="3"/>
  <c r="X68" i="3"/>
  <c r="T68" i="3"/>
  <c r="P68" i="3"/>
  <c r="L68" i="3"/>
  <c r="H68" i="3"/>
  <c r="D68" i="3"/>
  <c r="AF67" i="3"/>
  <c r="T67" i="3"/>
  <c r="P67" i="3"/>
  <c r="D67" i="3"/>
  <c r="C68" i="3"/>
  <c r="AN66" i="3"/>
  <c r="AJ66" i="3"/>
  <c r="AF66" i="3"/>
  <c r="AB66" i="3"/>
  <c r="X66" i="3"/>
  <c r="T66" i="3"/>
  <c r="P66" i="3"/>
  <c r="L66" i="3"/>
  <c r="H66" i="3"/>
  <c r="D66" i="3"/>
  <c r="AN65" i="3"/>
  <c r="AJ65" i="3"/>
  <c r="X65" i="3"/>
  <c r="T65" i="3"/>
  <c r="D65" i="3"/>
  <c r="AN64" i="3"/>
  <c r="AJ64" i="3"/>
  <c r="AF64" i="3"/>
  <c r="AB64" i="3"/>
  <c r="X64" i="3"/>
  <c r="T64" i="3"/>
  <c r="P64" i="3"/>
  <c r="L64" i="3"/>
  <c r="H64" i="3"/>
  <c r="D64" i="3"/>
  <c r="AN63" i="3"/>
  <c r="AB63" i="3"/>
  <c r="X63" i="3"/>
  <c r="L63" i="3"/>
  <c r="AN62" i="3"/>
  <c r="AJ62" i="3"/>
  <c r="AF62" i="3"/>
  <c r="AB62" i="3"/>
  <c r="X62" i="3"/>
  <c r="T62" i="3"/>
  <c r="P62" i="3"/>
  <c r="L62" i="3"/>
  <c r="H62" i="3"/>
  <c r="D62" i="3"/>
  <c r="AF61" i="3"/>
  <c r="AB61" i="3"/>
  <c r="P61" i="3"/>
  <c r="L61" i="3"/>
  <c r="AN60" i="3"/>
  <c r="AJ60" i="3"/>
  <c r="AF60" i="3"/>
  <c r="AB60" i="3"/>
  <c r="X60" i="3"/>
  <c r="T60" i="3"/>
  <c r="P60" i="3"/>
  <c r="L60" i="3"/>
  <c r="H60" i="3"/>
  <c r="D60" i="3"/>
  <c r="AJ59" i="3"/>
  <c r="AF59" i="3"/>
  <c r="T59" i="3"/>
  <c r="P59" i="3"/>
  <c r="D59" i="3"/>
  <c r="AN58" i="3"/>
  <c r="AJ58" i="3"/>
  <c r="AF58" i="3"/>
  <c r="AB58" i="3"/>
  <c r="X58" i="3"/>
  <c r="T58" i="3"/>
  <c r="P58" i="3"/>
  <c r="L58" i="3"/>
  <c r="H58" i="3"/>
  <c r="D58" i="3"/>
  <c r="AN57" i="3"/>
  <c r="AJ57" i="3"/>
  <c r="X57" i="3"/>
  <c r="T57" i="3"/>
  <c r="H57" i="3"/>
  <c r="D57" i="3"/>
  <c r="AN56" i="3"/>
  <c r="AJ56" i="3"/>
  <c r="AF56" i="3"/>
  <c r="AB56" i="3"/>
  <c r="X56" i="3"/>
  <c r="T56" i="3"/>
  <c r="P56" i="3"/>
  <c r="L56" i="3"/>
  <c r="H56" i="3"/>
  <c r="D56" i="3"/>
  <c r="AN55" i="3"/>
  <c r="AB55" i="3"/>
  <c r="X55" i="3"/>
  <c r="L55" i="3"/>
  <c r="H55" i="3"/>
  <c r="AN54" i="3"/>
  <c r="AJ54" i="3"/>
  <c r="AF54" i="3"/>
  <c r="AB54" i="3"/>
  <c r="X54" i="3"/>
  <c r="T54" i="3"/>
  <c r="P54" i="3"/>
  <c r="L54" i="3"/>
  <c r="H54" i="3"/>
  <c r="D54" i="3"/>
  <c r="AB53" i="3"/>
  <c r="P53" i="3"/>
  <c r="L53" i="3"/>
  <c r="AN52" i="3"/>
  <c r="AJ52" i="3"/>
  <c r="AF52" i="3"/>
  <c r="AB52" i="3"/>
  <c r="X52" i="3"/>
  <c r="T52" i="3"/>
  <c r="P52" i="3"/>
  <c r="L52" i="3"/>
  <c r="H52" i="3"/>
  <c r="D52" i="3"/>
  <c r="AJ51" i="3"/>
  <c r="T51" i="3"/>
  <c r="P51" i="3"/>
  <c r="D51" i="3"/>
  <c r="AN50" i="3"/>
  <c r="AJ50" i="3"/>
  <c r="AF50" i="3"/>
  <c r="AB50" i="3"/>
  <c r="X50" i="3"/>
  <c r="T50" i="3"/>
  <c r="P50" i="3"/>
  <c r="L50" i="3"/>
  <c r="AP49" i="3"/>
  <c r="AL49" i="3"/>
  <c r="AH49" i="3"/>
  <c r="AD49" i="3"/>
  <c r="Z49" i="3"/>
  <c r="V49" i="3"/>
  <c r="R49" i="3"/>
  <c r="N49" i="3"/>
  <c r="AQ48" i="3"/>
  <c r="AE48" i="3"/>
  <c r="AA48" i="3"/>
  <c r="O48" i="3"/>
  <c r="AN47" i="3"/>
  <c r="L47" i="3"/>
  <c r="AK46" i="3"/>
  <c r="Y46" i="3"/>
  <c r="U46" i="3"/>
  <c r="AP45" i="3"/>
  <c r="AL45" i="3"/>
  <c r="AH45" i="3"/>
  <c r="AD45" i="3"/>
  <c r="Z45" i="3"/>
  <c r="V45" i="3"/>
  <c r="R45" i="3"/>
  <c r="N45" i="3"/>
  <c r="AM44" i="3"/>
  <c r="AI44" i="3"/>
  <c r="W44" i="3"/>
  <c r="S44" i="3"/>
  <c r="AF43" i="3"/>
  <c r="T43" i="3"/>
  <c r="P43" i="3"/>
  <c r="AG42" i="3"/>
  <c r="AC42" i="3"/>
  <c r="Q42" i="3"/>
  <c r="M42" i="3"/>
  <c r="AP41" i="3"/>
  <c r="AL41" i="3"/>
  <c r="AH41" i="3"/>
  <c r="AD41" i="3"/>
  <c r="Z41" i="3"/>
  <c r="V41" i="3"/>
  <c r="R41" i="3"/>
  <c r="N41" i="3"/>
  <c r="AQ40" i="3"/>
  <c r="AE40" i="3"/>
  <c r="AA40" i="3"/>
  <c r="O40" i="3"/>
  <c r="AP39" i="3"/>
  <c r="AL39" i="3"/>
  <c r="AH39" i="3"/>
  <c r="AD39" i="3"/>
  <c r="Z39" i="3"/>
  <c r="V39" i="3"/>
  <c r="R39" i="3"/>
  <c r="N39" i="3"/>
  <c r="AK38" i="3"/>
  <c r="AB37" i="3"/>
  <c r="AQ36" i="3"/>
  <c r="AM36" i="3"/>
  <c r="AE36" i="3"/>
  <c r="AA36" i="3"/>
  <c r="W36" i="3"/>
  <c r="AP35" i="3"/>
  <c r="AL35" i="3"/>
  <c r="AH35" i="3"/>
  <c r="AD35" i="3"/>
  <c r="Z35" i="3"/>
  <c r="AQ34" i="3"/>
  <c r="AM34" i="3"/>
  <c r="AI34" i="3"/>
  <c r="AE34" i="3"/>
  <c r="AA34" i="3"/>
  <c r="W34" i="3"/>
  <c r="AJ33" i="3"/>
  <c r="AF33" i="3"/>
  <c r="AL32" i="3"/>
  <c r="BF19" i="2"/>
  <c r="BJ19" i="2"/>
  <c r="BF20" i="2"/>
  <c r="BJ20" i="2"/>
  <c r="BP20" i="2"/>
  <c r="BF21" i="2"/>
  <c r="BJ21" i="2"/>
  <c r="BP21" i="2"/>
  <c r="BF22" i="2"/>
  <c r="BJ22" i="2"/>
  <c r="BP22" i="2"/>
  <c r="BF23" i="2"/>
  <c r="BJ23" i="2"/>
  <c r="BP23" i="2"/>
  <c r="BF24" i="2"/>
  <c r="BJ24" i="2"/>
  <c r="BP24" i="2"/>
  <c r="BF25" i="2"/>
  <c r="BJ25" i="2"/>
  <c r="BP25" i="2"/>
  <c r="BF26" i="2"/>
  <c r="BJ26" i="2"/>
  <c r="BP26" i="2"/>
  <c r="BF27" i="2"/>
  <c r="BJ27" i="2"/>
  <c r="BP27" i="2"/>
  <c r="BF28" i="2"/>
  <c r="BJ28" i="2"/>
  <c r="BP28" i="2"/>
  <c r="BF29" i="2"/>
  <c r="BJ29" i="2"/>
  <c r="BP29" i="2"/>
  <c r="BF30" i="2"/>
  <c r="BJ30" i="2"/>
  <c r="BP30" i="2"/>
  <c r="BF31" i="2"/>
  <c r="BJ31" i="2"/>
  <c r="BP31" i="2"/>
  <c r="BF32" i="2"/>
  <c r="BJ32" i="2"/>
  <c r="BP32" i="2"/>
  <c r="BF33" i="2"/>
  <c r="BJ33" i="2"/>
  <c r="BP33" i="2"/>
  <c r="BF34" i="2"/>
  <c r="BJ34" i="2"/>
  <c r="BP34" i="2"/>
  <c r="BK19" i="2"/>
  <c r="BI20" i="2"/>
  <c r="BQ20" i="2"/>
  <c r="BH21" i="2"/>
  <c r="BO21" i="2"/>
  <c r="BG22" i="2"/>
  <c r="BN22" i="2"/>
  <c r="BK23" i="2"/>
  <c r="BI24" i="2"/>
  <c r="BQ24" i="2"/>
  <c r="BH25" i="2"/>
  <c r="BO25" i="2"/>
  <c r="BG26" i="2"/>
  <c r="BN26" i="2"/>
  <c r="BK27" i="2"/>
  <c r="BI28" i="2"/>
  <c r="BQ28" i="2"/>
  <c r="BH29" i="2"/>
  <c r="BO29" i="2"/>
  <c r="BG30" i="2"/>
  <c r="BN30" i="2"/>
  <c r="BK31" i="2"/>
  <c r="BI32" i="2"/>
  <c r="BQ32" i="2"/>
  <c r="BH33" i="2"/>
  <c r="BO33" i="2"/>
  <c r="BG34" i="2"/>
  <c r="BN34" i="2"/>
  <c r="BI35" i="2"/>
  <c r="BO35" i="2"/>
  <c r="BI36" i="2"/>
  <c r="BO36" i="2"/>
  <c r="BI37" i="2"/>
  <c r="BO37" i="2"/>
  <c r="BI38" i="2"/>
  <c r="BO38" i="2"/>
  <c r="BI39" i="2"/>
  <c r="BO39" i="2"/>
  <c r="BG19" i="2"/>
  <c r="BK20" i="2"/>
  <c r="BI21" i="2"/>
  <c r="BQ21" i="2"/>
  <c r="BH22" i="2"/>
  <c r="BO22" i="2"/>
  <c r="BG23" i="2"/>
  <c r="BN23" i="2"/>
  <c r="BK24" i="2"/>
  <c r="BI25" i="2"/>
  <c r="BQ25" i="2"/>
  <c r="BH26" i="2"/>
  <c r="BO26" i="2"/>
  <c r="BG27" i="2"/>
  <c r="BN27" i="2"/>
  <c r="BK28" i="2"/>
  <c r="BI29" i="2"/>
  <c r="BQ29" i="2"/>
  <c r="BH30" i="2"/>
  <c r="BO30" i="2"/>
  <c r="BG31" i="2"/>
  <c r="BN31" i="2"/>
  <c r="BK32" i="2"/>
  <c r="BI33" i="2"/>
  <c r="BQ33" i="2"/>
  <c r="BH34" i="2"/>
  <c r="BO34" i="2"/>
  <c r="BF35" i="2"/>
  <c r="BJ35" i="2"/>
  <c r="BP35" i="2"/>
  <c r="BF36" i="2"/>
  <c r="BJ36" i="2"/>
  <c r="BP36" i="2"/>
  <c r="BF37" i="2"/>
  <c r="BJ37" i="2"/>
  <c r="BP37" i="2"/>
  <c r="BF38" i="2"/>
  <c r="BJ38" i="2"/>
  <c r="BP38" i="2"/>
  <c r="BF39" i="2"/>
  <c r="BJ39" i="2"/>
  <c r="BP39" i="2"/>
  <c r="BF40" i="2"/>
  <c r="BJ40" i="2"/>
  <c r="BP40" i="2"/>
  <c r="BF41" i="2"/>
  <c r="BJ41" i="2"/>
  <c r="BP41" i="2"/>
  <c r="BF42" i="2"/>
  <c r="BJ42" i="2"/>
  <c r="BP42" i="2"/>
  <c r="BF43" i="2"/>
  <c r="BJ43" i="2"/>
  <c r="BP43" i="2"/>
  <c r="BF44" i="2"/>
  <c r="BJ44" i="2"/>
  <c r="BP44" i="2"/>
  <c r="BF45" i="2"/>
  <c r="BJ45" i="2"/>
  <c r="BP45" i="2"/>
  <c r="BF46" i="2"/>
  <c r="BJ46" i="2"/>
  <c r="BP46" i="2"/>
  <c r="BF47" i="2"/>
  <c r="BJ47" i="2"/>
  <c r="BP47" i="2"/>
  <c r="BF48" i="2"/>
  <c r="BJ48" i="2"/>
  <c r="BP48" i="2"/>
  <c r="BF49" i="2"/>
  <c r="BJ49" i="2"/>
  <c r="AG36" i="3"/>
  <c r="AC35" i="3"/>
  <c r="AL34" i="3"/>
  <c r="AM33" i="3"/>
  <c r="AE33" i="3"/>
  <c r="AA33" i="3"/>
  <c r="AN32" i="3"/>
  <c r="AF32" i="3"/>
  <c r="X32" i="3"/>
  <c r="T40" i="3"/>
  <c r="P40" i="3"/>
  <c r="L40" i="3"/>
  <c r="AN38" i="3"/>
  <c r="AJ38" i="3"/>
  <c r="AF38" i="3"/>
  <c r="AB38" i="3"/>
  <c r="X38" i="3"/>
  <c r="T38" i="3"/>
  <c r="P38" i="3"/>
  <c r="L38" i="3"/>
  <c r="AN36" i="3"/>
  <c r="AJ36" i="3"/>
  <c r="AF36" i="3"/>
  <c r="AB36" i="3"/>
  <c r="X36" i="3"/>
  <c r="X35" i="3"/>
  <c r="Y34" i="3"/>
  <c r="AL33" i="3"/>
  <c r="AM32" i="3"/>
  <c r="AI32" i="3"/>
  <c r="X16" i="3"/>
  <c r="X6" i="3" s="1"/>
  <c r="AA12" i="3"/>
  <c r="BQ19" i="2" s="1"/>
  <c r="Y32" i="12"/>
  <c r="Y32" i="3" s="1"/>
  <c r="AO32" i="12"/>
  <c r="AO32" i="3" s="1"/>
  <c r="W33" i="12"/>
  <c r="W33" i="3" s="1"/>
  <c r="AM33" i="12"/>
  <c r="AC32" i="12"/>
  <c r="AC32" i="3" s="1"/>
  <c r="AK32" i="12"/>
  <c r="AK32" i="3" s="1"/>
  <c r="AQ33" i="12"/>
  <c r="AQ33" i="3" s="1"/>
  <c r="AK34" i="12"/>
  <c r="AK34" i="3" s="1"/>
  <c r="AI35" i="12"/>
  <c r="AI35" i="3" s="1"/>
  <c r="AG36" i="12"/>
  <c r="AE37" i="12"/>
  <c r="AE37" i="3" s="1"/>
  <c r="M38" i="12"/>
  <c r="AC38" i="12"/>
  <c r="AC38" i="3" s="1"/>
  <c r="AA39" i="12"/>
  <c r="AQ39" i="12"/>
  <c r="AQ39" i="3" s="1"/>
  <c r="Y40" i="12"/>
  <c r="Y40" i="3" s="1"/>
  <c r="AO40" i="12"/>
  <c r="AO40" i="3" s="1"/>
  <c r="W41" i="12"/>
  <c r="AM41" i="12"/>
  <c r="AM41" i="3" s="1"/>
  <c r="U42" i="12"/>
  <c r="U42" i="3" s="1"/>
  <c r="AK42" i="12"/>
  <c r="AK42" i="3" s="1"/>
  <c r="S43" i="12"/>
  <c r="AI43" i="12"/>
  <c r="AI43" i="3" s="1"/>
  <c r="Q44" i="12"/>
  <c r="Q44" i="3" s="1"/>
  <c r="AG44" i="12"/>
  <c r="AG44" i="3" s="1"/>
  <c r="O45" i="12"/>
  <c r="AE45" i="12"/>
  <c r="AE45" i="3" s="1"/>
  <c r="M46" i="12"/>
  <c r="AC46" i="12"/>
  <c r="AC46" i="3" s="1"/>
  <c r="AA47" i="12"/>
  <c r="AQ47" i="12"/>
  <c r="AQ47" i="3" s="1"/>
  <c r="Y48" i="12"/>
  <c r="Y48" i="3" s="1"/>
  <c r="AO48" i="12"/>
  <c r="AO48" i="3" s="1"/>
  <c r="W49" i="12"/>
  <c r="W49" i="3" s="1"/>
  <c r="AM49" i="12"/>
  <c r="AM49" i="3" s="1"/>
  <c r="U50" i="12"/>
  <c r="U50" i="3" s="1"/>
  <c r="AK50" i="12"/>
  <c r="AK50" i="3" s="1"/>
  <c r="AI33" i="12"/>
  <c r="AC34" i="12"/>
  <c r="AC34" i="3" s="1"/>
  <c r="AQ35" i="12"/>
  <c r="AC36" i="12"/>
  <c r="AC36" i="3" s="1"/>
  <c r="AI37" i="12"/>
  <c r="AQ37" i="12"/>
  <c r="AQ37" i="3" s="1"/>
  <c r="U38" i="12"/>
  <c r="U38" i="3" s="1"/>
  <c r="AI39" i="12"/>
  <c r="AI39" i="3" s="1"/>
  <c r="M40" i="12"/>
  <c r="M40" i="3" s="1"/>
  <c r="U40" i="12"/>
  <c r="U40" i="3" s="1"/>
  <c r="AA41" i="12"/>
  <c r="AA41" i="3" s="1"/>
  <c r="AI41" i="12"/>
  <c r="AI41" i="3" s="1"/>
  <c r="M42" i="12"/>
  <c r="AO42" i="12"/>
  <c r="AO42" i="3" s="1"/>
  <c r="AA43" i="12"/>
  <c r="M44" i="12"/>
  <c r="M44" i="3" s="1"/>
  <c r="AO44" i="12"/>
  <c r="AO44" i="3" s="1"/>
  <c r="S45" i="12"/>
  <c r="S45" i="3" s="1"/>
  <c r="AA45" i="12"/>
  <c r="AA45" i="3" s="1"/>
  <c r="AG46" i="12"/>
  <c r="AG46" i="3" s="1"/>
  <c r="AO46" i="12"/>
  <c r="AO46" i="3" s="1"/>
  <c r="S47" i="12"/>
  <c r="S47" i="3" s="1"/>
  <c r="AG48" i="12"/>
  <c r="AG48" i="3" s="1"/>
  <c r="S49" i="12"/>
  <c r="S49" i="3" s="1"/>
  <c r="Y50" i="12"/>
  <c r="AG50" i="12"/>
  <c r="AG50" i="3" s="1"/>
  <c r="AG34" i="12"/>
  <c r="AO34" i="12"/>
  <c r="AO34" i="3" s="1"/>
  <c r="AE35" i="12"/>
  <c r="AM35" i="12"/>
  <c r="AM35" i="3" s="1"/>
  <c r="Z36" i="12"/>
  <c r="Z36" i="3" s="1"/>
  <c r="AK36" i="12"/>
  <c r="AK36" i="3" s="1"/>
  <c r="AO38" i="12"/>
  <c r="AO38" i="3" s="1"/>
  <c r="S39" i="12"/>
  <c r="S39" i="3" s="1"/>
  <c r="AM39" i="12"/>
  <c r="Q40" i="12"/>
  <c r="AK40" i="12"/>
  <c r="AK40" i="3" s="1"/>
  <c r="O41" i="12"/>
  <c r="O41" i="3" s="1"/>
  <c r="AQ41" i="12"/>
  <c r="AQ41" i="3" s="1"/>
  <c r="Y44" i="12"/>
  <c r="Y44" i="3" s="1"/>
  <c r="W45" i="12"/>
  <c r="AQ45" i="12"/>
  <c r="AQ45" i="3" s="1"/>
  <c r="U46" i="12"/>
  <c r="AE49" i="12"/>
  <c r="AE49" i="3" s="1"/>
  <c r="AC50" i="12"/>
  <c r="AD50" i="12"/>
  <c r="AD50" i="3" s="1"/>
  <c r="Q50" i="12"/>
  <c r="Q50" i="3" s="1"/>
  <c r="AQ49" i="12"/>
  <c r="P49" i="12"/>
  <c r="AP48" i="12"/>
  <c r="AP48" i="3" s="1"/>
  <c r="AC48" i="12"/>
  <c r="Q48" i="12"/>
  <c r="Q48" i="3" s="1"/>
  <c r="O47" i="12"/>
  <c r="AP46" i="12"/>
  <c r="AP46" i="3" s="1"/>
  <c r="AM45" i="12"/>
  <c r="AM45" i="3" s="1"/>
  <c r="AB45" i="12"/>
  <c r="AB45" i="3" s="1"/>
  <c r="P45" i="12"/>
  <c r="P45" i="3" s="1"/>
  <c r="AC44" i="12"/>
  <c r="AC44" i="3" s="1"/>
  <c r="N44" i="12"/>
  <c r="N44" i="3" s="1"/>
  <c r="AM43" i="12"/>
  <c r="AM43" i="3" s="1"/>
  <c r="O43" i="12"/>
  <c r="AL42" i="12"/>
  <c r="AL42" i="3" s="1"/>
  <c r="Y42" i="12"/>
  <c r="Y42" i="3" s="1"/>
  <c r="N42" i="12"/>
  <c r="N42" i="3" s="1"/>
  <c r="AL40" i="12"/>
  <c r="AJ39" i="12"/>
  <c r="AJ39" i="3" s="1"/>
  <c r="X39" i="12"/>
  <c r="X39" i="3" s="1"/>
  <c r="L39" i="12"/>
  <c r="L39" i="3" s="1"/>
  <c r="AK38" i="12"/>
  <c r="Y38" i="12"/>
  <c r="Y38" i="3" s="1"/>
  <c r="W37" i="12"/>
  <c r="W37" i="3" s="1"/>
  <c r="AH36" i="12"/>
  <c r="AH36" i="3" s="1"/>
  <c r="W35" i="12"/>
  <c r="W35" i="3" s="1"/>
  <c r="AH34" i="12"/>
  <c r="AH34" i="3" s="1"/>
  <c r="AP68" i="12"/>
  <c r="AP68" i="3" s="1"/>
  <c r="AL68" i="12"/>
  <c r="AL68" i="3" s="1"/>
  <c r="V68" i="12"/>
  <c r="V68" i="3" s="1"/>
  <c r="N68" i="12"/>
  <c r="N68" i="3" s="1"/>
  <c r="F68" i="12"/>
  <c r="F68" i="3" s="1"/>
  <c r="AN67" i="12"/>
  <c r="AN67" i="3" s="1"/>
  <c r="AJ67" i="12"/>
  <c r="AJ67" i="3" s="1"/>
  <c r="AB67" i="12"/>
  <c r="AB67" i="3" s="1"/>
  <c r="X67" i="12"/>
  <c r="X67" i="3" s="1"/>
  <c r="H67" i="12"/>
  <c r="AX66" i="12"/>
  <c r="AP66" i="12"/>
  <c r="AP66" i="3" s="1"/>
  <c r="Z66" i="12"/>
  <c r="Z66" i="3" s="1"/>
  <c r="V66" i="12"/>
  <c r="N66" i="12"/>
  <c r="N66" i="3" s="1"/>
  <c r="J66" i="12"/>
  <c r="J66" i="3" s="1"/>
  <c r="AJ65" i="12"/>
  <c r="AB65" i="12"/>
  <c r="AB65" i="3" s="1"/>
  <c r="L65" i="12"/>
  <c r="L65" i="3" s="1"/>
  <c r="H65" i="12"/>
  <c r="H65" i="3" s="1"/>
  <c r="AD64" i="12"/>
  <c r="AD64" i="3" s="1"/>
  <c r="V64" i="12"/>
  <c r="N64" i="12"/>
  <c r="N64" i="3" s="1"/>
  <c r="AR63" i="12"/>
  <c r="AJ63" i="12"/>
  <c r="AJ63" i="3" s="1"/>
  <c r="AF63" i="12"/>
  <c r="AF63" i="3" s="1"/>
  <c r="P63" i="12"/>
  <c r="P63" i="3" s="1"/>
  <c r="H63" i="12"/>
  <c r="H63" i="3" s="1"/>
  <c r="AH62" i="12"/>
  <c r="AH62" i="3" s="1"/>
  <c r="AD62" i="12"/>
  <c r="V62" i="12"/>
  <c r="V62" i="3" s="1"/>
  <c r="R62" i="12"/>
  <c r="R62" i="3" s="1"/>
  <c r="AJ61" i="12"/>
  <c r="AJ61" i="3" s="1"/>
  <c r="T61" i="12"/>
  <c r="T61" i="3" s="1"/>
  <c r="P61" i="12"/>
  <c r="H61" i="12"/>
  <c r="H61" i="3" s="1"/>
  <c r="D61" i="12"/>
  <c r="D61" i="3" s="1"/>
  <c r="AL60" i="12"/>
  <c r="AL60" i="3" s="1"/>
  <c r="AD60" i="12"/>
  <c r="AD60" i="3" s="1"/>
  <c r="V60" i="12"/>
  <c r="V60" i="3" s="1"/>
  <c r="F60" i="12"/>
  <c r="F60" i="3" s="1"/>
  <c r="AZ59" i="12"/>
  <c r="AN59" i="12"/>
  <c r="AN59" i="3" s="1"/>
  <c r="X59" i="12"/>
  <c r="X59" i="3" s="1"/>
  <c r="P59" i="12"/>
  <c r="H59" i="12"/>
  <c r="H59" i="3" s="1"/>
  <c r="AP58" i="12"/>
  <c r="AP58" i="3" s="1"/>
  <c r="AL58" i="12"/>
  <c r="AL58" i="3" s="1"/>
  <c r="AD58" i="12"/>
  <c r="AD58" i="3" s="1"/>
  <c r="Z58" i="12"/>
  <c r="Z58" i="3" s="1"/>
  <c r="J58" i="12"/>
  <c r="AB57" i="12"/>
  <c r="X57" i="12"/>
  <c r="P57" i="12"/>
  <c r="P57" i="3" s="1"/>
  <c r="L57" i="12"/>
  <c r="L57" i="3" s="1"/>
  <c r="AL56" i="12"/>
  <c r="AL56" i="3" s="1"/>
  <c r="AD56" i="12"/>
  <c r="AD56" i="3" s="1"/>
  <c r="N56" i="12"/>
  <c r="N56" i="3" s="1"/>
  <c r="J56" i="12"/>
  <c r="AZ55" i="12"/>
  <c r="AF55" i="12"/>
  <c r="AF55" i="3" s="1"/>
  <c r="X55" i="12"/>
  <c r="P55" i="12"/>
  <c r="P55" i="3" s="1"/>
  <c r="AL54" i="12"/>
  <c r="AL54" i="3" s="1"/>
  <c r="AH54" i="12"/>
  <c r="AH54" i="3" s="1"/>
  <c r="R54" i="12"/>
  <c r="J54" i="12"/>
  <c r="J54" i="3" s="1"/>
  <c r="AJ53" i="12"/>
  <c r="AJ53" i="3" s="1"/>
  <c r="AF53" i="12"/>
  <c r="AF53" i="3" s="1"/>
  <c r="X53" i="12"/>
  <c r="T53" i="12"/>
  <c r="T53" i="3" s="1"/>
  <c r="D53" i="12"/>
  <c r="D53" i="3" s="1"/>
  <c r="AT52" i="12"/>
  <c r="AL52" i="12"/>
  <c r="AL52" i="3" s="1"/>
  <c r="V52" i="12"/>
  <c r="R52" i="12"/>
  <c r="R52" i="3" s="1"/>
  <c r="J52" i="12"/>
  <c r="J52" i="3" s="1"/>
  <c r="F52" i="12"/>
  <c r="F52" i="3" s="1"/>
  <c r="AN51" i="12"/>
  <c r="AN51" i="3" s="1"/>
  <c r="AF51" i="12"/>
  <c r="AF51" i="3" s="1"/>
  <c r="X51" i="12"/>
  <c r="X51" i="3" s="1"/>
  <c r="P51" i="12"/>
  <c r="H51" i="12"/>
  <c r="D51" i="12"/>
  <c r="AT50" i="12"/>
  <c r="AP50" i="12"/>
  <c r="AP50" i="3" s="1"/>
  <c r="AL50" i="12"/>
  <c r="AL50" i="3" s="1"/>
  <c r="Z50" i="12"/>
  <c r="Z50" i="3" s="1"/>
  <c r="R50" i="12"/>
  <c r="R50" i="3" s="1"/>
  <c r="AH48" i="12"/>
  <c r="F48" i="12"/>
  <c r="AJ47" i="12"/>
  <c r="AJ47" i="3" s="1"/>
  <c r="AB47" i="12"/>
  <c r="AB47" i="3" s="1"/>
  <c r="AL46" i="12"/>
  <c r="AL46" i="3" s="1"/>
  <c r="AD46" i="12"/>
  <c r="AD46" i="3" s="1"/>
  <c r="J46" i="12"/>
  <c r="AF45" i="12"/>
  <c r="AB43" i="12"/>
  <c r="AB43" i="3" s="1"/>
  <c r="AD42" i="12"/>
  <c r="AD42" i="3" s="1"/>
  <c r="V42" i="12"/>
  <c r="V42" i="3" s="1"/>
  <c r="AF41" i="12"/>
  <c r="AF41" i="3" s="1"/>
  <c r="X41" i="12"/>
  <c r="X41" i="3" s="1"/>
  <c r="Z40" i="12"/>
  <c r="Z40" i="3" s="1"/>
  <c r="V38" i="12"/>
  <c r="V38" i="3" s="1"/>
  <c r="X37" i="12"/>
  <c r="X37" i="3" s="1"/>
  <c r="C16" i="3"/>
  <c r="C6" i="3" s="1"/>
  <c r="F12" i="3"/>
  <c r="AO50" i="12"/>
  <c r="AO50" i="3" s="1"/>
  <c r="N50" i="12"/>
  <c r="AA49" i="12"/>
  <c r="O49" i="12"/>
  <c r="O49" i="3" s="1"/>
  <c r="AL48" i="12"/>
  <c r="M48" i="12"/>
  <c r="M48" i="3" s="1"/>
  <c r="AM47" i="12"/>
  <c r="AM47" i="3" s="1"/>
  <c r="X47" i="12"/>
  <c r="X47" i="3" s="1"/>
  <c r="AK46" i="12"/>
  <c r="Y46" i="12"/>
  <c r="N46" i="12"/>
  <c r="N46" i="3" s="1"/>
  <c r="X45" i="12"/>
  <c r="X45" i="3" s="1"/>
  <c r="AK44" i="12"/>
  <c r="AJ43" i="12"/>
  <c r="AJ43" i="3" s="1"/>
  <c r="W43" i="12"/>
  <c r="W43" i="3" s="1"/>
  <c r="AJ41" i="12"/>
  <c r="AJ41" i="3" s="1"/>
  <c r="AG40" i="12"/>
  <c r="V40" i="12"/>
  <c r="V40" i="3" s="1"/>
  <c r="W39" i="12"/>
  <c r="W39" i="3" s="1"/>
  <c r="AG38" i="12"/>
  <c r="AG38" i="3" s="1"/>
  <c r="AF37" i="12"/>
  <c r="AF37" i="3" s="1"/>
  <c r="AF35" i="12"/>
  <c r="AF35" i="3" s="1"/>
  <c r="AD34" i="12"/>
  <c r="AD34" i="3" s="1"/>
  <c r="AG32" i="12"/>
  <c r="AG32" i="3" s="1"/>
  <c r="AN49" i="12"/>
  <c r="AN49" i="3" s="1"/>
  <c r="AF49" i="12"/>
  <c r="AF49" i="3" s="1"/>
  <c r="AB49" i="12"/>
  <c r="AB49" i="3" s="1"/>
  <c r="L49" i="12"/>
  <c r="L49" i="3" s="1"/>
  <c r="D49" i="12"/>
  <c r="AD48" i="12"/>
  <c r="AD48" i="3" s="1"/>
  <c r="Z48" i="12"/>
  <c r="R48" i="12"/>
  <c r="R48" i="3" s="1"/>
  <c r="N48" i="12"/>
  <c r="N48" i="3" s="1"/>
  <c r="AN47" i="12"/>
  <c r="AF47" i="12"/>
  <c r="AF47" i="3" s="1"/>
  <c r="P47" i="12"/>
  <c r="P47" i="3" s="1"/>
  <c r="L47" i="12"/>
  <c r="AH46" i="12"/>
  <c r="AH46" i="3" s="1"/>
  <c r="Z46" i="12"/>
  <c r="R46" i="12"/>
  <c r="R46" i="3" s="1"/>
  <c r="AV45" i="12"/>
  <c r="AN45" i="12"/>
  <c r="AJ45" i="12"/>
  <c r="AJ45" i="3" s="1"/>
  <c r="T45" i="12"/>
  <c r="T45" i="3" s="1"/>
  <c r="L45" i="12"/>
  <c r="L45" i="3" s="1"/>
  <c r="AL44" i="12"/>
  <c r="AH44" i="12"/>
  <c r="AH44" i="3" s="1"/>
  <c r="Z44" i="12"/>
  <c r="Z44" i="3" s="1"/>
  <c r="V44" i="12"/>
  <c r="V44" i="3" s="1"/>
  <c r="AN43" i="12"/>
  <c r="AN43" i="3" s="1"/>
  <c r="X43" i="12"/>
  <c r="X43" i="3" s="1"/>
  <c r="T43" i="12"/>
  <c r="L43" i="12"/>
  <c r="L43" i="3" s="1"/>
  <c r="H43" i="12"/>
  <c r="AP42" i="12"/>
  <c r="AP42" i="3" s="1"/>
  <c r="AH42" i="12"/>
  <c r="Z42" i="12"/>
  <c r="Z42" i="3" s="1"/>
  <c r="J42" i="12"/>
  <c r="F42" i="12"/>
  <c r="AB41" i="12"/>
  <c r="AB41" i="3" s="1"/>
  <c r="T41" i="12"/>
  <c r="T41" i="3" s="1"/>
  <c r="L41" i="12"/>
  <c r="L41" i="3" s="1"/>
  <c r="AP40" i="12"/>
  <c r="AP40" i="3" s="1"/>
  <c r="AH40" i="12"/>
  <c r="AH40" i="3" s="1"/>
  <c r="AD40" i="12"/>
  <c r="N40" i="12"/>
  <c r="N40" i="3" s="1"/>
  <c r="F40" i="12"/>
  <c r="AF39" i="12"/>
  <c r="AB39" i="12"/>
  <c r="AB39" i="3" s="1"/>
  <c r="T39" i="12"/>
  <c r="T39" i="3" s="1"/>
  <c r="P39" i="12"/>
  <c r="P39" i="3" s="1"/>
  <c r="AP38" i="12"/>
  <c r="AP38" i="3" s="1"/>
  <c r="AH38" i="12"/>
  <c r="AH38" i="3" s="1"/>
  <c r="R38" i="12"/>
  <c r="R38" i="3" s="1"/>
  <c r="N38" i="12"/>
  <c r="F38" i="12"/>
  <c r="AJ37" i="12"/>
  <c r="AJ37" i="3" s="1"/>
  <c r="AB37" i="12"/>
  <c r="T37" i="12"/>
  <c r="AP36" i="12"/>
  <c r="AP36" i="3" s="1"/>
  <c r="AL36" i="12"/>
  <c r="AL36" i="3" s="1"/>
  <c r="N36" i="12"/>
  <c r="AN35" i="12"/>
  <c r="AN35" i="3" s="1"/>
  <c r="AJ35" i="12"/>
  <c r="AJ35" i="3" s="1"/>
  <c r="AB35" i="12"/>
  <c r="AB35" i="3" s="1"/>
  <c r="X35" i="12"/>
  <c r="H35" i="12"/>
  <c r="AX34" i="12"/>
  <c r="AP34" i="12"/>
  <c r="AP34" i="3" s="1"/>
  <c r="Z34" i="12"/>
  <c r="Z34" i="3" s="1"/>
  <c r="V34" i="12"/>
  <c r="N34" i="12"/>
  <c r="AR33" i="12"/>
  <c r="AN33" i="12"/>
  <c r="AN33" i="3" s="1"/>
  <c r="AJ33" i="12"/>
  <c r="AF33" i="12"/>
  <c r="AB33" i="12"/>
  <c r="AB33" i="3" s="1"/>
  <c r="X33" i="12"/>
  <c r="X33" i="3" s="1"/>
  <c r="T33" i="12"/>
  <c r="P33" i="12"/>
  <c r="L33" i="12"/>
  <c r="AP32" i="12"/>
  <c r="AP32" i="3" s="1"/>
  <c r="AL32" i="12"/>
  <c r="AH32" i="12"/>
  <c r="AH32" i="3" s="1"/>
  <c r="AD32" i="12"/>
  <c r="AD32" i="3" s="1"/>
  <c r="Z32" i="12"/>
  <c r="Z32" i="3" s="1"/>
  <c r="R32" i="12"/>
  <c r="N32" i="12"/>
  <c r="F32" i="12"/>
  <c r="AN31" i="12"/>
  <c r="AJ31" i="12"/>
  <c r="X31" i="12"/>
  <c r="T31" i="12"/>
  <c r="P31" i="12"/>
  <c r="D31" i="12"/>
  <c r="AP30" i="12"/>
  <c r="AH30" i="12"/>
  <c r="Z30" i="12"/>
  <c r="V30" i="12"/>
  <c r="J30" i="12"/>
  <c r="F30" i="12"/>
  <c r="AZ29" i="12"/>
  <c r="AN29" i="12"/>
  <c r="AJ29" i="12"/>
  <c r="AB29" i="12"/>
  <c r="T29" i="12"/>
  <c r="L29" i="12"/>
  <c r="H29" i="12"/>
  <c r="AP28" i="12"/>
  <c r="AL28" i="12"/>
  <c r="Z28" i="12"/>
  <c r="V28" i="12"/>
  <c r="N28" i="12"/>
  <c r="F28" i="12"/>
  <c r="AR27" i="12"/>
  <c r="AF27" i="12"/>
  <c r="AB27" i="12"/>
  <c r="X27" i="12"/>
  <c r="L27" i="12"/>
  <c r="H27" i="12"/>
  <c r="AX26" i="12"/>
  <c r="AP26" i="12"/>
  <c r="AH26" i="12"/>
  <c r="AD26" i="12"/>
  <c r="R26" i="12"/>
  <c r="N26" i="12"/>
  <c r="J26" i="12"/>
  <c r="AJ25" i="12"/>
  <c r="AB25" i="12"/>
  <c r="T25" i="12"/>
  <c r="L25" i="12"/>
  <c r="AP24" i="12"/>
  <c r="V24" i="12"/>
  <c r="R24" i="12"/>
  <c r="AZ23" i="12"/>
  <c r="AJ23" i="12"/>
  <c r="AF23" i="12"/>
  <c r="L23" i="12"/>
  <c r="D23" i="12"/>
  <c r="AT22" i="12"/>
  <c r="Z22" i="12"/>
  <c r="V22" i="12"/>
  <c r="N22" i="12"/>
  <c r="AF21" i="12"/>
  <c r="T21" i="12"/>
  <c r="H21" i="12"/>
  <c r="D21" i="12"/>
  <c r="AX20" i="12"/>
  <c r="AH20" i="12"/>
  <c r="Z20" i="12"/>
  <c r="R20" i="12"/>
  <c r="AN19" i="12"/>
  <c r="X19" i="12"/>
  <c r="T19" i="12"/>
  <c r="P19" i="12"/>
  <c r="D19" i="12"/>
  <c r="W32" i="12"/>
  <c r="W32" i="3" s="1"/>
  <c r="AW31" i="12"/>
  <c r="AK31" i="12"/>
  <c r="Q31" i="12"/>
  <c r="I31" i="12"/>
  <c r="AE30" i="12"/>
  <c r="W30" i="12"/>
  <c r="S30" i="12"/>
  <c r="AK29" i="12"/>
  <c r="U29" i="12"/>
  <c r="I29" i="12"/>
  <c r="AM28" i="12"/>
  <c r="W28" i="12"/>
  <c r="G28" i="12"/>
  <c r="AO27" i="12"/>
  <c r="Y27" i="12"/>
  <c r="Q27" i="12"/>
  <c r="AM26" i="12"/>
  <c r="AE26" i="12"/>
  <c r="K26" i="12"/>
  <c r="AC25" i="12"/>
  <c r="Y25" i="12"/>
  <c r="I25" i="12"/>
  <c r="AM24" i="12"/>
  <c r="K24" i="12"/>
  <c r="C24" i="12"/>
  <c r="AG23" i="12"/>
  <c r="Q23" i="12"/>
  <c r="AU22" i="12"/>
  <c r="AA22" i="12"/>
  <c r="S22" i="12"/>
  <c r="K22" i="12"/>
  <c r="AK21" i="12"/>
  <c r="AC21" i="12"/>
  <c r="U21" i="12"/>
  <c r="E21" i="12"/>
  <c r="AY20" i="12"/>
  <c r="AE20" i="12"/>
  <c r="W20" i="12"/>
  <c r="S20" i="12"/>
  <c r="C20" i="12"/>
  <c r="AO19" i="12"/>
  <c r="Y19" i="12"/>
  <c r="E19" i="12"/>
  <c r="K21" i="3" l="1"/>
  <c r="E40" i="3"/>
  <c r="AQ19" i="3"/>
  <c r="W31" i="3"/>
  <c r="AU19" i="12"/>
  <c r="AY19" i="12"/>
  <c r="AS20" i="12"/>
  <c r="AW20" i="12"/>
  <c r="AU21" i="12"/>
  <c r="AY21" i="12"/>
  <c r="AS22" i="12"/>
  <c r="AW22" i="12"/>
  <c r="AU23" i="12"/>
  <c r="AY23" i="12"/>
  <c r="AS24" i="12"/>
  <c r="AW24" i="12"/>
  <c r="AY27" i="12"/>
  <c r="AW28" i="12"/>
  <c r="AU29" i="12"/>
  <c r="AS30" i="12"/>
  <c r="AS26" i="12"/>
  <c r="AS28" i="12"/>
  <c r="AY29" i="12"/>
  <c r="AY31" i="12"/>
  <c r="AY33" i="12"/>
  <c r="AY35" i="12"/>
  <c r="AW36" i="12"/>
  <c r="AU37" i="12"/>
  <c r="AS38" i="12"/>
  <c r="AY43" i="12"/>
  <c r="AW44" i="12"/>
  <c r="AU45" i="12"/>
  <c r="AS46" i="12"/>
  <c r="AU51" i="12"/>
  <c r="AY51" i="12"/>
  <c r="AS52" i="12"/>
  <c r="AW52" i="12"/>
  <c r="AU53" i="12"/>
  <c r="AY53" i="12"/>
  <c r="AS54" i="12"/>
  <c r="AW54" i="12"/>
  <c r="AU55" i="12"/>
  <c r="AY55" i="12"/>
  <c r="AS56" i="12"/>
  <c r="AW56" i="12"/>
  <c r="AU57" i="12"/>
  <c r="AY57" i="12"/>
  <c r="AS58" i="12"/>
  <c r="AW58" i="12"/>
  <c r="AU59" i="12"/>
  <c r="AY59" i="12"/>
  <c r="AS60" i="12"/>
  <c r="AW60" i="12"/>
  <c r="AU61" i="12"/>
  <c r="AY61" i="12"/>
  <c r="AS62" i="12"/>
  <c r="AW62" i="12"/>
  <c r="AU63" i="12"/>
  <c r="AY63" i="12"/>
  <c r="AS64" i="12"/>
  <c r="AW64" i="12"/>
  <c r="AU65" i="12"/>
  <c r="AY65" i="12"/>
  <c r="AS66" i="12"/>
  <c r="AW66" i="12"/>
  <c r="AU67" i="12"/>
  <c r="AY67" i="12"/>
  <c r="AS68" i="12"/>
  <c r="AW68" i="12"/>
  <c r="AU25" i="12"/>
  <c r="AW38" i="12"/>
  <c r="AW40" i="12"/>
  <c r="AW42" i="12"/>
  <c r="AU47" i="12"/>
  <c r="AU49" i="12"/>
  <c r="AR21" i="12"/>
  <c r="AS23" i="12"/>
  <c r="AU26" i="12"/>
  <c r="AU27" i="12"/>
  <c r="AU28" i="12"/>
  <c r="AW29" i="12"/>
  <c r="AU31" i="12"/>
  <c r="AW32" i="12"/>
  <c r="AV35" i="12"/>
  <c r="AT36" i="12"/>
  <c r="AU39" i="12"/>
  <c r="AS40" i="12"/>
  <c r="AU43" i="12"/>
  <c r="AS44" i="12"/>
  <c r="AY45" i="12"/>
  <c r="AW46" i="12"/>
  <c r="AY49" i="12"/>
  <c r="AW50" i="12"/>
  <c r="AW25" i="12"/>
  <c r="AW26" i="12"/>
  <c r="AW27" i="12"/>
  <c r="AY28" i="12"/>
  <c r="AW30" i="12"/>
  <c r="AS34" i="12"/>
  <c r="AR35" i="12"/>
  <c r="AS36" i="12"/>
  <c r="AT38" i="12"/>
  <c r="AU41" i="12"/>
  <c r="AT42" i="12"/>
  <c r="AX44" i="12"/>
  <c r="AY47" i="12"/>
  <c r="AX48" i="12"/>
  <c r="AZ49" i="12"/>
  <c r="AR51" i="12"/>
  <c r="AR55" i="12"/>
  <c r="AX56" i="12"/>
  <c r="AV57" i="12"/>
  <c r="AT58" i="12"/>
  <c r="AX60" i="12"/>
  <c r="AV61" i="12"/>
  <c r="AT62" i="12"/>
  <c r="AZ63" i="12"/>
  <c r="AZ67" i="12"/>
  <c r="AZ21" i="12"/>
  <c r="AX22" i="12"/>
  <c r="AY25" i="12"/>
  <c r="AY26" i="12"/>
  <c r="AT34" i="12"/>
  <c r="AU35" i="12"/>
  <c r="AV37" i="12"/>
  <c r="AY39" i="12"/>
  <c r="AX40" i="12"/>
  <c r="AY41" i="12"/>
  <c r="AZ43" i="12"/>
  <c r="AZ47" i="12"/>
  <c r="AV51" i="12"/>
  <c r="AV65" i="12"/>
  <c r="AT66" i="12"/>
  <c r="AR67" i="12"/>
  <c r="AW34" i="12"/>
  <c r="AZ35" i="12"/>
  <c r="AY37" i="12"/>
  <c r="AZ39" i="12"/>
  <c r="AR53" i="12"/>
  <c r="AV59" i="12"/>
  <c r="AZ65" i="12"/>
  <c r="AY24" i="12"/>
  <c r="AU33" i="12"/>
  <c r="AZ51" i="12"/>
  <c r="AV53" i="12"/>
  <c r="AV67" i="12"/>
  <c r="AW19" i="12"/>
  <c r="AR45" i="12"/>
  <c r="AR47" i="12"/>
  <c r="AS48" i="12"/>
  <c r="AS50" i="12"/>
  <c r="AT60" i="12"/>
  <c r="AR19" i="8"/>
  <c r="AR19" i="3" s="1"/>
  <c r="AV19" i="8"/>
  <c r="AZ19" i="8"/>
  <c r="AT20" i="8"/>
  <c r="AX20" i="8"/>
  <c r="AX20" i="3" s="1"/>
  <c r="AR21" i="8"/>
  <c r="AV21" i="8"/>
  <c r="AZ21" i="8"/>
  <c r="AZ21" i="3" s="1"/>
  <c r="AT22" i="8"/>
  <c r="AT22" i="3" s="1"/>
  <c r="AX22" i="8"/>
  <c r="AR23" i="8"/>
  <c r="AR23" i="3" s="1"/>
  <c r="AV23" i="8"/>
  <c r="AZ23" i="8"/>
  <c r="AZ23" i="3" s="1"/>
  <c r="AT24" i="8"/>
  <c r="AX24" i="8"/>
  <c r="AR25" i="8"/>
  <c r="AR25" i="3" s="1"/>
  <c r="AV25" i="8"/>
  <c r="AZ25" i="8"/>
  <c r="AT26" i="8"/>
  <c r="AT26" i="3" s="1"/>
  <c r="AX26" i="8"/>
  <c r="AX26" i="3" s="1"/>
  <c r="AR27" i="8"/>
  <c r="AR27" i="3" s="1"/>
  <c r="AV27" i="8"/>
  <c r="AZ27" i="8"/>
  <c r="AT28" i="8"/>
  <c r="AT28" i="3" s="1"/>
  <c r="AX28" i="8"/>
  <c r="AX28" i="3" s="1"/>
  <c r="AR29" i="8"/>
  <c r="AV29" i="8"/>
  <c r="AZ29" i="8"/>
  <c r="AZ29" i="3" s="1"/>
  <c r="AT30" i="8"/>
  <c r="AX30" i="8"/>
  <c r="AR31" i="8"/>
  <c r="AV31" i="8"/>
  <c r="AV31" i="3" s="1"/>
  <c r="AZ31" i="8"/>
  <c r="AZ31" i="3" s="1"/>
  <c r="AT32" i="8"/>
  <c r="AX32" i="8"/>
  <c r="AR33" i="8"/>
  <c r="AR33" i="3" s="1"/>
  <c r="AV33" i="8"/>
  <c r="AV33" i="3" s="1"/>
  <c r="AZ33" i="8"/>
  <c r="AT34" i="8"/>
  <c r="AT34" i="3" s="1"/>
  <c r="AX34" i="8"/>
  <c r="AX34" i="3" s="1"/>
  <c r="AR35" i="8"/>
  <c r="AV35" i="8"/>
  <c r="AZ35" i="8"/>
  <c r="AT36" i="8"/>
  <c r="AT36" i="3" s="1"/>
  <c r="AX36" i="8"/>
  <c r="AR37" i="8"/>
  <c r="AV37" i="8"/>
  <c r="AZ37" i="8"/>
  <c r="AT38" i="8"/>
  <c r="AT38" i="3" s="1"/>
  <c r="AX38" i="8"/>
  <c r="AR39" i="8"/>
  <c r="AV39" i="8"/>
  <c r="AV39" i="3" s="1"/>
  <c r="AZ39" i="8"/>
  <c r="AZ39" i="3" s="1"/>
  <c r="AT40" i="8"/>
  <c r="AX40" i="8"/>
  <c r="AX40" i="3" s="1"/>
  <c r="AR41" i="8"/>
  <c r="AR41" i="3" s="1"/>
  <c r="AV41" i="8"/>
  <c r="AZ41" i="8"/>
  <c r="AT42" i="8"/>
  <c r="AX42" i="8"/>
  <c r="AX42" i="3" s="1"/>
  <c r="AR43" i="8"/>
  <c r="AV43" i="8"/>
  <c r="AZ43" i="8"/>
  <c r="AT44" i="8"/>
  <c r="AT44" i="3" s="1"/>
  <c r="AX44" i="8"/>
  <c r="AX44" i="3" s="1"/>
  <c r="AR45" i="8"/>
  <c r="AV45" i="8"/>
  <c r="AV45" i="3" s="1"/>
  <c r="AZ45" i="8"/>
  <c r="AZ45" i="3" s="1"/>
  <c r="AT46" i="8"/>
  <c r="AT46" i="3" s="1"/>
  <c r="AX46" i="8"/>
  <c r="AR47" i="8"/>
  <c r="AV47" i="8"/>
  <c r="AV47" i="3" s="1"/>
  <c r="AZ47" i="8"/>
  <c r="AZ47" i="3" s="1"/>
  <c r="AT48" i="8"/>
  <c r="AX48" i="8"/>
  <c r="AX48" i="3" s="1"/>
  <c r="AR49" i="8"/>
  <c r="AV49" i="8"/>
  <c r="AZ49" i="8"/>
  <c r="AT50" i="8"/>
  <c r="AT50" i="3" s="1"/>
  <c r="AX50" i="8"/>
  <c r="AX50" i="3" s="1"/>
  <c r="AR51" i="8"/>
  <c r="AR51" i="3" s="1"/>
  <c r="AV51" i="8"/>
  <c r="AZ51" i="8"/>
  <c r="AT52" i="8"/>
  <c r="AT52" i="3" s="1"/>
  <c r="AX52" i="8"/>
  <c r="AR53" i="8"/>
  <c r="AV53" i="8"/>
  <c r="AZ53" i="8"/>
  <c r="AZ53" i="3" s="1"/>
  <c r="AT54" i="8"/>
  <c r="AX54" i="8"/>
  <c r="AR55" i="8"/>
  <c r="AR55" i="3" s="1"/>
  <c r="AV55" i="8"/>
  <c r="AZ55" i="8"/>
  <c r="AZ55" i="3" s="1"/>
  <c r="AT56" i="8"/>
  <c r="AX56" i="8"/>
  <c r="AX56" i="3" s="1"/>
  <c r="AR57" i="8"/>
  <c r="AR57" i="3" s="1"/>
  <c r="AV57" i="8"/>
  <c r="AZ57" i="8"/>
  <c r="AT58" i="8"/>
  <c r="AX58" i="8"/>
  <c r="AX58" i="3" s="1"/>
  <c r="AR59" i="8"/>
  <c r="AV59" i="8"/>
  <c r="AZ59" i="8"/>
  <c r="AZ59" i="3" s="1"/>
  <c r="AT60" i="8"/>
  <c r="AT60" i="3" s="1"/>
  <c r="AX60" i="8"/>
  <c r="AX60" i="3" s="1"/>
  <c r="AR61" i="8"/>
  <c r="AV61" i="8"/>
  <c r="AV61" i="3" s="1"/>
  <c r="AZ61" i="8"/>
  <c r="AT62" i="8"/>
  <c r="AX62" i="8"/>
  <c r="AR63" i="8"/>
  <c r="AR63" i="3" s="1"/>
  <c r="AV63" i="8"/>
  <c r="AV63" i="3" s="1"/>
  <c r="AZ63" i="8"/>
  <c r="AZ63" i="3" s="1"/>
  <c r="AT64" i="8"/>
  <c r="AX64" i="8"/>
  <c r="AR65" i="8"/>
  <c r="AR65" i="3" s="1"/>
  <c r="AV65" i="8"/>
  <c r="AZ65" i="8"/>
  <c r="AT66" i="8"/>
  <c r="AX66" i="8"/>
  <c r="AX66" i="3" s="1"/>
  <c r="AR67" i="8"/>
  <c r="AR67" i="3" s="1"/>
  <c r="AV67" i="8"/>
  <c r="AV67" i="3" s="1"/>
  <c r="AZ67" i="8"/>
  <c r="AZ67" i="3" s="1"/>
  <c r="AT68" i="8"/>
  <c r="AT68" i="3" s="1"/>
  <c r="AX68" i="8"/>
  <c r="AX68" i="3" s="1"/>
  <c r="AU52" i="12"/>
  <c r="AW55" i="12"/>
  <c r="AX19" i="8"/>
  <c r="AR20" i="8"/>
  <c r="AR20" i="3" s="1"/>
  <c r="AZ20" i="8"/>
  <c r="AX21" i="8"/>
  <c r="AX21" i="3" s="1"/>
  <c r="AV22" i="8"/>
  <c r="AV22" i="3" s="1"/>
  <c r="AT23" i="8"/>
  <c r="AV24" i="8"/>
  <c r="AT25" i="8"/>
  <c r="AT25" i="3" s="1"/>
  <c r="AV26" i="8"/>
  <c r="AT27" i="8"/>
  <c r="AT27" i="3" s="1"/>
  <c r="AV28" i="8"/>
  <c r="AT29" i="8"/>
  <c r="AT29" i="3" s="1"/>
  <c r="AR30" i="8"/>
  <c r="AR30" i="3" s="1"/>
  <c r="AZ30" i="8"/>
  <c r="AU30" i="12"/>
  <c r="AR39" i="12"/>
  <c r="AS42" i="12"/>
  <c r="AR43" i="12"/>
  <c r="AT44" i="12"/>
  <c r="AT46" i="12"/>
  <c r="AW48" i="12"/>
  <c r="AV49" i="12"/>
  <c r="AX50" i="12"/>
  <c r="AS19" i="8"/>
  <c r="AS19" i="3" s="1"/>
  <c r="AW19" i="8"/>
  <c r="AW19" i="3" s="1"/>
  <c r="AU20" i="8"/>
  <c r="AU20" i="3" s="1"/>
  <c r="AY20" i="8"/>
  <c r="AY20" i="3" s="1"/>
  <c r="AS21" i="8"/>
  <c r="AW21" i="8"/>
  <c r="AW21" i="3" s="1"/>
  <c r="AU22" i="8"/>
  <c r="AU22" i="3" s="1"/>
  <c r="AY22" i="8"/>
  <c r="AS23" i="8"/>
  <c r="AW23" i="8"/>
  <c r="AW23" i="3" s="1"/>
  <c r="AU24" i="8"/>
  <c r="AU24" i="3" s="1"/>
  <c r="AY24" i="8"/>
  <c r="AY24" i="3" s="1"/>
  <c r="AS25" i="8"/>
  <c r="AW25" i="8"/>
  <c r="AW25" i="3" s="1"/>
  <c r="AU26" i="8"/>
  <c r="AU26" i="3" s="1"/>
  <c r="AY26" i="8"/>
  <c r="AY26" i="3" s="1"/>
  <c r="AS27" i="8"/>
  <c r="AS27" i="3" s="1"/>
  <c r="AW27" i="8"/>
  <c r="AW27" i="3" s="1"/>
  <c r="AU28" i="8"/>
  <c r="AY28" i="8"/>
  <c r="AS29" i="8"/>
  <c r="AW29" i="8"/>
  <c r="AW29" i="3" s="1"/>
  <c r="AU30" i="8"/>
  <c r="AU30" i="3" s="1"/>
  <c r="AY30" i="8"/>
  <c r="AS31" i="8"/>
  <c r="AW31" i="8"/>
  <c r="AW31" i="3" s="1"/>
  <c r="AU32" i="8"/>
  <c r="AY32" i="8"/>
  <c r="AS33" i="8"/>
  <c r="AW33" i="8"/>
  <c r="AW33" i="3" s="1"/>
  <c r="AU34" i="8"/>
  <c r="AU34" i="3" s="1"/>
  <c r="AY34" i="8"/>
  <c r="AS35" i="8"/>
  <c r="AS35" i="3" s="1"/>
  <c r="AW35" i="8"/>
  <c r="AW35" i="3" s="1"/>
  <c r="AU36" i="8"/>
  <c r="AU36" i="3" s="1"/>
  <c r="AY36" i="8"/>
  <c r="AS37" i="8"/>
  <c r="AW37" i="8"/>
  <c r="AU38" i="8"/>
  <c r="AU38" i="3" s="1"/>
  <c r="AY38" i="8"/>
  <c r="AS39" i="8"/>
  <c r="AS39" i="3" s="1"/>
  <c r="AW39" i="8"/>
  <c r="AU40" i="8"/>
  <c r="AY40" i="8"/>
  <c r="AS41" i="8"/>
  <c r="AW41" i="8"/>
  <c r="AW41" i="3" s="1"/>
  <c r="AU42" i="8"/>
  <c r="AY42" i="8"/>
  <c r="AS43" i="8"/>
  <c r="AW43" i="8"/>
  <c r="AU44" i="8"/>
  <c r="AU44" i="3" s="1"/>
  <c r="AY44" i="8"/>
  <c r="AS45" i="8"/>
  <c r="AS45" i="3" s="1"/>
  <c r="AW45" i="8"/>
  <c r="AW45" i="3" s="1"/>
  <c r="AU46" i="8"/>
  <c r="AU46" i="3" s="1"/>
  <c r="AY46" i="8"/>
  <c r="AS47" i="8"/>
  <c r="AS47" i="3" s="1"/>
  <c r="AW47" i="8"/>
  <c r="AW47" i="3" s="1"/>
  <c r="AU48" i="8"/>
  <c r="AU48" i="3" s="1"/>
  <c r="AY48" i="8"/>
  <c r="AS49" i="8"/>
  <c r="AW49" i="8"/>
  <c r="AW49" i="3" s="1"/>
  <c r="AU50" i="8"/>
  <c r="AY50" i="8"/>
  <c r="AS51" i="8"/>
  <c r="AW51" i="8"/>
  <c r="AW51" i="3" s="1"/>
  <c r="AU52" i="8"/>
  <c r="AU52" i="3" s="1"/>
  <c r="AY52" i="8"/>
  <c r="AS53" i="8"/>
  <c r="AS53" i="3" s="1"/>
  <c r="AW53" i="8"/>
  <c r="AU54" i="8"/>
  <c r="AY54" i="8"/>
  <c r="AS55" i="8"/>
  <c r="AS55" i="3" s="1"/>
  <c r="AW55" i="8"/>
  <c r="AW55" i="3" s="1"/>
  <c r="AU56" i="8"/>
  <c r="AY56" i="8"/>
  <c r="AS57" i="8"/>
  <c r="AW57" i="8"/>
  <c r="AW57" i="3" s="1"/>
  <c r="AU58" i="8"/>
  <c r="AY58" i="8"/>
  <c r="AS59" i="8"/>
  <c r="AW59" i="8"/>
  <c r="AW59" i="3" s="1"/>
  <c r="AU60" i="8"/>
  <c r="AY60" i="8"/>
  <c r="AS61" i="8"/>
  <c r="AW61" i="8"/>
  <c r="AU62" i="8"/>
  <c r="AY62" i="8"/>
  <c r="AS63" i="8"/>
  <c r="AS63" i="3" s="1"/>
  <c r="AW63" i="8"/>
  <c r="AW63" i="3" s="1"/>
  <c r="AU64" i="8"/>
  <c r="AY64" i="8"/>
  <c r="AS65" i="8"/>
  <c r="AW65" i="8"/>
  <c r="AW65" i="3" s="1"/>
  <c r="AU66" i="8"/>
  <c r="AY66" i="8"/>
  <c r="AS67" i="8"/>
  <c r="AW67" i="8"/>
  <c r="AW67" i="3" s="1"/>
  <c r="AU68" i="8"/>
  <c r="AU68" i="3" s="1"/>
  <c r="AY68" i="8"/>
  <c r="AX58" i="12"/>
  <c r="AT19" i="8"/>
  <c r="AT19" i="3" s="1"/>
  <c r="AV20" i="8"/>
  <c r="AT21" i="8"/>
  <c r="AR22" i="8"/>
  <c r="AZ22" i="8"/>
  <c r="AZ22" i="3" s="1"/>
  <c r="AX23" i="8"/>
  <c r="AR24" i="8"/>
  <c r="AZ24" i="8"/>
  <c r="AX25" i="8"/>
  <c r="AX25" i="3" s="1"/>
  <c r="AR26" i="8"/>
  <c r="AR26" i="3" s="1"/>
  <c r="AZ26" i="8"/>
  <c r="AX27" i="8"/>
  <c r="AR28" i="8"/>
  <c r="AR28" i="3" s="1"/>
  <c r="AZ28" i="8"/>
  <c r="AZ28" i="3" s="1"/>
  <c r="AX29" i="8"/>
  <c r="AV30" i="8"/>
  <c r="AT31" i="8"/>
  <c r="AT31" i="3" s="1"/>
  <c r="AV34" i="8"/>
  <c r="AV34" i="3" s="1"/>
  <c r="AX35" i="8"/>
  <c r="AR52" i="8"/>
  <c r="AZ52" i="8"/>
  <c r="AX53" i="8"/>
  <c r="AV56" i="8"/>
  <c r="AT57" i="8"/>
  <c r="AR60" i="8"/>
  <c r="AZ60" i="8"/>
  <c r="AX61" i="8"/>
  <c r="AV64" i="8"/>
  <c r="AT65" i="8"/>
  <c r="AT65" i="3" s="1"/>
  <c r="AR68" i="8"/>
  <c r="AZ68" i="8"/>
  <c r="AY19" i="8"/>
  <c r="AY19" i="3" s="1"/>
  <c r="AW20" i="8"/>
  <c r="AW20" i="3" s="1"/>
  <c r="AU21" i="8"/>
  <c r="AU21" i="3" s="1"/>
  <c r="AS22" i="8"/>
  <c r="AY27" i="8"/>
  <c r="AW28" i="8"/>
  <c r="AW28" i="3" s="1"/>
  <c r="AU29" i="8"/>
  <c r="AU29" i="3" s="1"/>
  <c r="AS30" i="8"/>
  <c r="AX31" i="8"/>
  <c r="AW32" i="8"/>
  <c r="AW32" i="3" s="1"/>
  <c r="AY33" i="8"/>
  <c r="AY33" i="3" s="1"/>
  <c r="AR34" i="8"/>
  <c r="AZ34" i="8"/>
  <c r="AT35" i="8"/>
  <c r="AS36" i="8"/>
  <c r="AS36" i="3" s="1"/>
  <c r="AU37" i="8"/>
  <c r="AS38" i="8"/>
  <c r="AY39" i="8"/>
  <c r="AY39" i="3" s="1"/>
  <c r="AW40" i="8"/>
  <c r="AU41" i="8"/>
  <c r="AS42" i="8"/>
  <c r="AY43" i="8"/>
  <c r="AY43" i="3" s="1"/>
  <c r="AW44" i="8"/>
  <c r="AW44" i="3" s="1"/>
  <c r="AU45" i="8"/>
  <c r="AS46" i="8"/>
  <c r="AY47" i="8"/>
  <c r="AY47" i="3" s="1"/>
  <c r="AW48" i="8"/>
  <c r="AU49" i="8"/>
  <c r="AS50" i="8"/>
  <c r="AS50" i="3" s="1"/>
  <c r="AY51" i="8"/>
  <c r="AY51" i="3" s="1"/>
  <c r="AV52" i="8"/>
  <c r="AV52" i="3" s="1"/>
  <c r="AT53" i="8"/>
  <c r="AW54" i="8"/>
  <c r="AU55" i="8"/>
  <c r="AU55" i="3" s="1"/>
  <c r="AR56" i="8"/>
  <c r="AR56" i="3" s="1"/>
  <c r="AZ56" i="8"/>
  <c r="AX57" i="8"/>
  <c r="AS58" i="8"/>
  <c r="AS58" i="3" s="1"/>
  <c r="AY59" i="8"/>
  <c r="AY59" i="3" s="1"/>
  <c r="AV60" i="8"/>
  <c r="AT61" i="8"/>
  <c r="AW62" i="8"/>
  <c r="AW62" i="3" s="1"/>
  <c r="AU63" i="8"/>
  <c r="AU63" i="3" s="1"/>
  <c r="AR64" i="8"/>
  <c r="AZ64" i="8"/>
  <c r="AX65" i="8"/>
  <c r="AX65" i="3" s="1"/>
  <c r="AS66" i="8"/>
  <c r="AY67" i="8"/>
  <c r="AV68" i="8"/>
  <c r="AV68" i="3" s="1"/>
  <c r="AX52" i="12"/>
  <c r="AT68" i="12"/>
  <c r="AY21" i="8"/>
  <c r="AY21" i="3" s="1"/>
  <c r="AW22" i="8"/>
  <c r="AU23" i="8"/>
  <c r="AU23" i="3" s="1"/>
  <c r="AS24" i="8"/>
  <c r="AS24" i="3" s="1"/>
  <c r="AY29" i="8"/>
  <c r="AW30" i="8"/>
  <c r="AW30" i="3" s="1"/>
  <c r="AY31" i="8"/>
  <c r="AY31" i="3" s="1"/>
  <c r="AR32" i="8"/>
  <c r="AR32" i="3" s="1"/>
  <c r="AZ32" i="8"/>
  <c r="AT33" i="8"/>
  <c r="AS34" i="8"/>
  <c r="AS34" i="3" s="1"/>
  <c r="AU35" i="8"/>
  <c r="AV36" i="8"/>
  <c r="AX37" i="8"/>
  <c r="AX37" i="3" s="1"/>
  <c r="AV38" i="8"/>
  <c r="AV38" i="3" s="1"/>
  <c r="AT39" i="8"/>
  <c r="AR40" i="8"/>
  <c r="AZ40" i="8"/>
  <c r="AZ40" i="3" s="1"/>
  <c r="AX41" i="8"/>
  <c r="AX41" i="3" s="1"/>
  <c r="AV42" i="8"/>
  <c r="AV42" i="3" s="1"/>
  <c r="AT43" i="8"/>
  <c r="AR44" i="8"/>
  <c r="AZ44" i="8"/>
  <c r="AZ44" i="3" s="1"/>
  <c r="AX45" i="8"/>
  <c r="AV46" i="8"/>
  <c r="AT47" i="8"/>
  <c r="AR48" i="8"/>
  <c r="AR48" i="3" s="1"/>
  <c r="AZ48" i="8"/>
  <c r="AX49" i="8"/>
  <c r="AV50" i="8"/>
  <c r="AT51" i="8"/>
  <c r="AT51" i="3" s="1"/>
  <c r="AW52" i="8"/>
  <c r="AW52" i="3" s="1"/>
  <c r="AU53" i="8"/>
  <c r="AU53" i="3" s="1"/>
  <c r="AR54" i="8"/>
  <c r="AZ54" i="8"/>
  <c r="AZ54" i="3" s="1"/>
  <c r="AX55" i="8"/>
  <c r="AS56" i="8"/>
  <c r="AY57" i="8"/>
  <c r="AY57" i="3" s="1"/>
  <c r="AV58" i="8"/>
  <c r="AT59" i="8"/>
  <c r="AW60" i="8"/>
  <c r="AU61" i="8"/>
  <c r="AU61" i="3" s="1"/>
  <c r="AR62" i="8"/>
  <c r="AR62" i="3" s="1"/>
  <c r="AZ62" i="8"/>
  <c r="AZ62" i="3" s="1"/>
  <c r="AX63" i="8"/>
  <c r="AS64" i="8"/>
  <c r="AY65" i="8"/>
  <c r="AY65" i="3" s="1"/>
  <c r="AV66" i="8"/>
  <c r="AV66" i="3" s="1"/>
  <c r="AT67" i="8"/>
  <c r="AW68" i="8"/>
  <c r="AS32" i="12"/>
  <c r="AS65" i="12"/>
  <c r="AV32" i="8"/>
  <c r="AX33" i="8"/>
  <c r="AX33" i="3" s="1"/>
  <c r="AR36" i="8"/>
  <c r="AZ36" i="8"/>
  <c r="AT37" i="8"/>
  <c r="AR38" i="8"/>
  <c r="AZ38" i="8"/>
  <c r="AZ38" i="3" s="1"/>
  <c r="AX39" i="8"/>
  <c r="AX39" i="3" s="1"/>
  <c r="AV40" i="8"/>
  <c r="AT41" i="8"/>
  <c r="AT41" i="3" s="1"/>
  <c r="AR42" i="8"/>
  <c r="AZ42" i="8"/>
  <c r="AX43" i="8"/>
  <c r="AV44" i="8"/>
  <c r="AV44" i="3" s="1"/>
  <c r="AT45" i="8"/>
  <c r="AR46" i="8"/>
  <c r="AZ46" i="8"/>
  <c r="AX47" i="8"/>
  <c r="AV48" i="8"/>
  <c r="AV48" i="3" s="1"/>
  <c r="AT49" i="8"/>
  <c r="AR50" i="8"/>
  <c r="AZ50" i="8"/>
  <c r="AZ50" i="3" s="1"/>
  <c r="AX51" i="8"/>
  <c r="AX51" i="3" s="1"/>
  <c r="AV54" i="8"/>
  <c r="AV54" i="3" s="1"/>
  <c r="AT55" i="8"/>
  <c r="AR58" i="8"/>
  <c r="AZ58" i="8"/>
  <c r="AZ58" i="3" s="1"/>
  <c r="AX59" i="8"/>
  <c r="AV62" i="8"/>
  <c r="AT63" i="8"/>
  <c r="AR66" i="8"/>
  <c r="AZ66" i="8"/>
  <c r="AZ66" i="3" s="1"/>
  <c r="AX67" i="8"/>
  <c r="AU67" i="8"/>
  <c r="AU67" i="3" s="1"/>
  <c r="AY63" i="8"/>
  <c r="AY63" i="3" s="1"/>
  <c r="AU59" i="8"/>
  <c r="AU59" i="3" s="1"/>
  <c r="AY55" i="8"/>
  <c r="AU51" i="8"/>
  <c r="AU51" i="3" s="1"/>
  <c r="AS48" i="8"/>
  <c r="AS48" i="3" s="1"/>
  <c r="AW46" i="8"/>
  <c r="AW46" i="3" s="1"/>
  <c r="AU43" i="8"/>
  <c r="AY41" i="8"/>
  <c r="AW38" i="8"/>
  <c r="AW38" i="3" s="1"/>
  <c r="AY35" i="8"/>
  <c r="AY35" i="3" s="1"/>
  <c r="AU27" i="8"/>
  <c r="AY25" i="8"/>
  <c r="AS20" i="8"/>
  <c r="AS20" i="3" s="1"/>
  <c r="AV20" i="12"/>
  <c r="AS45" i="12"/>
  <c r="AX67" i="12"/>
  <c r="AR66" i="12"/>
  <c r="AV64" i="12"/>
  <c r="AZ62" i="12"/>
  <c r="AT61" i="12"/>
  <c r="AX59" i="12"/>
  <c r="AR58" i="12"/>
  <c r="AV56" i="12"/>
  <c r="AV54" i="12"/>
  <c r="AZ52" i="12"/>
  <c r="AT51" i="12"/>
  <c r="AR48" i="12"/>
  <c r="AT47" i="12"/>
  <c r="AV46" i="12"/>
  <c r="AX45" i="12"/>
  <c r="AZ44" i="12"/>
  <c r="AR40" i="12"/>
  <c r="AT39" i="12"/>
  <c r="AV38" i="12"/>
  <c r="AX37" i="12"/>
  <c r="AV36" i="12"/>
  <c r="AT35" i="12"/>
  <c r="AR34" i="12"/>
  <c r="AR26" i="12"/>
  <c r="AR24" i="12"/>
  <c r="AT23" i="12"/>
  <c r="AV22" i="12"/>
  <c r="AX21" i="12"/>
  <c r="AZ20" i="12"/>
  <c r="AX19" i="12"/>
  <c r="AY68" i="12"/>
  <c r="AY64" i="12"/>
  <c r="AW59" i="12"/>
  <c r="AU54" i="12"/>
  <c r="AY50" i="12"/>
  <c r="AS39" i="12"/>
  <c r="AU38" i="12"/>
  <c r="AW37" i="12"/>
  <c r="AW35" i="12"/>
  <c r="AU34" i="12"/>
  <c r="AW66" i="8"/>
  <c r="AY61" i="8"/>
  <c r="AY61" i="3" s="1"/>
  <c r="AW56" i="8"/>
  <c r="AW56" i="3" s="1"/>
  <c r="AW50" i="8"/>
  <c r="AS44" i="8"/>
  <c r="AW36" i="8"/>
  <c r="AW36" i="3" s="1"/>
  <c r="AU33" i="8"/>
  <c r="AU33" i="3" s="1"/>
  <c r="AW26" i="8"/>
  <c r="AS41" i="12"/>
  <c r="AR68" i="12"/>
  <c r="AX65" i="12"/>
  <c r="AX63" i="12"/>
  <c r="AX61" i="12"/>
  <c r="AT59" i="12"/>
  <c r="AT57" i="12"/>
  <c r="AZ54" i="12"/>
  <c r="AV52" i="12"/>
  <c r="AV50" i="12"/>
  <c r="AT49" i="12"/>
  <c r="AV44" i="12"/>
  <c r="AT43" i="12"/>
  <c r="AR42" i="12"/>
  <c r="AZ38" i="12"/>
  <c r="AT37" i="12"/>
  <c r="AZ34" i="12"/>
  <c r="AV32" i="12"/>
  <c r="AR30" i="12"/>
  <c r="AT29" i="12"/>
  <c r="AZ28" i="12"/>
  <c r="AV26" i="12"/>
  <c r="AX25" i="12"/>
  <c r="AZ22" i="12"/>
  <c r="AT19" i="12"/>
  <c r="AU66" i="12"/>
  <c r="AU58" i="12"/>
  <c r="AY52" i="12"/>
  <c r="AU46" i="12"/>
  <c r="AY42" i="12"/>
  <c r="AW41" i="12"/>
  <c r="AW33" i="12"/>
  <c r="AS21" i="12"/>
  <c r="AU64" i="12"/>
  <c r="AS59" i="12"/>
  <c r="AS55" i="12"/>
  <c r="AX64" i="12"/>
  <c r="AZ61" i="12"/>
  <c r="AR59" i="12"/>
  <c r="AT56" i="12"/>
  <c r="AZ53" i="12"/>
  <c r="AR49" i="12"/>
  <c r="AV41" i="12"/>
  <c r="AX38" i="12"/>
  <c r="AR31" i="12"/>
  <c r="AT30" i="12"/>
  <c r="AV29" i="12"/>
  <c r="AX28" i="12"/>
  <c r="AZ27" i="12"/>
  <c r="AT20" i="12"/>
  <c r="AV19" i="12"/>
  <c r="AS27" i="12"/>
  <c r="AW23" i="12"/>
  <c r="AU65" i="8"/>
  <c r="AU65" i="3" s="1"/>
  <c r="AS60" i="8"/>
  <c r="AS54" i="8"/>
  <c r="AY45" i="8"/>
  <c r="AY45" i="3" s="1"/>
  <c r="AW34" i="8"/>
  <c r="AW34" i="3" s="1"/>
  <c r="AU31" i="8"/>
  <c r="AU31" i="3" s="1"/>
  <c r="AS26" i="8"/>
  <c r="AU25" i="8"/>
  <c r="AU25" i="3" s="1"/>
  <c r="AU19" i="8"/>
  <c r="AU19" i="3" s="1"/>
  <c r="AU60" i="12"/>
  <c r="AT67" i="12"/>
  <c r="AT65" i="12"/>
  <c r="AT63" i="12"/>
  <c r="AZ60" i="12"/>
  <c r="AZ58" i="12"/>
  <c r="AZ56" i="12"/>
  <c r="AR54" i="12"/>
  <c r="AR52" i="12"/>
  <c r="AR50" i="12"/>
  <c r="AZ46" i="12"/>
  <c r="AT45" i="12"/>
  <c r="AR44" i="12"/>
  <c r="AZ40" i="12"/>
  <c r="AX39" i="12"/>
  <c r="AR38" i="12"/>
  <c r="AZ36" i="12"/>
  <c r="AV34" i="12"/>
  <c r="AR32" i="12"/>
  <c r="AX31" i="12"/>
  <c r="AV28" i="12"/>
  <c r="AT25" i="12"/>
  <c r="AZ24" i="12"/>
  <c r="AR22" i="12"/>
  <c r="AY66" i="12"/>
  <c r="AS63" i="12"/>
  <c r="AW57" i="12"/>
  <c r="AS51" i="12"/>
  <c r="AY48" i="12"/>
  <c r="AS47" i="12"/>
  <c r="AY44" i="12"/>
  <c r="AW43" i="12"/>
  <c r="AU42" i="12"/>
  <c r="AY38" i="12"/>
  <c r="AS37" i="12"/>
  <c r="AY36" i="12"/>
  <c r="AS33" i="12"/>
  <c r="AY32" i="12"/>
  <c r="BP19" i="2"/>
  <c r="AW53" i="12"/>
  <c r="AY58" i="12"/>
  <c r="AW65" i="12"/>
  <c r="AY34" i="12"/>
  <c r="AU40" i="12"/>
  <c r="AW45" i="12"/>
  <c r="AS53" i="12"/>
  <c r="AS67" i="12"/>
  <c r="AV24" i="12"/>
  <c r="AZ30" i="12"/>
  <c r="AT31" i="12"/>
  <c r="AX41" i="12"/>
  <c r="AR46" i="12"/>
  <c r="AZ48" i="12"/>
  <c r="AX51" i="12"/>
  <c r="AR56" i="12"/>
  <c r="AV60" i="12"/>
  <c r="AZ64" i="12"/>
  <c r="AZ68" i="12"/>
  <c r="AA19" i="3"/>
  <c r="C23" i="3"/>
  <c r="AS32" i="8"/>
  <c r="AU39" i="8"/>
  <c r="AU39" i="3" s="1"/>
  <c r="G47" i="3"/>
  <c r="AU57" i="8"/>
  <c r="AU57" i="3" s="1"/>
  <c r="AS68" i="8"/>
  <c r="AY22" i="12"/>
  <c r="AU24" i="12"/>
  <c r="AR19" i="12"/>
  <c r="AT24" i="12"/>
  <c r="AR25" i="12"/>
  <c r="AV27" i="12"/>
  <c r="AX30" i="12"/>
  <c r="AT32" i="12"/>
  <c r="AV33" i="12"/>
  <c r="AV39" i="12"/>
  <c r="AZ45" i="12"/>
  <c r="AX46" i="12"/>
  <c r="AR37" i="12"/>
  <c r="AX42" i="12"/>
  <c r="AR57" i="12"/>
  <c r="AV63" i="12"/>
  <c r="AT64" i="12"/>
  <c r="AY54" i="12"/>
  <c r="AY60" i="12"/>
  <c r="AW67" i="12"/>
  <c r="AU36" i="12"/>
  <c r="AY40" i="12"/>
  <c r="AS43" i="12"/>
  <c r="AU48" i="12"/>
  <c r="AY56" i="12"/>
  <c r="AU68" i="12"/>
  <c r="AR20" i="12"/>
  <c r="AZ26" i="12"/>
  <c r="AT27" i="12"/>
  <c r="AT33" i="12"/>
  <c r="AV42" i="12"/>
  <c r="AX49" i="12"/>
  <c r="AT53" i="12"/>
  <c r="AX57" i="12"/>
  <c r="AR62" i="12"/>
  <c r="AV66" i="12"/>
  <c r="AW47" i="12"/>
  <c r="W21" i="3"/>
  <c r="AW24" i="8"/>
  <c r="AC26" i="3"/>
  <c r="E30" i="3"/>
  <c r="AU47" i="8"/>
  <c r="AU47" i="3" s="1"/>
  <c r="AY49" i="8"/>
  <c r="AY49" i="3" s="1"/>
  <c r="AW58" i="8"/>
  <c r="AW58" i="3" s="1"/>
  <c r="AW21" i="12"/>
  <c r="AS25" i="12"/>
  <c r="AZ19" i="12"/>
  <c r="AV21" i="12"/>
  <c r="AR23" i="12"/>
  <c r="AX24" i="12"/>
  <c r="AV25" i="12"/>
  <c r="AT28" i="12"/>
  <c r="AV31" i="12"/>
  <c r="AX32" i="12"/>
  <c r="AZ33" i="12"/>
  <c r="AX36" i="12"/>
  <c r="AV43" i="12"/>
  <c r="AV47" i="12"/>
  <c r="C19" i="12"/>
  <c r="G19" i="12"/>
  <c r="K19" i="12"/>
  <c r="O19" i="12"/>
  <c r="S19" i="12"/>
  <c r="W19" i="12"/>
  <c r="AA19" i="12"/>
  <c r="AE19" i="12"/>
  <c r="AI19" i="12"/>
  <c r="AM19" i="12"/>
  <c r="AQ19" i="12"/>
  <c r="E20" i="12"/>
  <c r="I20" i="12"/>
  <c r="M20" i="12"/>
  <c r="Q20" i="12"/>
  <c r="U20" i="12"/>
  <c r="Y20" i="12"/>
  <c r="AC20" i="12"/>
  <c r="AG20" i="12"/>
  <c r="AK20" i="12"/>
  <c r="AO20" i="12"/>
  <c r="C21" i="12"/>
  <c r="G21" i="12"/>
  <c r="K21" i="12"/>
  <c r="O21" i="12"/>
  <c r="S21" i="12"/>
  <c r="W21" i="12"/>
  <c r="AA21" i="12"/>
  <c r="AE21" i="12"/>
  <c r="AI21" i="12"/>
  <c r="AM21" i="12"/>
  <c r="AQ21" i="12"/>
  <c r="E22" i="12"/>
  <c r="I22" i="12"/>
  <c r="M22" i="12"/>
  <c r="Q22" i="12"/>
  <c r="U22" i="12"/>
  <c r="Y22" i="12"/>
  <c r="AC22" i="12"/>
  <c r="AG22" i="12"/>
  <c r="AK22" i="12"/>
  <c r="AO22" i="12"/>
  <c r="C23" i="12"/>
  <c r="G23" i="12"/>
  <c r="G23" i="3" s="1"/>
  <c r="K23" i="12"/>
  <c r="O23" i="12"/>
  <c r="S23" i="12"/>
  <c r="W23" i="12"/>
  <c r="AA23" i="12"/>
  <c r="AE23" i="12"/>
  <c r="AI23" i="12"/>
  <c r="AM23" i="12"/>
  <c r="AQ23" i="12"/>
  <c r="E24" i="12"/>
  <c r="I24" i="12"/>
  <c r="M24" i="12"/>
  <c r="Q24" i="12"/>
  <c r="U24" i="12"/>
  <c r="Y24" i="12"/>
  <c r="AC24" i="12"/>
  <c r="AG24" i="12"/>
  <c r="AG24" i="3" s="1"/>
  <c r="AK24" i="12"/>
  <c r="AO24" i="12"/>
  <c r="C25" i="12"/>
  <c r="G25" i="12"/>
  <c r="K25" i="12"/>
  <c r="O25" i="12"/>
  <c r="S25" i="12"/>
  <c r="W25" i="12"/>
  <c r="AA25" i="12"/>
  <c r="AE25" i="12"/>
  <c r="AI25" i="12"/>
  <c r="AM25" i="12"/>
  <c r="E26" i="12"/>
  <c r="U26" i="12"/>
  <c r="AK26" i="12"/>
  <c r="C27" i="12"/>
  <c r="S27" i="12"/>
  <c r="AI27" i="12"/>
  <c r="Q28" i="12"/>
  <c r="AG28" i="12"/>
  <c r="O29" i="12"/>
  <c r="AE29" i="12"/>
  <c r="M30" i="12"/>
  <c r="AC30" i="12"/>
  <c r="K31" i="12"/>
  <c r="AA31" i="12"/>
  <c r="AQ31" i="12"/>
  <c r="I32" i="12"/>
  <c r="G33" i="12"/>
  <c r="E34" i="12"/>
  <c r="I26" i="12"/>
  <c r="Q26" i="12"/>
  <c r="Q26" i="3" s="1"/>
  <c r="W27" i="12"/>
  <c r="AE27" i="12"/>
  <c r="I28" i="12"/>
  <c r="I28" i="3" s="1"/>
  <c r="AK28" i="12"/>
  <c r="W29" i="12"/>
  <c r="I30" i="12"/>
  <c r="AK30" i="12"/>
  <c r="O31" i="12"/>
  <c r="W31" i="12"/>
  <c r="O33" i="12"/>
  <c r="U34" i="12"/>
  <c r="C35" i="12"/>
  <c r="S35" i="12"/>
  <c r="Q36" i="12"/>
  <c r="O37" i="12"/>
  <c r="K39" i="12"/>
  <c r="I40" i="12"/>
  <c r="G41" i="12"/>
  <c r="E42" i="12"/>
  <c r="C43" i="12"/>
  <c r="K47" i="12"/>
  <c r="I48" i="12"/>
  <c r="G49" i="12"/>
  <c r="E50" i="12"/>
  <c r="Y26" i="12"/>
  <c r="AC28" i="12"/>
  <c r="G29" i="12"/>
  <c r="AA29" i="12"/>
  <c r="AI29" i="12"/>
  <c r="E30" i="12"/>
  <c r="Y30" i="12"/>
  <c r="AG30" i="12"/>
  <c r="C31" i="12"/>
  <c r="AE31" i="12"/>
  <c r="M34" i="12"/>
  <c r="G35" i="12"/>
  <c r="O35" i="12"/>
  <c r="O35" i="3" s="1"/>
  <c r="U36" i="12"/>
  <c r="G37" i="12"/>
  <c r="G39" i="12"/>
  <c r="E44" i="12"/>
  <c r="E46" i="12"/>
  <c r="E48" i="12"/>
  <c r="K49" i="12"/>
  <c r="AB19" i="12"/>
  <c r="J20" i="12"/>
  <c r="AA20" i="12"/>
  <c r="AQ20" i="12"/>
  <c r="M21" i="12"/>
  <c r="AB21" i="12"/>
  <c r="AQ22" i="12"/>
  <c r="M23" i="12"/>
  <c r="AC23" i="12"/>
  <c r="N24" i="12"/>
  <c r="AQ25" i="12"/>
  <c r="AG26" i="12"/>
  <c r="G27" i="12"/>
  <c r="U27" i="12"/>
  <c r="U28" i="12"/>
  <c r="AI28" i="12"/>
  <c r="K29" i="12"/>
  <c r="K30" i="12"/>
  <c r="U30" i="12"/>
  <c r="Y31" i="12"/>
  <c r="AI31" i="12"/>
  <c r="AI31" i="3" s="1"/>
  <c r="K33" i="12"/>
  <c r="K35" i="12"/>
  <c r="T35" i="12"/>
  <c r="I36" i="12"/>
  <c r="I36" i="3" s="1"/>
  <c r="R36" i="12"/>
  <c r="C45" i="12"/>
  <c r="C49" i="12"/>
  <c r="I50" i="12"/>
  <c r="M19" i="12"/>
  <c r="AK19" i="12"/>
  <c r="F20" i="12"/>
  <c r="AD20" i="12"/>
  <c r="X21" i="12"/>
  <c r="AP22" i="12"/>
  <c r="P23" i="12"/>
  <c r="AK23" i="12"/>
  <c r="G24" i="12"/>
  <c r="AH24" i="12"/>
  <c r="E25" i="12"/>
  <c r="M26" i="12"/>
  <c r="AC26" i="12"/>
  <c r="O27" i="12"/>
  <c r="AC27" i="12"/>
  <c r="O28" i="12"/>
  <c r="AG29" i="12"/>
  <c r="Q30" i="12"/>
  <c r="C32" i="12"/>
  <c r="Q32" i="12"/>
  <c r="C33" i="12"/>
  <c r="C33" i="3" s="1"/>
  <c r="S33" i="12"/>
  <c r="R34" i="12"/>
  <c r="E36" i="12"/>
  <c r="H37" i="12"/>
  <c r="S37" i="12"/>
  <c r="I38" i="12"/>
  <c r="H39" i="12"/>
  <c r="J40" i="12"/>
  <c r="I42" i="12"/>
  <c r="I42" i="3" s="1"/>
  <c r="K43" i="12"/>
  <c r="J44" i="12"/>
  <c r="K45" i="12"/>
  <c r="Q19" i="12"/>
  <c r="O20" i="12"/>
  <c r="W22" i="12"/>
  <c r="T23" i="12"/>
  <c r="AO23" i="12"/>
  <c r="AL24" i="12"/>
  <c r="AG25" i="12"/>
  <c r="S26" i="12"/>
  <c r="AK27" i="12"/>
  <c r="S28" i="12"/>
  <c r="C29" i="12"/>
  <c r="S29" i="12"/>
  <c r="AM29" i="12"/>
  <c r="AM29" i="3" s="1"/>
  <c r="AM30" i="12"/>
  <c r="E31" i="12"/>
  <c r="S31" i="12"/>
  <c r="AM31" i="12"/>
  <c r="E32" i="12"/>
  <c r="U32" i="12"/>
  <c r="J36" i="12"/>
  <c r="K37" i="12"/>
  <c r="J38" i="12"/>
  <c r="K41" i="12"/>
  <c r="C47" i="12"/>
  <c r="F50" i="12"/>
  <c r="F22" i="12"/>
  <c r="AQ24" i="12"/>
  <c r="AO25" i="12"/>
  <c r="W26" i="12"/>
  <c r="AM27" i="12"/>
  <c r="Y28" i="12"/>
  <c r="AO29" i="12"/>
  <c r="AA30" i="12"/>
  <c r="G31" i="12"/>
  <c r="C39" i="12"/>
  <c r="C41" i="12"/>
  <c r="D43" i="12"/>
  <c r="G45" i="12"/>
  <c r="F46" i="12"/>
  <c r="G47" i="12"/>
  <c r="H49" i="12"/>
  <c r="AC19" i="12"/>
  <c r="Q21" i="12"/>
  <c r="O22" i="12"/>
  <c r="H23" i="12"/>
  <c r="F24" i="12"/>
  <c r="K27" i="12"/>
  <c r="AQ27" i="12"/>
  <c r="AA28" i="12"/>
  <c r="M29" i="12"/>
  <c r="AQ29" i="12"/>
  <c r="D35" i="12"/>
  <c r="C37" i="12"/>
  <c r="E38" i="12"/>
  <c r="D39" i="12"/>
  <c r="E40" i="12"/>
  <c r="H41" i="12"/>
  <c r="G43" i="12"/>
  <c r="I44" i="12"/>
  <c r="H45" i="12"/>
  <c r="I46" i="12"/>
  <c r="J48" i="12"/>
  <c r="AJ21" i="12"/>
  <c r="P25" i="12"/>
  <c r="E28" i="12"/>
  <c r="Y29" i="12"/>
  <c r="AO30" i="12"/>
  <c r="G32" i="12"/>
  <c r="D19" i="8"/>
  <c r="D19" i="3" s="1"/>
  <c r="H19" i="8"/>
  <c r="L19" i="8"/>
  <c r="P19" i="8"/>
  <c r="P19" i="3" s="1"/>
  <c r="T19" i="8"/>
  <c r="T19" i="3" s="1"/>
  <c r="X19" i="8"/>
  <c r="X19" i="3" s="1"/>
  <c r="AB19" i="8"/>
  <c r="AB19" i="3" s="1"/>
  <c r="AF19" i="8"/>
  <c r="AJ19" i="8"/>
  <c r="AN19" i="8"/>
  <c r="AN19" i="3" s="1"/>
  <c r="F20" i="8"/>
  <c r="J20" i="8"/>
  <c r="J20" i="3" s="1"/>
  <c r="N20" i="8"/>
  <c r="N20" i="3" s="1"/>
  <c r="R20" i="8"/>
  <c r="R20" i="3" s="1"/>
  <c r="V20" i="8"/>
  <c r="Z20" i="8"/>
  <c r="Z20" i="3" s="1"/>
  <c r="AD20" i="8"/>
  <c r="AH20" i="8"/>
  <c r="AH20" i="3" s="1"/>
  <c r="AL20" i="8"/>
  <c r="AP20" i="8"/>
  <c r="D21" i="8"/>
  <c r="D21" i="3" s="1"/>
  <c r="H21" i="8"/>
  <c r="H21" i="3" s="1"/>
  <c r="L21" i="8"/>
  <c r="P21" i="8"/>
  <c r="T21" i="8"/>
  <c r="T21" i="3" s="1"/>
  <c r="X21" i="8"/>
  <c r="X21" i="3" s="1"/>
  <c r="AB21" i="8"/>
  <c r="AB21" i="3" s="1"/>
  <c r="AF21" i="8"/>
  <c r="AF21" i="3" s="1"/>
  <c r="AJ21" i="8"/>
  <c r="AN21" i="8"/>
  <c r="AN21" i="3" s="1"/>
  <c r="F22" i="8"/>
  <c r="J22" i="8"/>
  <c r="N22" i="8"/>
  <c r="N22" i="3" s="1"/>
  <c r="R22" i="8"/>
  <c r="R22" i="3" s="1"/>
  <c r="V22" i="8"/>
  <c r="V22" i="3" s="1"/>
  <c r="Z22" i="8"/>
  <c r="Z22" i="3" s="1"/>
  <c r="AD22" i="8"/>
  <c r="AD22" i="3" s="1"/>
  <c r="AH22" i="8"/>
  <c r="AH22" i="3" s="1"/>
  <c r="AL22" i="8"/>
  <c r="AL22" i="3" s="1"/>
  <c r="AP22" i="8"/>
  <c r="D23" i="8"/>
  <c r="D23" i="3" s="1"/>
  <c r="H23" i="8"/>
  <c r="H23" i="3" s="1"/>
  <c r="L23" i="8"/>
  <c r="L23" i="3" s="1"/>
  <c r="P23" i="8"/>
  <c r="T23" i="8"/>
  <c r="T23" i="3" s="1"/>
  <c r="X23" i="8"/>
  <c r="AB23" i="8"/>
  <c r="AF23" i="8"/>
  <c r="AF23" i="3" s="1"/>
  <c r="AJ23" i="8"/>
  <c r="AJ23" i="3" s="1"/>
  <c r="AN23" i="8"/>
  <c r="AN23" i="3" s="1"/>
  <c r="F24" i="8"/>
  <c r="J24" i="8"/>
  <c r="N24" i="8"/>
  <c r="N24" i="3" s="1"/>
  <c r="R24" i="8"/>
  <c r="R24" i="3" s="1"/>
  <c r="V24" i="8"/>
  <c r="V24" i="3" s="1"/>
  <c r="Z24" i="8"/>
  <c r="AD24" i="8"/>
  <c r="AH24" i="8"/>
  <c r="AH24" i="3" s="1"/>
  <c r="AL24" i="8"/>
  <c r="AP24" i="8"/>
  <c r="AP24" i="3" s="1"/>
  <c r="D25" i="8"/>
  <c r="H25" i="8"/>
  <c r="H25" i="3" s="1"/>
  <c r="L25" i="8"/>
  <c r="L25" i="3" s="1"/>
  <c r="P25" i="8"/>
  <c r="P25" i="3" s="1"/>
  <c r="T25" i="8"/>
  <c r="T25" i="3" s="1"/>
  <c r="X25" i="8"/>
  <c r="X25" i="3" s="1"/>
  <c r="AB25" i="8"/>
  <c r="AB25" i="3" s="1"/>
  <c r="AF25" i="8"/>
  <c r="AJ25" i="8"/>
  <c r="AJ25" i="3" s="1"/>
  <c r="AN25" i="8"/>
  <c r="AN25" i="3" s="1"/>
  <c r="F26" i="8"/>
  <c r="J26" i="8"/>
  <c r="J26" i="3" s="1"/>
  <c r="N26" i="8"/>
  <c r="N26" i="3" s="1"/>
  <c r="R26" i="8"/>
  <c r="R26" i="3" s="1"/>
  <c r="V26" i="8"/>
  <c r="Z26" i="8"/>
  <c r="AD26" i="8"/>
  <c r="AD26" i="3" s="1"/>
  <c r="AH26" i="8"/>
  <c r="AH26" i="3" s="1"/>
  <c r="AL26" i="8"/>
  <c r="AP26" i="8"/>
  <c r="AP26" i="3" s="1"/>
  <c r="D27" i="8"/>
  <c r="D27" i="3" s="1"/>
  <c r="H27" i="8"/>
  <c r="H27" i="3" s="1"/>
  <c r="L27" i="8"/>
  <c r="L27" i="3" s="1"/>
  <c r="P27" i="8"/>
  <c r="T27" i="8"/>
  <c r="X27" i="8"/>
  <c r="X27" i="3" s="1"/>
  <c r="AB27" i="8"/>
  <c r="AB27" i="3" s="1"/>
  <c r="AF27" i="8"/>
  <c r="AF27" i="3" s="1"/>
  <c r="AJ27" i="8"/>
  <c r="AN27" i="8"/>
  <c r="F28" i="8"/>
  <c r="F28" i="3" s="1"/>
  <c r="J28" i="8"/>
  <c r="N28" i="8"/>
  <c r="N28" i="3" s="1"/>
  <c r="R28" i="8"/>
  <c r="R28" i="3" s="1"/>
  <c r="V28" i="8"/>
  <c r="V28" i="3" s="1"/>
  <c r="Z28" i="8"/>
  <c r="Z28" i="3" s="1"/>
  <c r="AD28" i="8"/>
  <c r="AD28" i="3" s="1"/>
  <c r="AH28" i="8"/>
  <c r="AH28" i="3" s="1"/>
  <c r="AL28" i="8"/>
  <c r="AL28" i="3" s="1"/>
  <c r="AP28" i="8"/>
  <c r="AP28" i="3" s="1"/>
  <c r="D29" i="8"/>
  <c r="H29" i="8"/>
  <c r="H29" i="3" s="1"/>
  <c r="L29" i="8"/>
  <c r="L29" i="3" s="1"/>
  <c r="P29" i="8"/>
  <c r="T29" i="8"/>
  <c r="T29" i="3" s="1"/>
  <c r="X29" i="8"/>
  <c r="AB29" i="8"/>
  <c r="AB29" i="3" s="1"/>
  <c r="AF29" i="8"/>
  <c r="AJ29" i="8"/>
  <c r="AJ29" i="3" s="1"/>
  <c r="AN29" i="8"/>
  <c r="AN29" i="3" s="1"/>
  <c r="F30" i="8"/>
  <c r="F30" i="3" s="1"/>
  <c r="J30" i="8"/>
  <c r="J30" i="3" s="1"/>
  <c r="N30" i="8"/>
  <c r="R30" i="8"/>
  <c r="R30" i="3" s="1"/>
  <c r="V30" i="8"/>
  <c r="V30" i="3" s="1"/>
  <c r="Z30" i="8"/>
  <c r="Z30" i="3" s="1"/>
  <c r="AD30" i="8"/>
  <c r="AD30" i="3" s="1"/>
  <c r="AH30" i="8"/>
  <c r="AH30" i="3" s="1"/>
  <c r="AL30" i="8"/>
  <c r="AP30" i="8"/>
  <c r="AP30" i="3" s="1"/>
  <c r="D31" i="8"/>
  <c r="D31" i="3" s="1"/>
  <c r="H31" i="8"/>
  <c r="L31" i="8"/>
  <c r="P31" i="8"/>
  <c r="P31" i="3" s="1"/>
  <c r="T31" i="8"/>
  <c r="T31" i="3" s="1"/>
  <c r="X31" i="8"/>
  <c r="X31" i="3" s="1"/>
  <c r="AB31" i="8"/>
  <c r="AF31" i="8"/>
  <c r="AJ31" i="8"/>
  <c r="AJ31" i="3" s="1"/>
  <c r="AN31" i="8"/>
  <c r="AN31" i="3" s="1"/>
  <c r="F32" i="8"/>
  <c r="F32" i="3" s="1"/>
  <c r="J32" i="8"/>
  <c r="N32" i="8"/>
  <c r="N32" i="3" s="1"/>
  <c r="R32" i="8"/>
  <c r="R32" i="3" s="1"/>
  <c r="V32" i="8"/>
  <c r="D33" i="8"/>
  <c r="H33" i="8"/>
  <c r="H33" i="3" s="1"/>
  <c r="L33" i="8"/>
  <c r="L33" i="3" s="1"/>
  <c r="P33" i="8"/>
  <c r="P33" i="3" s="1"/>
  <c r="T33" i="8"/>
  <c r="T33" i="3" s="1"/>
  <c r="F34" i="8"/>
  <c r="J34" i="8"/>
  <c r="J34" i="3" s="1"/>
  <c r="N34" i="8"/>
  <c r="N34" i="3" s="1"/>
  <c r="R34" i="8"/>
  <c r="V34" i="8"/>
  <c r="V34" i="3" s="1"/>
  <c r="D35" i="8"/>
  <c r="D35" i="3" s="1"/>
  <c r="H35" i="8"/>
  <c r="H35" i="3" s="1"/>
  <c r="L35" i="8"/>
  <c r="P35" i="8"/>
  <c r="T35" i="8"/>
  <c r="T35" i="3" s="1"/>
  <c r="F36" i="8"/>
  <c r="J36" i="8"/>
  <c r="J36" i="3" s="1"/>
  <c r="N36" i="8"/>
  <c r="N36" i="3" s="1"/>
  <c r="R36" i="8"/>
  <c r="R36" i="3" s="1"/>
  <c r="V36" i="8"/>
  <c r="V36" i="3" s="1"/>
  <c r="D37" i="8"/>
  <c r="H37" i="8"/>
  <c r="H37" i="3" s="1"/>
  <c r="L37" i="8"/>
  <c r="L37" i="3" s="1"/>
  <c r="P37" i="8"/>
  <c r="T37" i="8"/>
  <c r="T37" i="3" s="1"/>
  <c r="F38" i="8"/>
  <c r="F38" i="3" s="1"/>
  <c r="J38" i="8"/>
  <c r="J38" i="3" s="1"/>
  <c r="D39" i="8"/>
  <c r="D39" i="3" s="1"/>
  <c r="H39" i="8"/>
  <c r="F40" i="8"/>
  <c r="F40" i="3" s="1"/>
  <c r="J40" i="8"/>
  <c r="J40" i="3" s="1"/>
  <c r="D41" i="8"/>
  <c r="H41" i="8"/>
  <c r="F42" i="8"/>
  <c r="F42" i="3" s="1"/>
  <c r="J42" i="8"/>
  <c r="J42" i="3" s="1"/>
  <c r="D43" i="8"/>
  <c r="D43" i="3" s="1"/>
  <c r="H43" i="8"/>
  <c r="H43" i="3" s="1"/>
  <c r="F44" i="8"/>
  <c r="J44" i="8"/>
  <c r="J44" i="3" s="1"/>
  <c r="D45" i="8"/>
  <c r="H45" i="8"/>
  <c r="H45" i="3" s="1"/>
  <c r="F46" i="8"/>
  <c r="J46" i="8"/>
  <c r="J46" i="3" s="1"/>
  <c r="D47" i="8"/>
  <c r="D47" i="3" s="1"/>
  <c r="H47" i="8"/>
  <c r="F48" i="8"/>
  <c r="F48" i="3" s="1"/>
  <c r="J48" i="8"/>
  <c r="J48" i="3" s="1"/>
  <c r="D49" i="8"/>
  <c r="D49" i="3" s="1"/>
  <c r="H49" i="8"/>
  <c r="F50" i="8"/>
  <c r="F50" i="3" s="1"/>
  <c r="J50" i="8"/>
  <c r="J50" i="3" s="1"/>
  <c r="AL20" i="12"/>
  <c r="AE22" i="12"/>
  <c r="AO28" i="12"/>
  <c r="M36" i="12"/>
  <c r="F19" i="8"/>
  <c r="F19" i="3" s="1"/>
  <c r="R19" i="8"/>
  <c r="Z19" i="8"/>
  <c r="AH19" i="8"/>
  <c r="AP19" i="8"/>
  <c r="AP19" i="3" s="1"/>
  <c r="H20" i="8"/>
  <c r="P20" i="8"/>
  <c r="X20" i="8"/>
  <c r="X20" i="3" s="1"/>
  <c r="AF20" i="8"/>
  <c r="AF20" i="3" s="1"/>
  <c r="J21" i="8"/>
  <c r="R21" i="8"/>
  <c r="Z21" i="8"/>
  <c r="Z21" i="3" s="1"/>
  <c r="AH21" i="8"/>
  <c r="AP21" i="8"/>
  <c r="AP21" i="3" s="1"/>
  <c r="H22" i="8"/>
  <c r="P22" i="8"/>
  <c r="P22" i="3" s="1"/>
  <c r="X22" i="8"/>
  <c r="AF22" i="8"/>
  <c r="AN22" i="8"/>
  <c r="AN22" i="3" s="1"/>
  <c r="F23" i="8"/>
  <c r="F23" i="3" s="1"/>
  <c r="N23" i="8"/>
  <c r="V23" i="8"/>
  <c r="AD23" i="8"/>
  <c r="AL23" i="8"/>
  <c r="AL23" i="3" s="1"/>
  <c r="D24" i="8"/>
  <c r="D24" i="3" s="1"/>
  <c r="P24" i="8"/>
  <c r="X24" i="8"/>
  <c r="AF24" i="8"/>
  <c r="AN24" i="8"/>
  <c r="F25" i="8"/>
  <c r="N25" i="8"/>
  <c r="N25" i="3" s="1"/>
  <c r="V25" i="8"/>
  <c r="V25" i="3" s="1"/>
  <c r="AD25" i="8"/>
  <c r="AL25" i="8"/>
  <c r="AL25" i="3" s="1"/>
  <c r="D26" i="8"/>
  <c r="D26" i="3" s="1"/>
  <c r="L26" i="8"/>
  <c r="L26" i="3" s="1"/>
  <c r="T26" i="8"/>
  <c r="T26" i="3" s="1"/>
  <c r="AB26" i="8"/>
  <c r="AF26" i="8"/>
  <c r="AF26" i="3" s="1"/>
  <c r="AN26" i="8"/>
  <c r="AN26" i="3" s="1"/>
  <c r="F27" i="8"/>
  <c r="F27" i="3" s="1"/>
  <c r="N27" i="8"/>
  <c r="V27" i="8"/>
  <c r="AD27" i="8"/>
  <c r="AD27" i="3" s="1"/>
  <c r="AL27" i="8"/>
  <c r="AL27" i="3" s="1"/>
  <c r="H28" i="8"/>
  <c r="P28" i="8"/>
  <c r="X28" i="8"/>
  <c r="AF28" i="8"/>
  <c r="AN28" i="8"/>
  <c r="F29" i="8"/>
  <c r="F29" i="3" s="1"/>
  <c r="N29" i="8"/>
  <c r="N29" i="3" s="1"/>
  <c r="V29" i="8"/>
  <c r="AD29" i="8"/>
  <c r="AD29" i="3" s="1"/>
  <c r="AL29" i="8"/>
  <c r="D30" i="8"/>
  <c r="D30" i="3" s="1"/>
  <c r="L30" i="8"/>
  <c r="T30" i="8"/>
  <c r="AB30" i="8"/>
  <c r="AB30" i="3" s="1"/>
  <c r="AJ30" i="8"/>
  <c r="AJ30" i="3" s="1"/>
  <c r="J31" i="8"/>
  <c r="R31" i="8"/>
  <c r="R31" i="3" s="1"/>
  <c r="Z31" i="8"/>
  <c r="AH31" i="8"/>
  <c r="AO21" i="12"/>
  <c r="U25" i="12"/>
  <c r="AO26" i="12"/>
  <c r="M28" i="12"/>
  <c r="M28" i="3" s="1"/>
  <c r="AC29" i="12"/>
  <c r="M32" i="12"/>
  <c r="E19" i="8"/>
  <c r="E19" i="3" s="1"/>
  <c r="I19" i="8"/>
  <c r="M19" i="8"/>
  <c r="M19" i="3" s="1"/>
  <c r="Q19" i="8"/>
  <c r="U19" i="8"/>
  <c r="Y19" i="8"/>
  <c r="Y19" i="3" s="1"/>
  <c r="AC19" i="8"/>
  <c r="AG19" i="8"/>
  <c r="AK19" i="8"/>
  <c r="AK19" i="3" s="1"/>
  <c r="AO19" i="8"/>
  <c r="AO19" i="3" s="1"/>
  <c r="C20" i="8"/>
  <c r="C20" i="3" s="1"/>
  <c r="G20" i="8"/>
  <c r="K20" i="8"/>
  <c r="O20" i="8"/>
  <c r="O20" i="3" s="1"/>
  <c r="S20" i="8"/>
  <c r="S20" i="3" s="1"/>
  <c r="W20" i="8"/>
  <c r="W20" i="3" s="1"/>
  <c r="AA20" i="8"/>
  <c r="AA20" i="3" s="1"/>
  <c r="AE20" i="8"/>
  <c r="AE20" i="3" s="1"/>
  <c r="AI20" i="8"/>
  <c r="AM20" i="8"/>
  <c r="AQ20" i="8"/>
  <c r="E21" i="8"/>
  <c r="E21" i="3" s="1"/>
  <c r="I21" i="8"/>
  <c r="I21" i="3" s="1"/>
  <c r="M21" i="8"/>
  <c r="Q21" i="8"/>
  <c r="U21" i="8"/>
  <c r="U21" i="3" s="1"/>
  <c r="Y21" i="8"/>
  <c r="Y21" i="3" s="1"/>
  <c r="AC21" i="8"/>
  <c r="AC21" i="3" s="1"/>
  <c r="AG21" i="8"/>
  <c r="AG21" i="3" s="1"/>
  <c r="AK21" i="8"/>
  <c r="AK21" i="3" s="1"/>
  <c r="AO21" i="8"/>
  <c r="AO21" i="3" s="1"/>
  <c r="C22" i="8"/>
  <c r="G22" i="8"/>
  <c r="K22" i="8"/>
  <c r="K22" i="3" s="1"/>
  <c r="O22" i="8"/>
  <c r="O22" i="3" s="1"/>
  <c r="S22" i="8"/>
  <c r="S22" i="3" s="1"/>
  <c r="W22" i="8"/>
  <c r="AA22" i="8"/>
  <c r="AA22" i="3" s="1"/>
  <c r="AE22" i="8"/>
  <c r="AE22" i="3" s="1"/>
  <c r="AI22" i="8"/>
  <c r="AM22" i="8"/>
  <c r="AQ22" i="8"/>
  <c r="AQ22" i="3" s="1"/>
  <c r="E23" i="8"/>
  <c r="E23" i="3" s="1"/>
  <c r="I23" i="8"/>
  <c r="M23" i="8"/>
  <c r="Q23" i="8"/>
  <c r="Q23" i="3" s="1"/>
  <c r="U23" i="8"/>
  <c r="U23" i="3" s="1"/>
  <c r="Y23" i="8"/>
  <c r="AC23" i="8"/>
  <c r="AG23" i="8"/>
  <c r="AG23" i="3" s="1"/>
  <c r="AK23" i="8"/>
  <c r="AK23" i="3" s="1"/>
  <c r="AO23" i="8"/>
  <c r="C24" i="8"/>
  <c r="C24" i="3" s="1"/>
  <c r="G24" i="8"/>
  <c r="G24" i="3" s="1"/>
  <c r="K24" i="8"/>
  <c r="K24" i="3" s="1"/>
  <c r="O24" i="8"/>
  <c r="S24" i="8"/>
  <c r="S24" i="3" s="1"/>
  <c r="W24" i="8"/>
  <c r="W24" i="3" s="1"/>
  <c r="AA24" i="8"/>
  <c r="AA24" i="3" s="1"/>
  <c r="AE24" i="8"/>
  <c r="AI24" i="8"/>
  <c r="AM24" i="8"/>
  <c r="AM24" i="3" s="1"/>
  <c r="AQ24" i="8"/>
  <c r="AQ24" i="3" s="1"/>
  <c r="E25" i="8"/>
  <c r="I25" i="8"/>
  <c r="I25" i="3" s="1"/>
  <c r="M25" i="8"/>
  <c r="M25" i="3" s="1"/>
  <c r="Q25" i="8"/>
  <c r="U25" i="8"/>
  <c r="U25" i="3" s="1"/>
  <c r="Y25" i="8"/>
  <c r="Y25" i="3" s="1"/>
  <c r="AC25" i="8"/>
  <c r="AC25" i="3" s="1"/>
  <c r="AG25" i="8"/>
  <c r="AG25" i="3" s="1"/>
  <c r="AK25" i="8"/>
  <c r="AO25" i="8"/>
  <c r="AO25" i="3" s="1"/>
  <c r="C26" i="8"/>
  <c r="C26" i="3" s="1"/>
  <c r="G26" i="8"/>
  <c r="K26" i="8"/>
  <c r="K26" i="3" s="1"/>
  <c r="O26" i="8"/>
  <c r="S26" i="8"/>
  <c r="S26" i="3" s="1"/>
  <c r="W26" i="8"/>
  <c r="W26" i="3" s="1"/>
  <c r="AA26" i="8"/>
  <c r="AE26" i="8"/>
  <c r="AE26" i="3" s="1"/>
  <c r="AI26" i="8"/>
  <c r="AI26" i="3" s="1"/>
  <c r="AM26" i="8"/>
  <c r="AM26" i="3" s="1"/>
  <c r="AQ26" i="8"/>
  <c r="E27" i="8"/>
  <c r="I27" i="8"/>
  <c r="I27" i="3" s="1"/>
  <c r="M27" i="8"/>
  <c r="Q27" i="8"/>
  <c r="Q27" i="3" s="1"/>
  <c r="U27" i="8"/>
  <c r="U27" i="3" s="1"/>
  <c r="Y27" i="8"/>
  <c r="Y27" i="3" s="1"/>
  <c r="AC27" i="8"/>
  <c r="AG27" i="8"/>
  <c r="AK27" i="8"/>
  <c r="AK27" i="3" s="1"/>
  <c r="AO27" i="8"/>
  <c r="AO27" i="3" s="1"/>
  <c r="C28" i="8"/>
  <c r="C28" i="3" s="1"/>
  <c r="G28" i="8"/>
  <c r="G28" i="3" s="1"/>
  <c r="K28" i="8"/>
  <c r="O28" i="8"/>
  <c r="O28" i="3" s="1"/>
  <c r="S28" i="8"/>
  <c r="W28" i="8"/>
  <c r="W28" i="3" s="1"/>
  <c r="AA28" i="8"/>
  <c r="AA28" i="3" s="1"/>
  <c r="AE28" i="8"/>
  <c r="AE28" i="3" s="1"/>
  <c r="AI28" i="8"/>
  <c r="AM28" i="8"/>
  <c r="AM28" i="3" s="1"/>
  <c r="AQ28" i="8"/>
  <c r="E29" i="8"/>
  <c r="I29" i="8"/>
  <c r="I29" i="3" s="1"/>
  <c r="M29" i="8"/>
  <c r="Q29" i="8"/>
  <c r="U29" i="8"/>
  <c r="U29" i="3" s="1"/>
  <c r="Y29" i="8"/>
  <c r="AC29" i="8"/>
  <c r="AG29" i="8"/>
  <c r="AG29" i="3" s="1"/>
  <c r="AK29" i="8"/>
  <c r="AK29" i="3" s="1"/>
  <c r="AO29" i="8"/>
  <c r="AO29" i="3" s="1"/>
  <c r="C30" i="8"/>
  <c r="G30" i="8"/>
  <c r="K30" i="8"/>
  <c r="K30" i="3" s="1"/>
  <c r="O30" i="8"/>
  <c r="O30" i="3" s="1"/>
  <c r="S30" i="8"/>
  <c r="S30" i="3" s="1"/>
  <c r="W30" i="8"/>
  <c r="W30" i="3" s="1"/>
  <c r="AA30" i="8"/>
  <c r="AA30" i="3" s="1"/>
  <c r="AE30" i="8"/>
  <c r="AE30" i="3" s="1"/>
  <c r="AI30" i="8"/>
  <c r="AM30" i="8"/>
  <c r="AQ30" i="8"/>
  <c r="AQ30" i="3" s="1"/>
  <c r="E31" i="8"/>
  <c r="E31" i="3" s="1"/>
  <c r="I31" i="8"/>
  <c r="I31" i="3" s="1"/>
  <c r="M31" i="8"/>
  <c r="M31" i="3" s="1"/>
  <c r="Q31" i="8"/>
  <c r="Q31" i="3" s="1"/>
  <c r="U31" i="8"/>
  <c r="U31" i="3" s="1"/>
  <c r="Y31" i="8"/>
  <c r="AC31" i="8"/>
  <c r="AG31" i="8"/>
  <c r="AG31" i="3" s="1"/>
  <c r="AK31" i="8"/>
  <c r="AK31" i="3" s="1"/>
  <c r="AO31" i="8"/>
  <c r="C32" i="8"/>
  <c r="G32" i="8"/>
  <c r="G32" i="3" s="1"/>
  <c r="K32" i="8"/>
  <c r="K32" i="3" s="1"/>
  <c r="O32" i="8"/>
  <c r="S32" i="8"/>
  <c r="E33" i="8"/>
  <c r="E33" i="3" s="1"/>
  <c r="I33" i="8"/>
  <c r="I33" i="3" s="1"/>
  <c r="M33" i="8"/>
  <c r="M33" i="3" s="1"/>
  <c r="Q33" i="8"/>
  <c r="Q33" i="3" s="1"/>
  <c r="U33" i="8"/>
  <c r="C34" i="8"/>
  <c r="G34" i="8"/>
  <c r="K34" i="8"/>
  <c r="O34" i="8"/>
  <c r="O34" i="3" s="1"/>
  <c r="S34" i="8"/>
  <c r="E35" i="8"/>
  <c r="E35" i="3" s="1"/>
  <c r="I35" i="8"/>
  <c r="M35" i="8"/>
  <c r="M35" i="3" s="1"/>
  <c r="Q35" i="8"/>
  <c r="U35" i="8"/>
  <c r="C36" i="8"/>
  <c r="G36" i="8"/>
  <c r="G36" i="3" s="1"/>
  <c r="K36" i="8"/>
  <c r="K36" i="3" s="1"/>
  <c r="O36" i="8"/>
  <c r="S36" i="8"/>
  <c r="E37" i="8"/>
  <c r="E37" i="3" s="1"/>
  <c r="I37" i="8"/>
  <c r="M37" i="8"/>
  <c r="Q37" i="8"/>
  <c r="U37" i="8"/>
  <c r="U37" i="3" s="1"/>
  <c r="C38" i="8"/>
  <c r="G38" i="8"/>
  <c r="G38" i="3" s="1"/>
  <c r="K38" i="8"/>
  <c r="K38" i="3" s="1"/>
  <c r="E39" i="8"/>
  <c r="I39" i="8"/>
  <c r="I39" i="3" s="1"/>
  <c r="C40" i="8"/>
  <c r="G40" i="8"/>
  <c r="K40" i="8"/>
  <c r="K40" i="3" s="1"/>
  <c r="E41" i="8"/>
  <c r="I41" i="8"/>
  <c r="C42" i="8"/>
  <c r="G42" i="8"/>
  <c r="G42" i="3" s="1"/>
  <c r="K42" i="8"/>
  <c r="E43" i="8"/>
  <c r="E43" i="3" s="1"/>
  <c r="I43" i="8"/>
  <c r="C44" i="8"/>
  <c r="C44" i="3" s="1"/>
  <c r="G44" i="8"/>
  <c r="G44" i="3" s="1"/>
  <c r="K44" i="8"/>
  <c r="E45" i="8"/>
  <c r="E45" i="3" s="1"/>
  <c r="I45" i="8"/>
  <c r="I45" i="3" s="1"/>
  <c r="C46" i="8"/>
  <c r="C46" i="3" s="1"/>
  <c r="G46" i="8"/>
  <c r="K46" i="8"/>
  <c r="E47" i="8"/>
  <c r="I47" i="8"/>
  <c r="I47" i="3" s="1"/>
  <c r="C48" i="8"/>
  <c r="G48" i="8"/>
  <c r="K48" i="8"/>
  <c r="K48" i="3" s="1"/>
  <c r="E49" i="8"/>
  <c r="E49" i="3" s="1"/>
  <c r="I49" i="8"/>
  <c r="C50" i="8"/>
  <c r="G50" i="8"/>
  <c r="G50" i="3" s="1"/>
  <c r="K50" i="8"/>
  <c r="K50" i="3" s="1"/>
  <c r="S24" i="12"/>
  <c r="G30" i="12"/>
  <c r="I34" i="12"/>
  <c r="L35" i="12"/>
  <c r="L37" i="12"/>
  <c r="J19" i="8"/>
  <c r="J19" i="3" s="1"/>
  <c r="N19" i="8"/>
  <c r="N19" i="3" s="1"/>
  <c r="V19" i="8"/>
  <c r="V19" i="3" s="1"/>
  <c r="AD19" i="8"/>
  <c r="AL19" i="8"/>
  <c r="AL19" i="3" s="1"/>
  <c r="D20" i="8"/>
  <c r="D20" i="3" s="1"/>
  <c r="L20" i="8"/>
  <c r="T20" i="8"/>
  <c r="AB20" i="8"/>
  <c r="AB20" i="3" s="1"/>
  <c r="AJ20" i="8"/>
  <c r="AN20" i="8"/>
  <c r="AN20" i="3" s="1"/>
  <c r="F21" i="8"/>
  <c r="N21" i="8"/>
  <c r="N21" i="3" s="1"/>
  <c r="V21" i="8"/>
  <c r="AD21" i="8"/>
  <c r="AD21" i="3" s="1"/>
  <c r="AL21" i="8"/>
  <c r="D22" i="8"/>
  <c r="L22" i="8"/>
  <c r="L22" i="3" s="1"/>
  <c r="T22" i="8"/>
  <c r="T22" i="3" s="1"/>
  <c r="AB22" i="8"/>
  <c r="AJ22" i="8"/>
  <c r="AJ22" i="3" s="1"/>
  <c r="J23" i="8"/>
  <c r="J23" i="3" s="1"/>
  <c r="R23" i="8"/>
  <c r="R23" i="3" s="1"/>
  <c r="Z23" i="8"/>
  <c r="Z23" i="3" s="1"/>
  <c r="AH23" i="8"/>
  <c r="AP23" i="8"/>
  <c r="AP23" i="3" s="1"/>
  <c r="H24" i="8"/>
  <c r="L24" i="8"/>
  <c r="T24" i="8"/>
  <c r="T24" i="3" s="1"/>
  <c r="AB24" i="8"/>
  <c r="AB24" i="3" s="1"/>
  <c r="AJ24" i="8"/>
  <c r="AJ24" i="3" s="1"/>
  <c r="J25" i="8"/>
  <c r="R25" i="8"/>
  <c r="Z25" i="8"/>
  <c r="AH25" i="8"/>
  <c r="AP25" i="8"/>
  <c r="H26" i="8"/>
  <c r="H26" i="3" s="1"/>
  <c r="P26" i="8"/>
  <c r="P26" i="3" s="1"/>
  <c r="X26" i="8"/>
  <c r="AJ26" i="8"/>
  <c r="AJ26" i="3" s="1"/>
  <c r="J27" i="8"/>
  <c r="R27" i="8"/>
  <c r="R27" i="3" s="1"/>
  <c r="Z27" i="8"/>
  <c r="Z27" i="3" s="1"/>
  <c r="AH27" i="8"/>
  <c r="AP27" i="8"/>
  <c r="AP27" i="3" s="1"/>
  <c r="D28" i="8"/>
  <c r="D28" i="3" s="1"/>
  <c r="L28" i="8"/>
  <c r="T28" i="8"/>
  <c r="T28" i="3" s="1"/>
  <c r="AB28" i="8"/>
  <c r="AJ28" i="8"/>
  <c r="AJ28" i="3" s="1"/>
  <c r="J29" i="8"/>
  <c r="R29" i="8"/>
  <c r="Z29" i="8"/>
  <c r="AH29" i="8"/>
  <c r="AH29" i="3" s="1"/>
  <c r="AP29" i="8"/>
  <c r="AP29" i="3" s="1"/>
  <c r="H30" i="8"/>
  <c r="H30" i="3" s="1"/>
  <c r="P30" i="8"/>
  <c r="P30" i="3" s="1"/>
  <c r="X30" i="8"/>
  <c r="X30" i="3" s="1"/>
  <c r="AF30" i="8"/>
  <c r="AF30" i="3" s="1"/>
  <c r="AN30" i="8"/>
  <c r="F31" i="8"/>
  <c r="N31" i="8"/>
  <c r="N31" i="3" s="1"/>
  <c r="V31" i="8"/>
  <c r="V31" i="3" s="1"/>
  <c r="AD31" i="8"/>
  <c r="AL31" i="8"/>
  <c r="AL31" i="3" s="1"/>
  <c r="AA27" i="12"/>
  <c r="O36" i="12"/>
  <c r="D32" i="8"/>
  <c r="L32" i="8"/>
  <c r="L32" i="3" s="1"/>
  <c r="T32" i="8"/>
  <c r="F35" i="8"/>
  <c r="F35" i="3" s="1"/>
  <c r="N35" i="8"/>
  <c r="V35" i="8"/>
  <c r="H36" i="8"/>
  <c r="H36" i="3" s="1"/>
  <c r="P36" i="8"/>
  <c r="P36" i="3" s="1"/>
  <c r="AA24" i="12"/>
  <c r="Q34" i="12"/>
  <c r="C19" i="8"/>
  <c r="S19" i="8"/>
  <c r="AI19" i="8"/>
  <c r="Q20" i="8"/>
  <c r="Q20" i="3" s="1"/>
  <c r="AG20" i="8"/>
  <c r="AG20" i="3" s="1"/>
  <c r="O21" i="8"/>
  <c r="AE21" i="8"/>
  <c r="M22" i="8"/>
  <c r="M22" i="3" s="1"/>
  <c r="AC22" i="8"/>
  <c r="AC22" i="3" s="1"/>
  <c r="K23" i="8"/>
  <c r="AA23" i="8"/>
  <c r="AQ23" i="8"/>
  <c r="I24" i="8"/>
  <c r="I24" i="3" s="1"/>
  <c r="Y24" i="8"/>
  <c r="Y24" i="3" s="1"/>
  <c r="AO24" i="8"/>
  <c r="AO24" i="3" s="1"/>
  <c r="G25" i="8"/>
  <c r="W25" i="8"/>
  <c r="W25" i="3" s="1"/>
  <c r="AM25" i="8"/>
  <c r="E26" i="8"/>
  <c r="U26" i="8"/>
  <c r="U26" i="3" s="1"/>
  <c r="AK26" i="8"/>
  <c r="AK26" i="3" s="1"/>
  <c r="C27" i="8"/>
  <c r="S27" i="8"/>
  <c r="AI27" i="8"/>
  <c r="AI27" i="3" s="1"/>
  <c r="Q28" i="8"/>
  <c r="Q28" i="3" s="1"/>
  <c r="AG28" i="8"/>
  <c r="O29" i="8"/>
  <c r="AE29" i="8"/>
  <c r="AE29" i="3" s="1"/>
  <c r="M30" i="8"/>
  <c r="M30" i="3" s="1"/>
  <c r="AC30" i="8"/>
  <c r="K31" i="8"/>
  <c r="AA31" i="8"/>
  <c r="AA31" i="3" s="1"/>
  <c r="AP31" i="8"/>
  <c r="H32" i="8"/>
  <c r="H32" i="3" s="1"/>
  <c r="P32" i="8"/>
  <c r="G33" i="8"/>
  <c r="O33" i="8"/>
  <c r="O33" i="3" s="1"/>
  <c r="I34" i="8"/>
  <c r="Q34" i="8"/>
  <c r="J35" i="8"/>
  <c r="R35" i="8"/>
  <c r="D36" i="8"/>
  <c r="D36" i="3" s="1"/>
  <c r="L36" i="8"/>
  <c r="T36" i="8"/>
  <c r="T36" i="3" s="1"/>
  <c r="C37" i="8"/>
  <c r="C37" i="3" s="1"/>
  <c r="K37" i="8"/>
  <c r="K37" i="3" s="1"/>
  <c r="S37" i="8"/>
  <c r="E38" i="8"/>
  <c r="C39" i="8"/>
  <c r="C39" i="3" s="1"/>
  <c r="K39" i="8"/>
  <c r="I40" i="8"/>
  <c r="G41" i="8"/>
  <c r="G41" i="3" s="1"/>
  <c r="E42" i="8"/>
  <c r="E42" i="3" s="1"/>
  <c r="C43" i="8"/>
  <c r="K43" i="8"/>
  <c r="I44" i="8"/>
  <c r="G45" i="8"/>
  <c r="G45" i="3" s="1"/>
  <c r="E46" i="8"/>
  <c r="E46" i="3" s="1"/>
  <c r="C47" i="8"/>
  <c r="C47" i="3" s="1"/>
  <c r="K47" i="8"/>
  <c r="I48" i="8"/>
  <c r="I48" i="3" s="1"/>
  <c r="G49" i="8"/>
  <c r="G49" i="3" s="1"/>
  <c r="E50" i="8"/>
  <c r="L26" i="12"/>
  <c r="AC31" i="12"/>
  <c r="P35" i="12"/>
  <c r="G19" i="8"/>
  <c r="W19" i="8"/>
  <c r="W19" i="3" s="1"/>
  <c r="AM19" i="8"/>
  <c r="AM19" i="3" s="1"/>
  <c r="E20" i="8"/>
  <c r="E20" i="3" s="1"/>
  <c r="U20" i="8"/>
  <c r="AK20" i="8"/>
  <c r="AK20" i="3" s="1"/>
  <c r="C21" i="8"/>
  <c r="C21" i="3" s="1"/>
  <c r="S21" i="8"/>
  <c r="S21" i="3" s="1"/>
  <c r="AI21" i="8"/>
  <c r="Q22" i="8"/>
  <c r="Q22" i="3" s="1"/>
  <c r="AG22" i="8"/>
  <c r="AG22" i="3" s="1"/>
  <c r="O23" i="8"/>
  <c r="O23" i="3" s="1"/>
  <c r="AE23" i="8"/>
  <c r="M24" i="8"/>
  <c r="M24" i="3" s="1"/>
  <c r="AC24" i="8"/>
  <c r="AC24" i="3" s="1"/>
  <c r="K25" i="8"/>
  <c r="K25" i="3" s="1"/>
  <c r="AA25" i="8"/>
  <c r="AQ25" i="8"/>
  <c r="AQ25" i="3" s="1"/>
  <c r="I26" i="8"/>
  <c r="I26" i="3" s="1"/>
  <c r="Y26" i="8"/>
  <c r="Y26" i="3" s="1"/>
  <c r="AO26" i="8"/>
  <c r="G27" i="8"/>
  <c r="W27" i="8"/>
  <c r="W27" i="3" s="1"/>
  <c r="AM27" i="8"/>
  <c r="E28" i="8"/>
  <c r="U28" i="8"/>
  <c r="U28" i="3" s="1"/>
  <c r="AK28" i="8"/>
  <c r="AK28" i="3" s="1"/>
  <c r="C29" i="8"/>
  <c r="C29" i="3" s="1"/>
  <c r="S29" i="8"/>
  <c r="S29" i="3" s="1"/>
  <c r="AI29" i="8"/>
  <c r="Q30" i="8"/>
  <c r="Q30" i="3" s="1"/>
  <c r="AG30" i="8"/>
  <c r="O31" i="8"/>
  <c r="AE31" i="8"/>
  <c r="AE31" i="3" s="1"/>
  <c r="AQ31" i="8"/>
  <c r="AQ31" i="3" s="1"/>
  <c r="I32" i="8"/>
  <c r="Q32" i="8"/>
  <c r="J33" i="8"/>
  <c r="J33" i="3" s="1"/>
  <c r="R33" i="8"/>
  <c r="R33" i="3" s="1"/>
  <c r="D34" i="8"/>
  <c r="L34" i="8"/>
  <c r="T34" i="8"/>
  <c r="T34" i="3" s="1"/>
  <c r="C35" i="8"/>
  <c r="C35" i="3" s="1"/>
  <c r="K35" i="8"/>
  <c r="K35" i="3" s="1"/>
  <c r="S35" i="8"/>
  <c r="E36" i="8"/>
  <c r="M36" i="8"/>
  <c r="M36" i="3" s="1"/>
  <c r="U36" i="8"/>
  <c r="U36" i="3" s="1"/>
  <c r="F37" i="8"/>
  <c r="N37" i="8"/>
  <c r="N37" i="3" s="1"/>
  <c r="V37" i="8"/>
  <c r="V37" i="3" s="1"/>
  <c r="H38" i="8"/>
  <c r="F39" i="8"/>
  <c r="D40" i="8"/>
  <c r="J41" i="8"/>
  <c r="J41" i="3" s="1"/>
  <c r="H42" i="8"/>
  <c r="F43" i="8"/>
  <c r="D44" i="8"/>
  <c r="D44" i="3" s="1"/>
  <c r="J45" i="8"/>
  <c r="H46" i="8"/>
  <c r="F47" i="8"/>
  <c r="D48" i="8"/>
  <c r="J49" i="8"/>
  <c r="J49" i="3" s="1"/>
  <c r="H50" i="8"/>
  <c r="AL22" i="12"/>
  <c r="AQ28" i="12"/>
  <c r="Q37" i="12"/>
  <c r="F33" i="8"/>
  <c r="F33" i="3" s="1"/>
  <c r="N33" i="8"/>
  <c r="V33" i="8"/>
  <c r="V33" i="3" s="1"/>
  <c r="H34" i="8"/>
  <c r="H34" i="3" s="1"/>
  <c r="P34" i="8"/>
  <c r="P34" i="3" s="1"/>
  <c r="J37" i="8"/>
  <c r="R37" i="8"/>
  <c r="R37" i="3" s="1"/>
  <c r="D38" i="8"/>
  <c r="D38" i="3" s="1"/>
  <c r="J39" i="8"/>
  <c r="J39" i="3" s="1"/>
  <c r="H40" i="8"/>
  <c r="H40" i="3" s="1"/>
  <c r="F41" i="8"/>
  <c r="D42" i="8"/>
  <c r="D42" i="3" s="1"/>
  <c r="J43" i="8"/>
  <c r="H44" i="8"/>
  <c r="H44" i="3" s="1"/>
  <c r="F45" i="8"/>
  <c r="F45" i="3" s="1"/>
  <c r="D46" i="8"/>
  <c r="D46" i="3" s="1"/>
  <c r="J47" i="8"/>
  <c r="J47" i="3" s="1"/>
  <c r="H48" i="8"/>
  <c r="F49" i="8"/>
  <c r="F49" i="3" s="1"/>
  <c r="D50" i="8"/>
  <c r="D50" i="3" s="1"/>
  <c r="K45" i="8"/>
  <c r="K45" i="3" s="1"/>
  <c r="C41" i="8"/>
  <c r="C41" i="3" s="1"/>
  <c r="G37" i="8"/>
  <c r="G37" i="3" s="1"/>
  <c r="U34" i="8"/>
  <c r="U34" i="3" s="1"/>
  <c r="S33" i="8"/>
  <c r="S33" i="3" s="1"/>
  <c r="U32" i="8"/>
  <c r="AM31" i="8"/>
  <c r="AM31" i="3" s="1"/>
  <c r="G31" i="8"/>
  <c r="G31" i="3" s="1"/>
  <c r="Y30" i="8"/>
  <c r="Y30" i="3" s="1"/>
  <c r="AQ29" i="8"/>
  <c r="K29" i="8"/>
  <c r="K29" i="3" s="1"/>
  <c r="AC28" i="8"/>
  <c r="AC28" i="3" s="1"/>
  <c r="O27" i="8"/>
  <c r="O27" i="3" s="1"/>
  <c r="AG26" i="8"/>
  <c r="S25" i="8"/>
  <c r="S25" i="3" s="1"/>
  <c r="AK24" i="8"/>
  <c r="AK24" i="3" s="1"/>
  <c r="E24" i="8"/>
  <c r="E24" i="3" s="1"/>
  <c r="W23" i="8"/>
  <c r="AO22" i="8"/>
  <c r="AO22" i="3" s="1"/>
  <c r="I22" i="8"/>
  <c r="I22" i="3" s="1"/>
  <c r="AA21" i="8"/>
  <c r="AA21" i="3" s="1"/>
  <c r="M20" i="8"/>
  <c r="AE19" i="8"/>
  <c r="AE19" i="3" s="1"/>
  <c r="H50" i="12"/>
  <c r="J49" i="12"/>
  <c r="D44" i="12"/>
  <c r="F43" i="12"/>
  <c r="H42" i="12"/>
  <c r="J41" i="12"/>
  <c r="N37" i="12"/>
  <c r="L36" i="12"/>
  <c r="J35" i="12"/>
  <c r="H34" i="12"/>
  <c r="V33" i="12"/>
  <c r="F33" i="12"/>
  <c r="T32" i="12"/>
  <c r="D32" i="12"/>
  <c r="AL31" i="12"/>
  <c r="V31" i="12"/>
  <c r="F31" i="12"/>
  <c r="AN30" i="12"/>
  <c r="X30" i="12"/>
  <c r="D30" i="12"/>
  <c r="AL29" i="12"/>
  <c r="V29" i="12"/>
  <c r="F29" i="12"/>
  <c r="AN28" i="12"/>
  <c r="X28" i="12"/>
  <c r="H28" i="12"/>
  <c r="AP27" i="12"/>
  <c r="Z27" i="12"/>
  <c r="J27" i="12"/>
  <c r="AB26" i="12"/>
  <c r="H26" i="12"/>
  <c r="AP25" i="12"/>
  <c r="Z25" i="12"/>
  <c r="J25" i="12"/>
  <c r="AB24" i="12"/>
  <c r="L24" i="12"/>
  <c r="AD23" i="12"/>
  <c r="N23" i="12"/>
  <c r="AF22" i="12"/>
  <c r="P22" i="12"/>
  <c r="AH21" i="12"/>
  <c r="R21" i="12"/>
  <c r="AF20" i="12"/>
  <c r="P20" i="12"/>
  <c r="AH19" i="12"/>
  <c r="R19" i="12"/>
  <c r="I49" i="12"/>
  <c r="G48" i="12"/>
  <c r="E47" i="12"/>
  <c r="G46" i="12"/>
  <c r="E45" i="12"/>
  <c r="G44" i="12"/>
  <c r="I43" i="12"/>
  <c r="K42" i="12"/>
  <c r="I41" i="12"/>
  <c r="K40" i="12"/>
  <c r="I37" i="12"/>
  <c r="S36" i="12"/>
  <c r="M35" i="12"/>
  <c r="G34" i="12"/>
  <c r="U33" i="12"/>
  <c r="E33" i="12"/>
  <c r="K32" i="12"/>
  <c r="AQ30" i="12"/>
  <c r="M27" i="12"/>
  <c r="G26" i="12"/>
  <c r="I23" i="12"/>
  <c r="U19" i="12"/>
  <c r="K49" i="8"/>
  <c r="K49" i="3" s="1"/>
  <c r="I46" i="8"/>
  <c r="I46" i="3" s="1"/>
  <c r="E44" i="8"/>
  <c r="G39" i="8"/>
  <c r="G35" i="8"/>
  <c r="G35" i="3" s="1"/>
  <c r="E32" i="8"/>
  <c r="S31" i="8"/>
  <c r="S31" i="3" s="1"/>
  <c r="U30" i="8"/>
  <c r="U30" i="3" s="1"/>
  <c r="AA29" i="8"/>
  <c r="AA29" i="3" s="1"/>
  <c r="AO28" i="8"/>
  <c r="AO28" i="3" s="1"/>
  <c r="AQ27" i="8"/>
  <c r="AQ27" i="3" s="1"/>
  <c r="M26" i="8"/>
  <c r="M26" i="3" s="1"/>
  <c r="O25" i="8"/>
  <c r="O25" i="3" s="1"/>
  <c r="U24" i="8"/>
  <c r="U24" i="3" s="1"/>
  <c r="AI23" i="8"/>
  <c r="AI23" i="3" s="1"/>
  <c r="AK22" i="8"/>
  <c r="AQ21" i="8"/>
  <c r="AQ21" i="3" s="1"/>
  <c r="G21" i="8"/>
  <c r="G21" i="3" s="1"/>
  <c r="I20" i="8"/>
  <c r="O19" i="8"/>
  <c r="O19" i="3" s="1"/>
  <c r="L30" i="12"/>
  <c r="H48" i="12"/>
  <c r="F47" i="12"/>
  <c r="D46" i="12"/>
  <c r="F41" i="12"/>
  <c r="D40" i="12"/>
  <c r="F37" i="12"/>
  <c r="P36" i="12"/>
  <c r="V35" i="12"/>
  <c r="L34" i="12"/>
  <c r="R33" i="12"/>
  <c r="H32" i="12"/>
  <c r="AH31" i="12"/>
  <c r="N31" i="12"/>
  <c r="T30" i="12"/>
  <c r="Z29" i="12"/>
  <c r="AF28" i="12"/>
  <c r="L28" i="12"/>
  <c r="AL27" i="12"/>
  <c r="R27" i="12"/>
  <c r="X26" i="12"/>
  <c r="AD25" i="12"/>
  <c r="F25" i="12"/>
  <c r="AJ24" i="12"/>
  <c r="P24" i="12"/>
  <c r="AP23" i="12"/>
  <c r="V23" i="12"/>
  <c r="AB22" i="12"/>
  <c r="H22" i="12"/>
  <c r="AL21" i="12"/>
  <c r="N21" i="12"/>
  <c r="AN20" i="12"/>
  <c r="T20" i="12"/>
  <c r="Z19" i="12"/>
  <c r="F19" i="12"/>
  <c r="C50" i="12"/>
  <c r="C48" i="12"/>
  <c r="I45" i="12"/>
  <c r="C44" i="12"/>
  <c r="G40" i="12"/>
  <c r="E39" i="12"/>
  <c r="C38" i="12"/>
  <c r="E37" i="12"/>
  <c r="G36" i="12"/>
  <c r="Q35" i="12"/>
  <c r="S34" i="12"/>
  <c r="I33" i="12"/>
  <c r="AO31" i="12"/>
  <c r="K28" i="12"/>
  <c r="O26" i="12"/>
  <c r="G50" i="12"/>
  <c r="BN19" i="2"/>
  <c r="H47" i="12"/>
  <c r="D41" i="12"/>
  <c r="D47" i="12"/>
  <c r="F44" i="12"/>
  <c r="F36" i="12"/>
  <c r="F34" i="12"/>
  <c r="H33" i="12"/>
  <c r="J32" i="12"/>
  <c r="AB31" i="12"/>
  <c r="L31" i="12"/>
  <c r="AD30" i="12"/>
  <c r="N30" i="12"/>
  <c r="AF29" i="12"/>
  <c r="P29" i="12"/>
  <c r="AH28" i="12"/>
  <c r="R28" i="12"/>
  <c r="AJ27" i="12"/>
  <c r="T27" i="12"/>
  <c r="D27" i="12"/>
  <c r="AL26" i="12"/>
  <c r="V26" i="12"/>
  <c r="F26" i="12"/>
  <c r="AN25" i="12"/>
  <c r="X25" i="12"/>
  <c r="D25" i="12"/>
  <c r="AD24" i="12"/>
  <c r="J24" i="12"/>
  <c r="AN23" i="12"/>
  <c r="X23" i="12"/>
  <c r="AH22" i="12"/>
  <c r="R22" i="12"/>
  <c r="AN21" i="12"/>
  <c r="L21" i="12"/>
  <c r="V20" i="12"/>
  <c r="AF19" i="12"/>
  <c r="L19" i="12"/>
  <c r="O32" i="12"/>
  <c r="AG31" i="12"/>
  <c r="AI30" i="12"/>
  <c r="C30" i="12"/>
  <c r="Q29" i="12"/>
  <c r="AE28" i="12"/>
  <c r="I27" i="12"/>
  <c r="AA26" i="12"/>
  <c r="AK25" i="12"/>
  <c r="M25" i="12"/>
  <c r="AE24" i="12"/>
  <c r="E23" i="12"/>
  <c r="AI22" i="12"/>
  <c r="G22" i="12"/>
  <c r="AG21" i="12"/>
  <c r="I21" i="12"/>
  <c r="AM20" i="12"/>
  <c r="K20" i="12"/>
  <c r="AG19" i="12"/>
  <c r="I50" i="8"/>
  <c r="I50" i="3" s="1"/>
  <c r="C49" i="8"/>
  <c r="C49" i="3" s="1"/>
  <c r="E48" i="8"/>
  <c r="E48" i="3" s="1"/>
  <c r="G43" i="8"/>
  <c r="I38" i="8"/>
  <c r="Q36" i="8"/>
  <c r="Q36" i="3" s="1"/>
  <c r="K33" i="8"/>
  <c r="K33" i="3" s="1"/>
  <c r="C31" i="8"/>
  <c r="I30" i="8"/>
  <c r="I30" i="3" s="1"/>
  <c r="W29" i="8"/>
  <c r="W29" i="3" s="1"/>
  <c r="Y28" i="8"/>
  <c r="Y28" i="3" s="1"/>
  <c r="AE27" i="8"/>
  <c r="AE27" i="3" s="1"/>
  <c r="C25" i="8"/>
  <c r="C25" i="3" s="1"/>
  <c r="Q24" i="8"/>
  <c r="Q24" i="3" s="1"/>
  <c r="S23" i="8"/>
  <c r="S23" i="3" s="1"/>
  <c r="Y22" i="8"/>
  <c r="AM21" i="8"/>
  <c r="AM21" i="3" s="1"/>
  <c r="AO20" i="8"/>
  <c r="AO20" i="3" s="1"/>
  <c r="K19" i="8"/>
  <c r="K19" i="3" s="1"/>
  <c r="F49" i="12"/>
  <c r="D48" i="12"/>
  <c r="J43" i="12"/>
  <c r="D42" i="12"/>
  <c r="V37" i="12"/>
  <c r="H36" i="12"/>
  <c r="R35" i="12"/>
  <c r="D34" i="12"/>
  <c r="N33" i="12"/>
  <c r="AD31" i="12"/>
  <c r="J31" i="12"/>
  <c r="AJ30" i="12"/>
  <c r="P30" i="12"/>
  <c r="AP29" i="12"/>
  <c r="R29" i="12"/>
  <c r="AB28" i="12"/>
  <c r="D28" i="12"/>
  <c r="AH27" i="12"/>
  <c r="N27" i="12"/>
  <c r="AN26" i="12"/>
  <c r="T26" i="12"/>
  <c r="V25" i="12"/>
  <c r="AF24" i="12"/>
  <c r="H24" i="12"/>
  <c r="AL23" i="12"/>
  <c r="R23" i="12"/>
  <c r="X22" i="12"/>
  <c r="D22" i="12"/>
  <c r="AD21" i="12"/>
  <c r="J21" i="12"/>
  <c r="AJ20" i="12"/>
  <c r="L20" i="12"/>
  <c r="AP19" i="12"/>
  <c r="V19" i="12"/>
  <c r="K46" i="12"/>
  <c r="E41" i="12"/>
  <c r="C40" i="12"/>
  <c r="C36" i="12"/>
  <c r="I35" i="12"/>
  <c r="O34" i="12"/>
  <c r="U31" i="12"/>
  <c r="AG27" i="12"/>
  <c r="AI24" i="12"/>
  <c r="AI20" i="12"/>
  <c r="AZ41" i="12"/>
  <c r="AT54" i="12"/>
  <c r="AZ57" i="12"/>
  <c r="AR61" i="12"/>
  <c r="AR65" i="12"/>
  <c r="AW49" i="12"/>
  <c r="AU56" i="12"/>
  <c r="AS61" i="12"/>
  <c r="AI26" i="12"/>
  <c r="S32" i="12"/>
  <c r="C34" i="12"/>
  <c r="U35" i="12"/>
  <c r="M37" i="12"/>
  <c r="I39" i="12"/>
  <c r="C42" i="12"/>
  <c r="K44" i="12"/>
  <c r="AY46" i="12"/>
  <c r="K50" i="12"/>
  <c r="AW61" i="12"/>
  <c r="AW63" i="12"/>
  <c r="N19" i="12"/>
  <c r="H20" i="12"/>
  <c r="F21" i="12"/>
  <c r="AT21" i="12"/>
  <c r="AN22" i="12"/>
  <c r="AH23" i="12"/>
  <c r="X24" i="12"/>
  <c r="R25" i="12"/>
  <c r="P26" i="12"/>
  <c r="F27" i="12"/>
  <c r="AX27" i="12"/>
  <c r="AR28" i="12"/>
  <c r="AH29" i="12"/>
  <c r="AF30" i="12"/>
  <c r="Z31" i="12"/>
  <c r="P32" i="12"/>
  <c r="AX33" i="12"/>
  <c r="N35" i="12"/>
  <c r="AR36" i="12"/>
  <c r="H38" i="12"/>
  <c r="AV40" i="12"/>
  <c r="AZ42" i="12"/>
  <c r="J45" i="12"/>
  <c r="AX47" i="12"/>
  <c r="D50" i="12"/>
  <c r="AX53" i="12"/>
  <c r="AV58" i="12"/>
  <c r="AV62" i="12"/>
  <c r="AZ66" i="12"/>
  <c r="AS49" i="12"/>
  <c r="AX55" i="12"/>
  <c r="Y20" i="8"/>
  <c r="E22" i="8"/>
  <c r="AM23" i="8"/>
  <c r="AM23" i="3" s="1"/>
  <c r="AE25" i="8"/>
  <c r="AE25" i="3" s="1"/>
  <c r="K27" i="8"/>
  <c r="K27" i="3" s="1"/>
  <c r="AS28" i="8"/>
  <c r="AS28" i="3" s="1"/>
  <c r="AK30" i="8"/>
  <c r="AK30" i="3" s="1"/>
  <c r="M32" i="8"/>
  <c r="M32" i="3" s="1"/>
  <c r="E34" i="8"/>
  <c r="E34" i="3" s="1"/>
  <c r="O37" i="8"/>
  <c r="AS40" i="8"/>
  <c r="AS40" i="3" s="1"/>
  <c r="AW42" i="8"/>
  <c r="AW42" i="3" s="1"/>
  <c r="C45" i="8"/>
  <c r="C45" i="3" s="1"/>
  <c r="AS52" i="8"/>
  <c r="AS62" i="8"/>
  <c r="I19" i="12"/>
  <c r="G20" i="12"/>
  <c r="AU20" i="12"/>
  <c r="Y21" i="12"/>
  <c r="C22" i="12"/>
  <c r="AM22" i="12"/>
  <c r="Y23" i="12"/>
  <c r="O24" i="12"/>
  <c r="Q25" i="12"/>
  <c r="C26" i="12"/>
  <c r="AQ26" i="12"/>
  <c r="C28" i="12"/>
  <c r="E29" i="12"/>
  <c r="AS29" i="12"/>
  <c r="AY30" i="12"/>
  <c r="AS31" i="12"/>
  <c r="H19" i="12"/>
  <c r="AJ19" i="12"/>
  <c r="N20" i="12"/>
  <c r="AP20" i="12"/>
  <c r="P21" i="12"/>
  <c r="J22" i="12"/>
  <c r="AD22" i="12"/>
  <c r="AB23" i="12"/>
  <c r="AV23" i="12"/>
  <c r="Z24" i="12"/>
  <c r="H25" i="12"/>
  <c r="AF25" i="12"/>
  <c r="AZ25" i="12"/>
  <c r="Z26" i="12"/>
  <c r="AT26" i="12"/>
  <c r="P27" i="12"/>
  <c r="AN27" i="12"/>
  <c r="J28" i="12"/>
  <c r="AD28" i="12"/>
  <c r="D29" i="12"/>
  <c r="X29" i="12"/>
  <c r="AR29" i="12"/>
  <c r="R30" i="12"/>
  <c r="AL30" i="12"/>
  <c r="H31" i="12"/>
  <c r="AF31" i="12"/>
  <c r="AZ31" i="12"/>
  <c r="V32" i="12"/>
  <c r="D33" i="12"/>
  <c r="J34" i="12"/>
  <c r="V36" i="12"/>
  <c r="D37" i="12"/>
  <c r="AZ37" i="12"/>
  <c r="AT40" i="12"/>
  <c r="AR41" i="12"/>
  <c r="D45" i="12"/>
  <c r="AT48" i="12"/>
  <c r="P37" i="12"/>
  <c r="J50" i="12"/>
  <c r="AX54" i="12"/>
  <c r="AV55" i="12"/>
  <c r="AX62" i="12"/>
  <c r="AX68" i="12"/>
  <c r="AW51" i="12"/>
  <c r="AS57" i="12"/>
  <c r="AU62" i="12"/>
  <c r="AS19" i="12"/>
  <c r="E27" i="12"/>
  <c r="AU32" i="12"/>
  <c r="K34" i="12"/>
  <c r="AS35" i="12"/>
  <c r="U37" i="12"/>
  <c r="AW39" i="12"/>
  <c r="G42" i="12"/>
  <c r="AU44" i="12"/>
  <c r="I47" i="12"/>
  <c r="AU50" i="12"/>
  <c r="AY62" i="12"/>
  <c r="AD19" i="12"/>
  <c r="X20" i="12"/>
  <c r="V21" i="12"/>
  <c r="L22" i="12"/>
  <c r="F23" i="12"/>
  <c r="AX23" i="12"/>
  <c r="AN24" i="12"/>
  <c r="AH25" i="12"/>
  <c r="AF26" i="12"/>
  <c r="V27" i="12"/>
  <c r="P28" i="12"/>
  <c r="J29" i="12"/>
  <c r="AX29" i="12"/>
  <c r="AV30" i="12"/>
  <c r="AP31" i="12"/>
  <c r="AZ32" i="12"/>
  <c r="P34" i="12"/>
  <c r="AX35" i="12"/>
  <c r="J37" i="12"/>
  <c r="F39" i="12"/>
  <c r="AT41" i="12"/>
  <c r="AX43" i="12"/>
  <c r="H46" i="12"/>
  <c r="AV48" i="12"/>
  <c r="AZ50" i="12"/>
  <c r="AT55" i="12"/>
  <c r="AR60" i="12"/>
  <c r="AR64" i="12"/>
  <c r="AV68" i="12"/>
  <c r="AC20" i="8"/>
  <c r="AC20" i="3" s="1"/>
  <c r="U22" i="8"/>
  <c r="U22" i="3" s="1"/>
  <c r="AY23" i="8"/>
  <c r="AY23" i="3" s="1"/>
  <c r="AI25" i="8"/>
  <c r="AA27" i="8"/>
  <c r="G29" i="8"/>
  <c r="G29" i="3" s="1"/>
  <c r="AO30" i="8"/>
  <c r="AO30" i="3" s="1"/>
  <c r="M34" i="8"/>
  <c r="AY37" i="8"/>
  <c r="AY37" i="3" s="1"/>
  <c r="K41" i="8"/>
  <c r="K41" i="3" s="1"/>
  <c r="AY53" i="8"/>
  <c r="AY53" i="3" s="1"/>
  <c r="AW64" i="8"/>
  <c r="AW43" i="3" l="1"/>
  <c r="AW39" i="3"/>
  <c r="AW37" i="3"/>
  <c r="AV26" i="3"/>
  <c r="AX19" i="3"/>
  <c r="AZ61" i="3"/>
  <c r="AV55" i="3"/>
  <c r="AR49" i="3"/>
  <c r="AZ37" i="3"/>
  <c r="AV23" i="3"/>
  <c r="AT20" i="3"/>
  <c r="AA27" i="3"/>
  <c r="AS62" i="3"/>
  <c r="I38" i="3"/>
  <c r="AK22" i="3"/>
  <c r="G39" i="3"/>
  <c r="F41" i="3"/>
  <c r="D48" i="3"/>
  <c r="D40" i="3"/>
  <c r="E36" i="3"/>
  <c r="AI29" i="3"/>
  <c r="G27" i="3"/>
  <c r="K47" i="3"/>
  <c r="I44" i="3"/>
  <c r="E38" i="3"/>
  <c r="J35" i="3"/>
  <c r="G33" i="3"/>
  <c r="G25" i="3"/>
  <c r="AQ23" i="3"/>
  <c r="V35" i="3"/>
  <c r="F31" i="3"/>
  <c r="Z29" i="3"/>
  <c r="AB28" i="3"/>
  <c r="J27" i="3"/>
  <c r="R25" i="3"/>
  <c r="AH23" i="3"/>
  <c r="D22" i="3"/>
  <c r="C50" i="3"/>
  <c r="G48" i="3"/>
  <c r="K46" i="3"/>
  <c r="I43" i="3"/>
  <c r="C42" i="3"/>
  <c r="G40" i="3"/>
  <c r="Q37" i="3"/>
  <c r="S36" i="3"/>
  <c r="C36" i="3"/>
  <c r="I35" i="3"/>
  <c r="K34" i="3"/>
  <c r="S32" i="3"/>
  <c r="C32" i="3"/>
  <c r="AC31" i="3"/>
  <c r="AM30" i="3"/>
  <c r="G30" i="3"/>
  <c r="Q29" i="3"/>
  <c r="AQ28" i="3"/>
  <c r="K28" i="3"/>
  <c r="E27" i="3"/>
  <c r="O26" i="3"/>
  <c r="AI24" i="3"/>
  <c r="AC23" i="3"/>
  <c r="M23" i="3"/>
  <c r="AM22" i="3"/>
  <c r="W22" i="3"/>
  <c r="G22" i="3"/>
  <c r="Q21" i="3"/>
  <c r="AQ20" i="3"/>
  <c r="K20" i="3"/>
  <c r="U19" i="3"/>
  <c r="Z31" i="3"/>
  <c r="AL29" i="3"/>
  <c r="P28" i="3"/>
  <c r="V27" i="3"/>
  <c r="X24" i="3"/>
  <c r="AS68" i="3"/>
  <c r="AW24" i="3"/>
  <c r="AS32" i="3"/>
  <c r="J45" i="3"/>
  <c r="R35" i="3"/>
  <c r="AP31" i="3"/>
  <c r="T32" i="3"/>
  <c r="Z25" i="3"/>
  <c r="V21" i="3"/>
  <c r="AJ20" i="3"/>
  <c r="E47" i="3"/>
  <c r="E39" i="3"/>
  <c r="U33" i="3"/>
  <c r="E29" i="3"/>
  <c r="I19" i="3"/>
  <c r="AH31" i="3"/>
  <c r="X28" i="3"/>
  <c r="AF24" i="3"/>
  <c r="AH19" i="3"/>
  <c r="H31" i="3"/>
  <c r="X29" i="3"/>
  <c r="AN27" i="3"/>
  <c r="X23" i="3"/>
  <c r="H19" i="3"/>
  <c r="AR66" i="3"/>
  <c r="AT45" i="3"/>
  <c r="AR42" i="3"/>
  <c r="AR36" i="3"/>
  <c r="AV58" i="3"/>
  <c r="AT35" i="3"/>
  <c r="AR60" i="3"/>
  <c r="AZ52" i="3"/>
  <c r="AW61" i="3"/>
  <c r="AW53" i="3"/>
  <c r="Y20" i="3"/>
  <c r="E32" i="3"/>
  <c r="J43" i="3"/>
  <c r="H50" i="3"/>
  <c r="H46" i="3"/>
  <c r="H42" i="3"/>
  <c r="H38" i="3"/>
  <c r="D34" i="3"/>
  <c r="I32" i="3"/>
  <c r="AG30" i="3"/>
  <c r="AM27" i="3"/>
  <c r="C43" i="3"/>
  <c r="K39" i="3"/>
  <c r="I34" i="3"/>
  <c r="AC30" i="3"/>
  <c r="AG28" i="3"/>
  <c r="C27" i="3"/>
  <c r="AM25" i="3"/>
  <c r="K23" i="3"/>
  <c r="O21" i="3"/>
  <c r="S19" i="3"/>
  <c r="J29" i="3"/>
  <c r="L28" i="3"/>
  <c r="X26" i="3"/>
  <c r="AH25" i="3"/>
  <c r="H24" i="3"/>
  <c r="L20" i="3"/>
  <c r="K42" i="3"/>
  <c r="E41" i="3"/>
  <c r="C38" i="3"/>
  <c r="I37" i="3"/>
  <c r="Q35" i="3"/>
  <c r="S34" i="3"/>
  <c r="C34" i="3"/>
  <c r="Y29" i="3"/>
  <c r="AI28" i="3"/>
  <c r="S28" i="3"/>
  <c r="AC27" i="3"/>
  <c r="M27" i="3"/>
  <c r="G26" i="3"/>
  <c r="Q25" i="3"/>
  <c r="AI20" i="3"/>
  <c r="AC19" i="3"/>
  <c r="J31" i="3"/>
  <c r="L30" i="3"/>
  <c r="V29" i="3"/>
  <c r="AF28" i="3"/>
  <c r="AD25" i="3"/>
  <c r="AN24" i="3"/>
  <c r="N23" i="3"/>
  <c r="X22" i="3"/>
  <c r="AH21" i="3"/>
  <c r="D45" i="3"/>
  <c r="D41" i="3"/>
  <c r="P37" i="3"/>
  <c r="F36" i="3"/>
  <c r="V32" i="3"/>
  <c r="AB31" i="3"/>
  <c r="L31" i="3"/>
  <c r="AL30" i="3"/>
  <c r="AL26" i="3"/>
  <c r="V26" i="3"/>
  <c r="F26" i="3"/>
  <c r="AL24" i="3"/>
  <c r="F24" i="3"/>
  <c r="AB23" i="3"/>
  <c r="F22" i="3"/>
  <c r="L21" i="3"/>
  <c r="AL20" i="3"/>
  <c r="V20" i="3"/>
  <c r="F20" i="3"/>
  <c r="L19" i="3"/>
  <c r="AS60" i="3"/>
  <c r="AX59" i="3"/>
  <c r="AT49" i="3"/>
  <c r="AR46" i="3"/>
  <c r="AZ42" i="3"/>
  <c r="AZ36" i="3"/>
  <c r="AT59" i="3"/>
  <c r="AX55" i="3"/>
  <c r="AZ48" i="3"/>
  <c r="AX45" i="3"/>
  <c r="AT39" i="3"/>
  <c r="AU35" i="3"/>
  <c r="AS66" i="3"/>
  <c r="AW48" i="3"/>
  <c r="AW40" i="3"/>
  <c r="AR68" i="3"/>
  <c r="AZ60" i="3"/>
  <c r="AX53" i="3"/>
  <c r="AX23" i="3"/>
  <c r="AV20" i="3"/>
  <c r="AU66" i="3"/>
  <c r="AU64" i="3"/>
  <c r="AU62" i="3"/>
  <c r="AU60" i="3"/>
  <c r="AU58" i="3"/>
  <c r="AU56" i="3"/>
  <c r="AU54" i="3"/>
  <c r="AU50" i="3"/>
  <c r="AU42" i="3"/>
  <c r="AU40" i="3"/>
  <c r="AU32" i="3"/>
  <c r="AU28" i="3"/>
  <c r="AZ30" i="3"/>
  <c r="AT23" i="3"/>
  <c r="AV65" i="3"/>
  <c r="AT62" i="3"/>
  <c r="AR59" i="3"/>
  <c r="AV57" i="3"/>
  <c r="AT54" i="3"/>
  <c r="AX52" i="3"/>
  <c r="AV49" i="3"/>
  <c r="AR43" i="3"/>
  <c r="AV41" i="3"/>
  <c r="AX36" i="3"/>
  <c r="AR35" i="3"/>
  <c r="AT30" i="3"/>
  <c r="AV25" i="3"/>
  <c r="AD23" i="3"/>
  <c r="H22" i="3"/>
  <c r="R21" i="3"/>
  <c r="P20" i="3"/>
  <c r="Z19" i="3"/>
  <c r="F46" i="3"/>
  <c r="F44" i="3"/>
  <c r="P35" i="3"/>
  <c r="F34" i="3"/>
  <c r="N30" i="3"/>
  <c r="D29" i="3"/>
  <c r="AJ27" i="3"/>
  <c r="T27" i="3"/>
  <c r="D25" i="3"/>
  <c r="AD24" i="3"/>
  <c r="AJ21" i="3"/>
  <c r="AD20" i="3"/>
  <c r="AJ19" i="3"/>
  <c r="AS44" i="3"/>
  <c r="AW66" i="3"/>
  <c r="AY25" i="3"/>
  <c r="AY41" i="3"/>
  <c r="AT63" i="3"/>
  <c r="AR58" i="3"/>
  <c r="AX47" i="3"/>
  <c r="AR38" i="3"/>
  <c r="AW68" i="3"/>
  <c r="AS64" i="3"/>
  <c r="AR54" i="3"/>
  <c r="AV50" i="3"/>
  <c r="AT47" i="3"/>
  <c r="AR44" i="3"/>
  <c r="AT33" i="3"/>
  <c r="AW22" i="3"/>
  <c r="AZ64" i="3"/>
  <c r="AT61" i="3"/>
  <c r="AX57" i="3"/>
  <c r="AW54" i="3"/>
  <c r="AS46" i="3"/>
  <c r="AS42" i="3"/>
  <c r="AS38" i="3"/>
  <c r="AZ34" i="3"/>
  <c r="AX31" i="3"/>
  <c r="AY27" i="3"/>
  <c r="AV64" i="3"/>
  <c r="AT57" i="3"/>
  <c r="AR52" i="3"/>
  <c r="AV30" i="3"/>
  <c r="AX27" i="3"/>
  <c r="AZ24" i="3"/>
  <c r="AR22" i="3"/>
  <c r="AS67" i="3"/>
  <c r="AS65" i="3"/>
  <c r="AS61" i="3"/>
  <c r="AS59" i="3"/>
  <c r="AS57" i="3"/>
  <c r="AS51" i="3"/>
  <c r="AS49" i="3"/>
  <c r="AS43" i="3"/>
  <c r="AS41" i="3"/>
  <c r="AS37" i="3"/>
  <c r="AS33" i="3"/>
  <c r="AS31" i="3"/>
  <c r="AS29" i="3"/>
  <c r="AS25" i="3"/>
  <c r="AS23" i="3"/>
  <c r="AS21" i="3"/>
  <c r="AT66" i="3"/>
  <c r="AX64" i="3"/>
  <c r="AT58" i="3"/>
  <c r="AV53" i="3"/>
  <c r="AZ51" i="3"/>
  <c r="AR47" i="3"/>
  <c r="AZ43" i="3"/>
  <c r="AT42" i="3"/>
  <c r="AR39" i="3"/>
  <c r="AV37" i="3"/>
  <c r="AZ35" i="3"/>
  <c r="AX32" i="3"/>
  <c r="AR31" i="3"/>
  <c r="AV29" i="3"/>
  <c r="AZ27" i="3"/>
  <c r="AX24" i="3"/>
  <c r="AV21" i="3"/>
  <c r="AW64" i="3"/>
  <c r="M34" i="3"/>
  <c r="AI25" i="3"/>
  <c r="AS52" i="3"/>
  <c r="O37" i="3"/>
  <c r="E22" i="3"/>
  <c r="Y22" i="3"/>
  <c r="C31" i="3"/>
  <c r="G43" i="3"/>
  <c r="I20" i="3"/>
  <c r="E44" i="3"/>
  <c r="M20" i="3"/>
  <c r="W23" i="3"/>
  <c r="AG26" i="3"/>
  <c r="AQ29" i="3"/>
  <c r="U32" i="3"/>
  <c r="H48" i="3"/>
  <c r="J37" i="3"/>
  <c r="N33" i="3"/>
  <c r="F47" i="3"/>
  <c r="F43" i="3"/>
  <c r="F39" i="3"/>
  <c r="F37" i="3"/>
  <c r="S35" i="3"/>
  <c r="L34" i="3"/>
  <c r="Q32" i="3"/>
  <c r="O31" i="3"/>
  <c r="E28" i="3"/>
  <c r="AO26" i="3"/>
  <c r="AA25" i="3"/>
  <c r="AE23" i="3"/>
  <c r="AI21" i="3"/>
  <c r="U20" i="3"/>
  <c r="G19" i="3"/>
  <c r="E50" i="3"/>
  <c r="K43" i="3"/>
  <c r="I40" i="3"/>
  <c r="S37" i="3"/>
  <c r="L36" i="3"/>
  <c r="Q34" i="3"/>
  <c r="P32" i="3"/>
  <c r="K31" i="3"/>
  <c r="O29" i="3"/>
  <c r="S27" i="3"/>
  <c r="E26" i="3"/>
  <c r="AA23" i="3"/>
  <c r="AE21" i="3"/>
  <c r="AI19" i="3"/>
  <c r="N35" i="3"/>
  <c r="D32" i="3"/>
  <c r="AD31" i="3"/>
  <c r="AN30" i="3"/>
  <c r="R29" i="3"/>
  <c r="AH27" i="3"/>
  <c r="AP25" i="3"/>
  <c r="J25" i="3"/>
  <c r="L24" i="3"/>
  <c r="AB22" i="3"/>
  <c r="AL21" i="3"/>
  <c r="F21" i="3"/>
  <c r="T20" i="3"/>
  <c r="AD19" i="3"/>
  <c r="I49" i="3"/>
  <c r="C48" i="3"/>
  <c r="G46" i="3"/>
  <c r="K44" i="3"/>
  <c r="I41" i="3"/>
  <c r="C40" i="3"/>
  <c r="M37" i="3"/>
  <c r="O36" i="3"/>
  <c r="U35" i="3"/>
  <c r="G34" i="3"/>
  <c r="O32" i="3"/>
  <c r="AO31" i="3"/>
  <c r="Y31" i="3"/>
  <c r="AI30" i="3"/>
  <c r="C30" i="3"/>
  <c r="AC29" i="3"/>
  <c r="M29" i="3"/>
  <c r="AG27" i="3"/>
  <c r="AQ26" i="3"/>
  <c r="AA26" i="3"/>
  <c r="AK25" i="3"/>
  <c r="E25" i="3"/>
  <c r="AE24" i="3"/>
  <c r="O24" i="3"/>
  <c r="AO23" i="3"/>
  <c r="Y23" i="3"/>
  <c r="I23" i="3"/>
  <c r="AI22" i="3"/>
  <c r="C22" i="3"/>
  <c r="M21" i="3"/>
  <c r="AM20" i="3"/>
  <c r="G20" i="3"/>
  <c r="AG19" i="3"/>
  <c r="Q19" i="3"/>
  <c r="T30" i="3"/>
  <c r="AN28" i="3"/>
  <c r="H28" i="3"/>
  <c r="N27" i="3"/>
  <c r="AB26" i="3"/>
  <c r="F25" i="3"/>
  <c r="P24" i="3"/>
  <c r="V23" i="3"/>
  <c r="AF22" i="3"/>
  <c r="J21" i="3"/>
  <c r="H20" i="3"/>
  <c r="R19" i="3"/>
  <c r="H49" i="3"/>
  <c r="H47" i="3"/>
  <c r="H41" i="3"/>
  <c r="H39" i="3"/>
  <c r="D37" i="3"/>
  <c r="L35" i="3"/>
  <c r="R34" i="3"/>
  <c r="D33" i="3"/>
  <c r="J32" i="3"/>
  <c r="AF31" i="3"/>
  <c r="AF29" i="3"/>
  <c r="P29" i="3"/>
  <c r="J28" i="3"/>
  <c r="P27" i="3"/>
  <c r="Z26" i="3"/>
  <c r="AF25" i="3"/>
  <c r="Z24" i="3"/>
  <c r="J24" i="3"/>
  <c r="P23" i="3"/>
  <c r="AP22" i="3"/>
  <c r="J22" i="3"/>
  <c r="P21" i="3"/>
  <c r="AP20" i="3"/>
  <c r="AF19" i="3"/>
  <c r="AS26" i="3"/>
  <c r="AS54" i="3"/>
  <c r="AW26" i="3"/>
  <c r="AW50" i="3"/>
  <c r="AU27" i="3"/>
  <c r="AU43" i="3"/>
  <c r="AY55" i="3"/>
  <c r="AX67" i="3"/>
  <c r="AV62" i="3"/>
  <c r="AT55" i="3"/>
  <c r="AR50" i="3"/>
  <c r="AZ46" i="3"/>
  <c r="AX43" i="3"/>
  <c r="AV40" i="3"/>
  <c r="AT37" i="3"/>
  <c r="AV32" i="3"/>
  <c r="AT67" i="3"/>
  <c r="AX63" i="3"/>
  <c r="AW60" i="3"/>
  <c r="AS56" i="3"/>
  <c r="AX49" i="3"/>
  <c r="AV46" i="3"/>
  <c r="AT43" i="3"/>
  <c r="AR40" i="3"/>
  <c r="AV36" i="3"/>
  <c r="AZ32" i="3"/>
  <c r="AY29" i="3"/>
  <c r="AY67" i="3"/>
  <c r="AR64" i="3"/>
  <c r="AV60" i="3"/>
  <c r="AZ56" i="3"/>
  <c r="AT53" i="3"/>
  <c r="AU49" i="3"/>
  <c r="AU45" i="3"/>
  <c r="AU41" i="3"/>
  <c r="AU37" i="3"/>
  <c r="AR34" i="3"/>
  <c r="AS30" i="3"/>
  <c r="AS22" i="3"/>
  <c r="AX61" i="3"/>
  <c r="AV56" i="3"/>
  <c r="AX35" i="3"/>
  <c r="AX29" i="3"/>
  <c r="AZ26" i="3"/>
  <c r="AR24" i="3"/>
  <c r="AT21" i="3"/>
  <c r="AY68" i="3"/>
  <c r="AY66" i="3"/>
  <c r="AY64" i="3"/>
  <c r="AY62" i="3"/>
  <c r="AY60" i="3"/>
  <c r="AY58" i="3"/>
  <c r="AY56" i="3"/>
  <c r="AY54" i="3"/>
  <c r="AY52" i="3"/>
  <c r="AY50" i="3"/>
  <c r="AY48" i="3"/>
  <c r="AY46" i="3"/>
  <c r="AY44" i="3"/>
  <c r="AY42" i="3"/>
  <c r="AY40" i="3"/>
  <c r="AY38" i="3"/>
  <c r="AY36" i="3"/>
  <c r="AY34" i="3"/>
  <c r="AY32" i="3"/>
  <c r="AY30" i="3"/>
  <c r="AY28" i="3"/>
  <c r="AY22" i="3"/>
  <c r="AV28" i="3"/>
  <c r="AV24" i="3"/>
  <c r="AZ20" i="3"/>
  <c r="AZ65" i="3"/>
  <c r="AT64" i="3"/>
  <c r="AX62" i="3"/>
  <c r="AR61" i="3"/>
  <c r="AV59" i="3"/>
  <c r="AZ57" i="3"/>
  <c r="AT56" i="3"/>
  <c r="AX54" i="3"/>
  <c r="AR53" i="3"/>
  <c r="AV51" i="3"/>
  <c r="AZ49" i="3"/>
  <c r="AT48" i="3"/>
  <c r="AX46" i="3"/>
  <c r="AR45" i="3"/>
  <c r="AV43" i="3"/>
  <c r="AZ41" i="3"/>
  <c r="AT40" i="3"/>
  <c r="AX38" i="3"/>
  <c r="AR37" i="3"/>
  <c r="AV35" i="3"/>
  <c r="AZ33" i="3"/>
  <c r="AT32" i="3"/>
  <c r="AX30" i="3"/>
  <c r="AR29" i="3"/>
  <c r="AV27" i="3"/>
  <c r="AZ25" i="3"/>
  <c r="AT24" i="3"/>
  <c r="AX22" i="3"/>
  <c r="AR21" i="3"/>
  <c r="AV19" i="3"/>
</calcChain>
</file>

<file path=xl/sharedStrings.xml><?xml version="1.0" encoding="utf-8"?>
<sst xmlns="http://schemas.openxmlformats.org/spreadsheetml/2006/main" count="194" uniqueCount="99">
  <si>
    <t>Start</t>
  </si>
  <si>
    <t>Sessions</t>
  </si>
  <si>
    <t>N =</t>
  </si>
  <si>
    <t>ItPerSess</t>
  </si>
  <si>
    <t>MOVE</t>
  </si>
  <si>
    <t>Y</t>
  </si>
  <si>
    <t>delta</t>
  </si>
  <si>
    <t>RStar</t>
  </si>
  <si>
    <t xml:space="preserve"> </t>
  </si>
  <si>
    <t>r</t>
  </si>
  <si>
    <t>Kstar</t>
  </si>
  <si>
    <t>KSeed</t>
  </si>
  <si>
    <t>RSeed</t>
  </si>
  <si>
    <t>alpha</t>
  </si>
  <si>
    <t>K</t>
  </si>
  <si>
    <t>means</t>
  </si>
  <si>
    <t>NAGUPANDE HUNTING</t>
  </si>
  <si>
    <t>Main Invasion (Zimba)</t>
  </si>
  <si>
    <t>Nagupande</t>
  </si>
  <si>
    <t>Mzola Forest</t>
  </si>
  <si>
    <t>East</t>
  </si>
  <si>
    <t>Step</t>
  </si>
  <si>
    <t>number</t>
  </si>
  <si>
    <t>NB!!!  In this run the value</t>
  </si>
  <si>
    <t>of delta in the hunted area</t>
  </si>
  <si>
    <t>is a function of the step</t>
  </si>
  <si>
    <t>number - i.e. the time after</t>
  </si>
  <si>
    <t>hunting started</t>
  </si>
  <si>
    <t>This sheet is used to provide the steady state starting values.</t>
  </si>
  <si>
    <t>It is created by running the programme with zero added</t>
  </si>
  <si>
    <t>mortality for at least a year, to let the system "equilibrate".</t>
  </si>
  <si>
    <t>At the moment we just copy the values from the "Move"</t>
  </si>
  <si>
    <t xml:space="preserve">or the "N" sheet at the end of the run.  </t>
  </si>
  <si>
    <t>recreate this sheet each time we chnage any input parameters</t>
  </si>
  <si>
    <t>other than the imposed detah rate].</t>
  </si>
  <si>
    <t>[Must be a cleverer way of doing this.  Note that we ought to</t>
  </si>
  <si>
    <t>I</t>
  </si>
  <si>
    <t>sigma</t>
  </si>
  <si>
    <t>A</t>
  </si>
  <si>
    <t>FNA</t>
  </si>
  <si>
    <t>N(t)</t>
  </si>
  <si>
    <t>N</t>
  </si>
  <si>
    <t>P(starves in I days)</t>
  </si>
  <si>
    <t>Mazola Forest</t>
  </si>
  <si>
    <t>P(starve)</t>
  </si>
  <si>
    <t>in ox FR</t>
  </si>
  <si>
    <t>blocks</t>
  </si>
  <si>
    <t>Arithmetic</t>
  </si>
  <si>
    <t>N(t+1)</t>
  </si>
  <si>
    <t>Per day; not month</t>
  </si>
  <si>
    <t>Cattle introduced</t>
  </si>
  <si>
    <t>qy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</si>
  <si>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</si>
  <si>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</si>
  <si>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</si>
  <si>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</si>
  <si>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</si>
  <si>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</si>
  <si>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</si>
  <si>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</si>
  <si>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</si>
  <si>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</si>
  <si>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</si>
  <si>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</si>
  <si>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Year</t>
  </si>
  <si>
    <t>Months</t>
  </si>
  <si>
    <t>Days</t>
  </si>
  <si>
    <t>Mon</t>
  </si>
  <si>
    <t>Cattle removed</t>
  </si>
  <si>
    <t>Numbers</t>
  </si>
  <si>
    <t>remain</t>
  </si>
  <si>
    <t>(Gradually)</t>
  </si>
  <si>
    <t>Zimba</t>
  </si>
  <si>
    <t>Hunting suspended</t>
  </si>
  <si>
    <t>Hunting reduced in Nagu</t>
  </si>
  <si>
    <t>Hunting outside Nagu</t>
  </si>
  <si>
    <t>Keep these columns</t>
  </si>
  <si>
    <t>Inputs for mammal growth</t>
  </si>
  <si>
    <t>and immi/emigration</t>
  </si>
  <si>
    <t>rstar</t>
  </si>
  <si>
    <t>IS</t>
  </si>
  <si>
    <t>General inputs</t>
  </si>
  <si>
    <t>imm</t>
  </si>
  <si>
    <t>per DAY</t>
  </si>
  <si>
    <t>(per day)</t>
  </si>
  <si>
    <t>r-Kill</t>
  </si>
  <si>
    <t>r-k1</t>
  </si>
  <si>
    <t>r-k2</t>
  </si>
  <si>
    <t>r-k3</t>
  </si>
  <si>
    <t>k1</t>
  </si>
  <si>
    <t>k2</t>
  </si>
  <si>
    <t>k3</t>
  </si>
  <si>
    <t>Kstr1</t>
  </si>
  <si>
    <t>Kstr2</t>
  </si>
  <si>
    <t>Kstr3</t>
  </si>
  <si>
    <t>Kill/day</t>
  </si>
  <si>
    <t>Game+</t>
  </si>
  <si>
    <t>cattle</t>
  </si>
  <si>
    <t>of HOSTS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</si>
</sst>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2" formatCode="0.0"/>
    <numFmt numFmtId="173" formatCode="0.000"/>
    <numFmt numFmtId="174" formatCode="0.0000"/>
    <numFmt numFmtId="175" formatCode="0.00000"/>
    <numFmt numFmtId="176" formatCode="0.000000"/>
  </numFmts>
  <fonts count="8" x14ac:knownFonts="1">
    <font>
      <sz val="10"/>
      <name val="Arial"/>
    </font>
    <font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33"/>
      <name val="Arial"/>
      <family val="2"/>
    </font>
    <font>
      <sz val="8"/>
      <color indexed="11"/>
      <name val="Arial"/>
      <family val="2"/>
    </font>
    <font>
      <sz val="8"/>
      <color indexed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4">
    <xf numFmtId="0" fontId="0" fillId="0" borderId="0" xfId="0"/>
    <xf numFmtId="0" fontId="1" fillId="0" borderId="0" xfId="0" applyFont="1"/>
    <xf numFmtId="173" fontId="2" fillId="0" borderId="0" xfId="0" applyNumberFormat="1" applyFont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2" fillId="2" borderId="1" xfId="0" applyFont="1" applyFill="1" applyBorder="1"/>
    <xf numFmtId="0" fontId="2" fillId="0" borderId="1" xfId="0" applyFont="1" applyBorder="1"/>
    <xf numFmtId="0" fontId="2" fillId="0" borderId="0" xfId="0" applyFont="1" applyBorder="1"/>
    <xf numFmtId="0" fontId="2" fillId="3" borderId="2" xfId="0" applyFont="1" applyFill="1" applyBorder="1"/>
    <xf numFmtId="0" fontId="2" fillId="3" borderId="3" xfId="0" applyFont="1" applyFill="1" applyBorder="1"/>
    <xf numFmtId="0" fontId="2" fillId="3" borderId="4" xfId="0" applyFont="1" applyFill="1" applyBorder="1"/>
    <xf numFmtId="0" fontId="2" fillId="2" borderId="5" xfId="0" applyFont="1" applyFill="1" applyBorder="1"/>
    <xf numFmtId="0" fontId="2" fillId="3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2" fillId="4" borderId="1" xfId="0" applyFont="1" applyFill="1" applyBorder="1" applyAlignment="1">
      <alignment horizontal="center"/>
    </xf>
    <xf numFmtId="0" fontId="2" fillId="2" borderId="3" xfId="0" applyFont="1" applyFill="1" applyBorder="1"/>
    <xf numFmtId="0" fontId="2" fillId="5" borderId="4" xfId="0" applyFont="1" applyFill="1" applyBorder="1"/>
    <xf numFmtId="0" fontId="2" fillId="5" borderId="6" xfId="0" applyFont="1" applyFill="1" applyBorder="1"/>
    <xf numFmtId="0" fontId="2" fillId="5" borderId="5" xfId="0" applyFont="1" applyFill="1" applyBorder="1"/>
    <xf numFmtId="0" fontId="7" fillId="5" borderId="2" xfId="0" applyFont="1" applyFill="1" applyBorder="1"/>
    <xf numFmtId="0" fontId="7" fillId="5" borderId="3" xfId="0" applyFont="1" applyFill="1" applyBorder="1"/>
    <xf numFmtId="0" fontId="2" fillId="3" borderId="5" xfId="0" applyFont="1" applyFill="1" applyBorder="1"/>
    <xf numFmtId="0" fontId="2" fillId="6" borderId="1" xfId="0" applyFont="1" applyFill="1" applyBorder="1"/>
    <xf numFmtId="0" fontId="2" fillId="2" borderId="4" xfId="0" applyFont="1" applyFill="1" applyBorder="1"/>
    <xf numFmtId="0" fontId="2" fillId="2" borderId="6" xfId="0" applyFont="1" applyFill="1" applyBorder="1"/>
    <xf numFmtId="0" fontId="2" fillId="2" borderId="2" xfId="0" applyFont="1" applyFill="1" applyBorder="1"/>
    <xf numFmtId="0" fontId="2" fillId="0" borderId="0" xfId="0" applyFont="1" applyAlignment="1"/>
    <xf numFmtId="0" fontId="2" fillId="7" borderId="0" xfId="0" applyFont="1" applyFill="1"/>
    <xf numFmtId="0" fontId="0" fillId="5" borderId="0" xfId="0" applyFill="1"/>
    <xf numFmtId="0" fontId="2" fillId="5" borderId="5" xfId="0" applyFont="1" applyFill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2" fillId="5" borderId="11" xfId="0" applyFont="1" applyFill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0" borderId="0" xfId="0" applyFont="1" applyFill="1" applyBorder="1"/>
    <xf numFmtId="0" fontId="1" fillId="0" borderId="0" xfId="0" applyFont="1" applyFill="1" applyBorder="1"/>
    <xf numFmtId="0" fontId="7" fillId="0" borderId="0" xfId="0" applyFont="1" applyFill="1" applyBorder="1"/>
    <xf numFmtId="0" fontId="0" fillId="0" borderId="0" xfId="0" applyFill="1" applyBorder="1"/>
    <xf numFmtId="0" fontId="7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72" fontId="5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5" borderId="5" xfId="0" applyFont="1" applyFill="1" applyBorder="1"/>
    <xf numFmtId="0" fontId="1" fillId="5" borderId="10" xfId="0" applyFont="1" applyFill="1" applyBorder="1"/>
    <xf numFmtId="0" fontId="1" fillId="5" borderId="11" xfId="0" applyFont="1" applyFill="1" applyBorder="1"/>
    <xf numFmtId="0" fontId="1" fillId="3" borderId="12" xfId="0" applyFont="1" applyFill="1" applyBorder="1"/>
    <xf numFmtId="0" fontId="1" fillId="3" borderId="0" xfId="0" applyFont="1" applyFill="1" applyBorder="1"/>
    <xf numFmtId="0" fontId="1" fillId="3" borderId="13" xfId="0" applyFont="1" applyFill="1" applyBorder="1"/>
    <xf numFmtId="0" fontId="1" fillId="8" borderId="12" xfId="0" applyFont="1" applyFill="1" applyBorder="1"/>
    <xf numFmtId="0" fontId="1" fillId="8" borderId="0" xfId="0" applyFont="1" applyFill="1" applyBorder="1"/>
    <xf numFmtId="0" fontId="1" fillId="8" borderId="13" xfId="0" applyFont="1" applyFill="1" applyBorder="1"/>
    <xf numFmtId="0" fontId="1" fillId="3" borderId="5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1" fillId="3" borderId="9" xfId="0" applyFont="1" applyFill="1" applyBorder="1"/>
    <xf numFmtId="0" fontId="2" fillId="2" borderId="14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5" borderId="0" xfId="0" applyFont="1" applyFill="1"/>
    <xf numFmtId="0" fontId="2" fillId="7" borderId="2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/>
    </xf>
    <xf numFmtId="0" fontId="2" fillId="7" borderId="7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2" fillId="9" borderId="12" xfId="0" applyFont="1" applyFill="1" applyBorder="1" applyAlignment="1">
      <alignment horizontal="center"/>
    </xf>
    <xf numFmtId="0" fontId="2" fillId="9" borderId="0" xfId="0" applyFont="1" applyFill="1" applyBorder="1" applyAlignment="1">
      <alignment horizontal="center"/>
    </xf>
    <xf numFmtId="0" fontId="2" fillId="9" borderId="13" xfId="0" applyFont="1" applyFill="1" applyBorder="1" applyAlignment="1">
      <alignment horizontal="center"/>
    </xf>
    <xf numFmtId="0" fontId="2" fillId="9" borderId="7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7" borderId="9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5" borderId="13" xfId="0" applyFont="1" applyFill="1" applyBorder="1" applyAlignment="1">
      <alignment horizontal="center"/>
    </xf>
    <xf numFmtId="0" fontId="2" fillId="9" borderId="5" xfId="0" applyFont="1" applyFill="1" applyBorder="1" applyAlignment="1">
      <alignment horizontal="center"/>
    </xf>
    <xf numFmtId="0" fontId="2" fillId="9" borderId="10" xfId="0" applyFont="1" applyFill="1" applyBorder="1" applyAlignment="1">
      <alignment horizontal="center"/>
    </xf>
    <xf numFmtId="0" fontId="2" fillId="9" borderId="11" xfId="0" applyFont="1" applyFill="1" applyBorder="1" applyAlignment="1">
      <alignment horizontal="center"/>
    </xf>
    <xf numFmtId="0" fontId="2" fillId="9" borderId="5" xfId="0" applyFont="1" applyFill="1" applyBorder="1"/>
    <xf numFmtId="0" fontId="2" fillId="9" borderId="2" xfId="0" applyFont="1" applyFill="1" applyBorder="1"/>
    <xf numFmtId="0" fontId="2" fillId="9" borderId="3" xfId="0" applyFont="1" applyFill="1" applyBorder="1"/>
    <xf numFmtId="0" fontId="2" fillId="9" borderId="4" xfId="0" applyFont="1" applyFill="1" applyBorder="1"/>
    <xf numFmtId="0" fontId="2" fillId="9" borderId="6" xfId="0" applyFont="1" applyFill="1" applyBorder="1"/>
    <xf numFmtId="0" fontId="1" fillId="6" borderId="14" xfId="0" applyFont="1" applyFill="1" applyBorder="1"/>
    <xf numFmtId="0" fontId="1" fillId="6" borderId="4" xfId="0" applyFont="1" applyFill="1" applyBorder="1"/>
    <xf numFmtId="0" fontId="1" fillId="6" borderId="6" xfId="0" applyFont="1" applyFill="1" applyBorder="1"/>
    <xf numFmtId="0" fontId="2" fillId="3" borderId="5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6" borderId="0" xfId="0" applyFont="1" applyFill="1"/>
    <xf numFmtId="174" fontId="7" fillId="0" borderId="0" xfId="0" applyNumberFormat="1" applyFont="1"/>
    <xf numFmtId="0" fontId="2" fillId="6" borderId="5" xfId="0" applyFont="1" applyFill="1" applyBorder="1"/>
    <xf numFmtId="0" fontId="2" fillId="6" borderId="10" xfId="0" applyFont="1" applyFill="1" applyBorder="1" applyAlignment="1">
      <alignment horizontal="center"/>
    </xf>
    <xf numFmtId="0" fontId="2" fillId="6" borderId="11" xfId="0" applyFont="1" applyFill="1" applyBorder="1"/>
    <xf numFmtId="0" fontId="2" fillId="6" borderId="7" xfId="0" applyFont="1" applyFill="1" applyBorder="1"/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/>
    <xf numFmtId="0" fontId="2" fillId="8" borderId="12" xfId="0" applyFont="1" applyFill="1" applyBorder="1"/>
    <xf numFmtId="0" fontId="2" fillId="8" borderId="0" xfId="0" applyFont="1" applyFill="1" applyBorder="1"/>
    <xf numFmtId="0" fontId="2" fillId="8" borderId="13" xfId="0" applyFont="1" applyFill="1" applyBorder="1"/>
    <xf numFmtId="0" fontId="2" fillId="8" borderId="7" xfId="0" applyFont="1" applyFill="1" applyBorder="1"/>
    <xf numFmtId="0" fontId="2" fillId="8" borderId="8" xfId="0" applyFont="1" applyFill="1" applyBorder="1"/>
    <xf numFmtId="0" fontId="2" fillId="8" borderId="9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2" fillId="2" borderId="12" xfId="0" applyFont="1" applyFill="1" applyBorder="1"/>
    <xf numFmtId="0" fontId="2" fillId="2" borderId="0" xfId="0" applyFont="1" applyFill="1" applyBorder="1"/>
    <xf numFmtId="0" fontId="2" fillId="2" borderId="13" xfId="0" applyFont="1" applyFill="1" applyBorder="1"/>
    <xf numFmtId="0" fontId="2" fillId="2" borderId="7" xfId="0" applyFont="1" applyFill="1" applyBorder="1"/>
    <xf numFmtId="0" fontId="2" fillId="2" borderId="8" xfId="0" applyFont="1" applyFill="1" applyBorder="1"/>
    <xf numFmtId="0" fontId="2" fillId="2" borderId="9" xfId="0" applyFont="1" applyFill="1" applyBorder="1"/>
    <xf numFmtId="0" fontId="2" fillId="8" borderId="5" xfId="0" applyFont="1" applyFill="1" applyBorder="1"/>
    <xf numFmtId="0" fontId="2" fillId="8" borderId="10" xfId="0" applyFont="1" applyFill="1" applyBorder="1"/>
    <xf numFmtId="0" fontId="2" fillId="8" borderId="11" xfId="0" applyFont="1" applyFill="1" applyBorder="1"/>
    <xf numFmtId="0" fontId="2" fillId="8" borderId="0" xfId="0" applyFont="1" applyFill="1"/>
    <xf numFmtId="0" fontId="2" fillId="7" borderId="10" xfId="0" applyFont="1" applyFill="1" applyBorder="1" applyAlignment="1">
      <alignment horizontal="center"/>
    </xf>
    <xf numFmtId="0" fontId="2" fillId="10" borderId="5" xfId="0" applyFont="1" applyFill="1" applyBorder="1"/>
    <xf numFmtId="0" fontId="2" fillId="10" borderId="10" xfId="0" applyFont="1" applyFill="1" applyBorder="1"/>
    <xf numFmtId="0" fontId="2" fillId="10" borderId="11" xfId="0" applyFont="1" applyFill="1" applyBorder="1"/>
    <xf numFmtId="0" fontId="2" fillId="10" borderId="12" xfId="0" applyFont="1" applyFill="1" applyBorder="1"/>
    <xf numFmtId="0" fontId="2" fillId="10" borderId="0" xfId="0" applyFont="1" applyFill="1" applyBorder="1"/>
    <xf numFmtId="0" fontId="2" fillId="10" borderId="13" xfId="0" applyFont="1" applyFill="1" applyBorder="1"/>
    <xf numFmtId="0" fontId="2" fillId="10" borderId="7" xfId="0" applyFont="1" applyFill="1" applyBorder="1"/>
    <xf numFmtId="0" fontId="2" fillId="10" borderId="8" xfId="0" applyFont="1" applyFill="1" applyBorder="1"/>
    <xf numFmtId="0" fontId="2" fillId="10" borderId="9" xfId="0" applyFont="1" applyFill="1" applyBorder="1"/>
    <xf numFmtId="0" fontId="2" fillId="6" borderId="14" xfId="0" applyFont="1" applyFill="1" applyBorder="1"/>
    <xf numFmtId="0" fontId="2" fillId="0" borderId="0" xfId="0" applyFont="1" applyAlignment="1">
      <alignment horizontal="right"/>
    </xf>
    <xf numFmtId="0" fontId="2" fillId="7" borderId="0" xfId="0" applyFont="1" applyFill="1" applyBorder="1" applyAlignment="1">
      <alignment horizontal="center"/>
    </xf>
    <xf numFmtId="174" fontId="2" fillId="0" borderId="0" xfId="0" applyNumberFormat="1" applyFont="1"/>
    <xf numFmtId="0" fontId="2" fillId="0" borderId="0" xfId="0" applyFont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72" fontId="2" fillId="0" borderId="0" xfId="0" applyNumberFormat="1" applyFont="1" applyFill="1" applyBorder="1" applyAlignment="1">
      <alignment horizontal="right"/>
    </xf>
    <xf numFmtId="172" fontId="0" fillId="0" borderId="0" xfId="0" applyNumberFormat="1"/>
    <xf numFmtId="174" fontId="2" fillId="3" borderId="2" xfId="0" applyNumberFormat="1" applyFont="1" applyFill="1" applyBorder="1" applyAlignment="1">
      <alignment horizontal="center"/>
    </xf>
    <xf numFmtId="174" fontId="7" fillId="0" borderId="0" xfId="0" applyNumberFormat="1" applyFont="1" applyBorder="1" applyAlignment="1">
      <alignment horizontal="center"/>
    </xf>
    <xf numFmtId="174" fontId="7" fillId="0" borderId="0" xfId="0" applyNumberFormat="1" applyFont="1" applyFill="1" applyBorder="1" applyAlignment="1">
      <alignment horizontal="center"/>
    </xf>
    <xf numFmtId="174" fontId="7" fillId="10" borderId="0" xfId="0" applyNumberFormat="1" applyFont="1" applyFill="1" applyBorder="1" applyAlignment="1">
      <alignment horizontal="center"/>
    </xf>
    <xf numFmtId="174" fontId="7" fillId="3" borderId="0" xfId="0" applyNumberFormat="1" applyFont="1" applyFill="1" applyBorder="1" applyAlignment="1">
      <alignment horizontal="center"/>
    </xf>
    <xf numFmtId="0" fontId="2" fillId="3" borderId="0" xfId="0" applyFont="1" applyFill="1"/>
    <xf numFmtId="0" fontId="2" fillId="7" borderId="15" xfId="0" applyFont="1" applyFill="1" applyBorder="1"/>
    <xf numFmtId="0" fontId="2" fillId="7" borderId="2" xfId="0" applyFont="1" applyFill="1" applyBorder="1"/>
    <xf numFmtId="0" fontId="2" fillId="7" borderId="3" xfId="0" applyFont="1" applyFill="1" applyBorder="1"/>
    <xf numFmtId="0" fontId="4" fillId="0" borderId="0" xfId="0" applyFont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1" fontId="7" fillId="0" borderId="0" xfId="0" applyNumberFormat="1" applyFont="1" applyFill="1" applyBorder="1" applyAlignment="1">
      <alignment horizontal="center"/>
    </xf>
    <xf numFmtId="1" fontId="7" fillId="0" borderId="0" xfId="0" applyNumberFormat="1" applyFont="1" applyBorder="1" applyAlignment="1">
      <alignment horizontal="center"/>
    </xf>
    <xf numFmtId="1" fontId="7" fillId="10" borderId="0" xfId="0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2" fillId="4" borderId="5" xfId="0" applyFont="1" applyFill="1" applyBorder="1"/>
    <xf numFmtId="0" fontId="2" fillId="0" borderId="10" xfId="0" applyFont="1" applyFill="1" applyBorder="1" applyAlignment="1">
      <alignment horizontal="center"/>
    </xf>
    <xf numFmtId="0" fontId="2" fillId="4" borderId="11" xfId="0" applyFont="1" applyFill="1" applyBorder="1"/>
    <xf numFmtId="0" fontId="2" fillId="5" borderId="12" xfId="0" applyFont="1" applyFill="1" applyBorder="1"/>
    <xf numFmtId="0" fontId="2" fillId="0" borderId="0" xfId="0" applyFont="1" applyBorder="1" applyAlignment="1">
      <alignment horizontal="center"/>
    </xf>
    <xf numFmtId="0" fontId="2" fillId="6" borderId="0" xfId="0" applyFont="1" applyFill="1" applyBorder="1" applyAlignment="1">
      <alignment horizontal="center"/>
    </xf>
    <xf numFmtId="0" fontId="2" fillId="4" borderId="13" xfId="0" applyFont="1" applyFill="1" applyBorder="1"/>
    <xf numFmtId="0" fontId="2" fillId="4" borderId="12" xfId="0" applyFont="1" applyFill="1" applyBorder="1"/>
    <xf numFmtId="0" fontId="7" fillId="8" borderId="12" xfId="0" applyFont="1" applyFill="1" applyBorder="1"/>
    <xf numFmtId="0" fontId="2" fillId="0" borderId="8" xfId="0" applyFont="1" applyBorder="1" applyAlignment="1">
      <alignment horizontal="center"/>
    </xf>
    <xf numFmtId="0" fontId="2" fillId="6" borderId="8" xfId="0" applyFont="1" applyFill="1" applyBorder="1"/>
    <xf numFmtId="174" fontId="7" fillId="0" borderId="10" xfId="0" applyNumberFormat="1" applyFont="1" applyFill="1" applyBorder="1" applyAlignment="1">
      <alignment horizontal="center"/>
    </xf>
    <xf numFmtId="174" fontId="7" fillId="6" borderId="0" xfId="0" applyNumberFormat="1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1" fontId="7" fillId="0" borderId="10" xfId="0" applyNumberFormat="1" applyFont="1" applyFill="1" applyBorder="1" applyAlignment="1">
      <alignment horizontal="center"/>
    </xf>
    <xf numFmtId="1" fontId="7" fillId="6" borderId="0" xfId="0" applyNumberFormat="1" applyFont="1" applyFill="1" applyBorder="1" applyAlignment="1">
      <alignment horizontal="center"/>
    </xf>
    <xf numFmtId="1" fontId="2" fillId="6" borderId="0" xfId="0" applyNumberFormat="1" applyFont="1" applyFill="1" applyBorder="1" applyAlignment="1">
      <alignment horizontal="center"/>
    </xf>
    <xf numFmtId="1" fontId="2" fillId="11" borderId="0" xfId="0" applyNumberFormat="1" applyFont="1" applyFill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1" fontId="2" fillId="3" borderId="0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174" fontId="2" fillId="6" borderId="0" xfId="0" applyNumberFormat="1" applyFont="1" applyFill="1" applyBorder="1"/>
    <xf numFmtId="174" fontId="2" fillId="11" borderId="0" xfId="0" applyNumberFormat="1" applyFont="1" applyFill="1" applyBorder="1"/>
    <xf numFmtId="174" fontId="2" fillId="0" borderId="0" xfId="0" applyNumberFormat="1" applyFont="1" applyBorder="1"/>
    <xf numFmtId="174" fontId="2" fillId="3" borderId="0" xfId="0" applyNumberFormat="1" applyFont="1" applyFill="1" applyBorder="1"/>
    <xf numFmtId="174" fontId="2" fillId="3" borderId="15" xfId="0" applyNumberFormat="1" applyFont="1" applyFill="1" applyBorder="1" applyAlignment="1">
      <alignment horizontal="center"/>
    </xf>
    <xf numFmtId="174" fontId="7" fillId="0" borderId="5" xfId="0" applyNumberFormat="1" applyFont="1" applyBorder="1"/>
    <xf numFmtId="174" fontId="7" fillId="0" borderId="12" xfId="0" applyNumberFormat="1" applyFont="1" applyBorder="1"/>
    <xf numFmtId="174" fontId="7" fillId="6" borderId="12" xfId="0" applyNumberFormat="1" applyFont="1" applyFill="1" applyBorder="1"/>
    <xf numFmtId="174" fontId="7" fillId="3" borderId="12" xfId="0" applyNumberFormat="1" applyFont="1" applyFill="1" applyBorder="1"/>
    <xf numFmtId="174" fontId="7" fillId="11" borderId="12" xfId="0" applyNumberFormat="1" applyFont="1" applyFill="1" applyBorder="1"/>
    <xf numFmtId="0" fontId="2" fillId="12" borderId="2" xfId="0" applyFont="1" applyFill="1" applyBorder="1"/>
    <xf numFmtId="0" fontId="2" fillId="12" borderId="3" xfId="0" applyFont="1" applyFill="1" applyBorder="1"/>
    <xf numFmtId="174" fontId="7" fillId="0" borderId="5" xfId="0" applyNumberFormat="1" applyFont="1" applyFill="1" applyBorder="1" applyAlignment="1">
      <alignment horizontal="center"/>
    </xf>
    <xf numFmtId="174" fontId="7" fillId="0" borderId="12" xfId="0" applyNumberFormat="1" applyFont="1" applyFill="1" applyBorder="1" applyAlignment="1">
      <alignment horizontal="center"/>
    </xf>
    <xf numFmtId="174" fontId="7" fillId="5" borderId="12" xfId="0" applyNumberFormat="1" applyFont="1" applyFill="1" applyBorder="1"/>
    <xf numFmtId="1" fontId="7" fillId="5" borderId="0" xfId="0" applyNumberFormat="1" applyFont="1" applyFill="1" applyBorder="1" applyAlignment="1">
      <alignment horizontal="center"/>
    </xf>
    <xf numFmtId="174" fontId="7" fillId="5" borderId="0" xfId="0" applyNumberFormat="1" applyFont="1" applyFill="1" applyBorder="1" applyAlignment="1">
      <alignment horizontal="center"/>
    </xf>
    <xf numFmtId="174" fontId="7" fillId="5" borderId="0" xfId="0" applyNumberFormat="1" applyFont="1" applyFill="1"/>
    <xf numFmtId="174" fontId="2" fillId="5" borderId="5" xfId="0" applyNumberFormat="1" applyFont="1" applyFill="1" applyBorder="1"/>
    <xf numFmtId="174" fontId="2" fillId="5" borderId="11" xfId="0" applyNumberFormat="1" applyFont="1" applyFill="1" applyBorder="1"/>
    <xf numFmtId="174" fontId="2" fillId="5" borderId="7" xfId="0" applyNumberFormat="1" applyFont="1" applyFill="1" applyBorder="1" applyAlignment="1">
      <alignment horizontal="center"/>
    </xf>
    <xf numFmtId="174" fontId="2" fillId="5" borderId="9" xfId="0" applyNumberFormat="1" applyFont="1" applyFill="1" applyBorder="1" applyAlignment="1">
      <alignment horizontal="center"/>
    </xf>
    <xf numFmtId="174" fontId="2" fillId="2" borderId="5" xfId="0" applyNumberFormat="1" applyFont="1" applyFill="1" applyBorder="1"/>
    <xf numFmtId="174" fontId="2" fillId="2" borderId="11" xfId="0" applyNumberFormat="1" applyFont="1" applyFill="1" applyBorder="1"/>
    <xf numFmtId="0" fontId="2" fillId="7" borderId="0" xfId="0" applyFont="1" applyFill="1" applyBorder="1"/>
    <xf numFmtId="0" fontId="2" fillId="7" borderId="13" xfId="0" applyFont="1" applyFill="1" applyBorder="1"/>
    <xf numFmtId="0" fontId="2" fillId="7" borderId="12" xfId="0" applyFont="1" applyFill="1" applyBorder="1" applyAlignment="1">
      <alignment horizontal="center"/>
    </xf>
    <xf numFmtId="0" fontId="2" fillId="7" borderId="8" xfId="0" applyFont="1" applyFill="1" applyBorder="1"/>
    <xf numFmtId="0" fontId="2" fillId="7" borderId="9" xfId="0" applyFont="1" applyFill="1" applyBorder="1"/>
    <xf numFmtId="0" fontId="2" fillId="10" borderId="12" xfId="0" applyFont="1" applyFill="1" applyBorder="1" applyAlignment="1">
      <alignment horizontal="center"/>
    </xf>
    <xf numFmtId="1" fontId="2" fillId="5" borderId="11" xfId="0" applyNumberFormat="1" applyFont="1" applyFill="1" applyBorder="1"/>
    <xf numFmtId="1" fontId="2" fillId="5" borderId="9" xfId="0" applyNumberFormat="1" applyFont="1" applyFill="1" applyBorder="1"/>
    <xf numFmtId="1" fontId="2" fillId="3" borderId="11" xfId="0" applyNumberFormat="1" applyFont="1" applyFill="1" applyBorder="1"/>
    <xf numFmtId="1" fontId="2" fillId="3" borderId="9" xfId="0" applyNumberFormat="1" applyFont="1" applyFill="1" applyBorder="1"/>
    <xf numFmtId="0" fontId="2" fillId="6" borderId="6" xfId="0" applyFont="1" applyFill="1" applyBorder="1"/>
    <xf numFmtId="0" fontId="2" fillId="3" borderId="7" xfId="0" applyFont="1" applyFill="1" applyBorder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10" xfId="0" applyFont="1" applyFill="1" applyBorder="1"/>
    <xf numFmtId="0" fontId="2" fillId="6" borderId="12" xfId="0" applyFont="1" applyFill="1" applyBorder="1"/>
    <xf numFmtId="0" fontId="2" fillId="6" borderId="0" xfId="0" applyFont="1" applyFill="1" applyBorder="1"/>
    <xf numFmtId="0" fontId="2" fillId="6" borderId="13" xfId="0" applyFont="1" applyFill="1" applyBorder="1"/>
    <xf numFmtId="0" fontId="0" fillId="0" borderId="9" xfId="0" applyBorder="1" applyAlignment="1"/>
    <xf numFmtId="0" fontId="2" fillId="3" borderId="9" xfId="0" applyFont="1" applyFill="1" applyBorder="1"/>
    <xf numFmtId="0" fontId="2" fillId="5" borderId="14" xfId="0" applyFont="1" applyFill="1" applyBorder="1"/>
    <xf numFmtId="1" fontId="2" fillId="2" borderId="11" xfId="0" applyNumberFormat="1" applyFont="1" applyFill="1" applyBorder="1"/>
    <xf numFmtId="1" fontId="2" fillId="2" borderId="9" xfId="0" applyNumberFormat="1" applyFont="1" applyFill="1" applyBorder="1"/>
    <xf numFmtId="0" fontId="2" fillId="5" borderId="5" xfId="0" applyFont="1" applyFill="1" applyBorder="1" applyAlignment="1">
      <alignment horizontal="centerContinuous"/>
    </xf>
    <xf numFmtId="0" fontId="2" fillId="5" borderId="11" xfId="0" applyFont="1" applyFill="1" applyBorder="1" applyAlignment="1">
      <alignment horizontal="centerContinuous"/>
    </xf>
    <xf numFmtId="0" fontId="2" fillId="5" borderId="9" xfId="0" applyFont="1" applyFill="1" applyBorder="1"/>
    <xf numFmtId="0" fontId="2" fillId="3" borderId="5" xfId="0" applyFont="1" applyFill="1" applyBorder="1" applyAlignment="1">
      <alignment horizontal="centerContinuous"/>
    </xf>
    <xf numFmtId="0" fontId="2" fillId="3" borderId="11" xfId="0" applyFont="1" applyFill="1" applyBorder="1" applyAlignment="1">
      <alignment horizontal="centerContinuous"/>
    </xf>
    <xf numFmtId="0" fontId="2" fillId="9" borderId="5" xfId="0" applyFont="1" applyFill="1" applyBorder="1" applyAlignment="1">
      <alignment horizontal="centerContinuous"/>
    </xf>
    <xf numFmtId="0" fontId="2" fillId="9" borderId="11" xfId="0" applyFont="1" applyFill="1" applyBorder="1" applyAlignment="1">
      <alignment horizontal="centerContinuous"/>
    </xf>
    <xf numFmtId="0" fontId="2" fillId="9" borderId="9" xfId="0" applyFont="1" applyFill="1" applyBorder="1"/>
    <xf numFmtId="0" fontId="2" fillId="2" borderId="5" xfId="0" applyFont="1" applyFill="1" applyBorder="1" applyAlignment="1">
      <alignment horizontal="centerContinuous"/>
    </xf>
    <xf numFmtId="0" fontId="2" fillId="2" borderId="11" xfId="0" applyFont="1" applyFill="1" applyBorder="1" applyAlignment="1">
      <alignment horizontal="centerContinuous"/>
    </xf>
    <xf numFmtId="0" fontId="2" fillId="3" borderId="11" xfId="0" applyFont="1" applyFill="1" applyBorder="1"/>
    <xf numFmtId="0" fontId="2" fillId="3" borderId="9" xfId="0" applyFont="1" applyFill="1" applyBorder="1" applyAlignment="1">
      <alignment horizontal="center"/>
    </xf>
    <xf numFmtId="174" fontId="2" fillId="3" borderId="5" xfId="0" applyNumberFormat="1" applyFont="1" applyFill="1" applyBorder="1"/>
    <xf numFmtId="174" fontId="2" fillId="3" borderId="10" xfId="0" applyNumberFormat="1" applyFont="1" applyFill="1" applyBorder="1"/>
    <xf numFmtId="174" fontId="2" fillId="3" borderId="7" xfId="0" applyNumberFormat="1" applyFont="1" applyFill="1" applyBorder="1"/>
    <xf numFmtId="174" fontId="2" fillId="3" borderId="8" xfId="0" applyNumberFormat="1" applyFont="1" applyFill="1" applyBorder="1"/>
    <xf numFmtId="174" fontId="2" fillId="2" borderId="7" xfId="0" applyNumberFormat="1" applyFont="1" applyFill="1" applyBorder="1" applyAlignment="1">
      <alignment horizontal="center"/>
    </xf>
    <xf numFmtId="174" fontId="2" fillId="2" borderId="9" xfId="0" applyNumberFormat="1" applyFont="1" applyFill="1" applyBorder="1" applyAlignment="1">
      <alignment horizontal="center"/>
    </xf>
    <xf numFmtId="1" fontId="7" fillId="0" borderId="11" xfId="0" applyNumberFormat="1" applyFont="1" applyFill="1" applyBorder="1" applyAlignment="1">
      <alignment horizontal="center"/>
    </xf>
    <xf numFmtId="1" fontId="7" fillId="0" borderId="13" xfId="0" applyNumberFormat="1" applyFont="1" applyFill="1" applyBorder="1" applyAlignment="1">
      <alignment horizontal="center"/>
    </xf>
    <xf numFmtId="175" fontId="2" fillId="3" borderId="7" xfId="0" applyNumberFormat="1" applyFont="1" applyFill="1" applyBorder="1" applyAlignment="1">
      <alignment horizontal="center"/>
    </xf>
    <xf numFmtId="175" fontId="2" fillId="3" borderId="9" xfId="0" applyNumberFormat="1" applyFont="1" applyFill="1" applyBorder="1" applyAlignment="1">
      <alignment horizontal="center"/>
    </xf>
    <xf numFmtId="174" fontId="2" fillId="7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6" borderId="5" xfId="0" applyFont="1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172" fontId="2" fillId="3" borderId="5" xfId="0" applyNumberFormat="1" applyFont="1" applyFill="1" applyBorder="1" applyAlignment="1">
      <alignment horizontal="center"/>
    </xf>
    <xf numFmtId="172" fontId="0" fillId="0" borderId="11" xfId="0" applyNumberFormat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172" fontId="2" fillId="3" borderId="7" xfId="0" applyNumberFormat="1" applyFont="1" applyFill="1" applyBorder="1" applyAlignment="1">
      <alignment horizontal="center"/>
    </xf>
    <xf numFmtId="172" fontId="0" fillId="0" borderId="9" xfId="0" applyNumberFormat="1" applyBorder="1" applyAlignment="1">
      <alignment horizontal="center"/>
    </xf>
    <xf numFmtId="172" fontId="2" fillId="3" borderId="12" xfId="0" applyNumberFormat="1" applyFont="1" applyFill="1" applyBorder="1" applyAlignment="1">
      <alignment horizontal="center"/>
    </xf>
    <xf numFmtId="172" fontId="0" fillId="0" borderId="13" xfId="0" applyNumberFormat="1" applyBorder="1" applyAlignment="1">
      <alignment horizontal="center"/>
    </xf>
    <xf numFmtId="175" fontId="2" fillId="3" borderId="12" xfId="0" applyNumberFormat="1" applyFont="1" applyFill="1" applyBorder="1" applyAlignment="1">
      <alignment horizontal="center"/>
    </xf>
    <xf numFmtId="176" fontId="0" fillId="0" borderId="13" xfId="0" applyNumberFormat="1" applyBorder="1" applyAlignment="1">
      <alignment horizontal="center"/>
    </xf>
    <xf numFmtId="176" fontId="2" fillId="3" borderId="13" xfId="0" applyNumberFormat="1" applyFont="1" applyFill="1" applyBorder="1" applyAlignment="1">
      <alignment horizontal="center"/>
    </xf>
    <xf numFmtId="176" fontId="2" fillId="3" borderId="5" xfId="0" applyNumberFormat="1" applyFont="1" applyFill="1" applyBorder="1" applyAlignment="1">
      <alignment horizontal="center"/>
    </xf>
    <xf numFmtId="176" fontId="0" fillId="0" borderId="11" xfId="0" applyNumberFormat="1" applyBorder="1" applyAlignment="1">
      <alignment horizontal="center"/>
    </xf>
    <xf numFmtId="176" fontId="2" fillId="3" borderId="12" xfId="0" applyNumberFormat="1" applyFont="1" applyFill="1" applyBorder="1" applyAlignment="1">
      <alignment horizontal="center"/>
    </xf>
    <xf numFmtId="176" fontId="2" fillId="3" borderId="7" xfId="0" applyNumberFormat="1" applyFont="1" applyFill="1" applyBorder="1" applyAlignment="1">
      <alignment horizontal="center"/>
    </xf>
    <xf numFmtId="176" fontId="2" fillId="3" borderId="9" xfId="0" applyNumberFormat="1" applyFont="1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2" fillId="5" borderId="7" xfId="0" applyFont="1" applyFill="1" applyBorder="1" applyAlignment="1"/>
    <xf numFmtId="0" fontId="0" fillId="5" borderId="9" xfId="0" applyFill="1" applyBorder="1" applyAlignment="1"/>
    <xf numFmtId="0" fontId="2" fillId="2" borderId="5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2" fillId="2" borderId="7" xfId="0" applyFont="1" applyFill="1" applyBorder="1" applyAlignment="1"/>
    <xf numFmtId="0" fontId="0" fillId="2" borderId="9" xfId="0" applyFill="1" applyBorder="1" applyAlignment="1"/>
    <xf numFmtId="0" fontId="2" fillId="3" borderId="7" xfId="0" applyFont="1" applyFill="1" applyBorder="1" applyAlignment="1"/>
    <xf numFmtId="0" fontId="0" fillId="0" borderId="9" xfId="0" applyBorder="1" applyAlignment="1"/>
    <xf numFmtId="0" fontId="2" fillId="3" borderId="12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0" fillId="5" borderId="1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val>
            <c:numRef>
              <c:f>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val>
            <c:numRef>
              <c:f>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val>
            <c:numRef>
              <c:f>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val>
            <c:numRef>
              <c:f>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val>
            <c:numRef>
              <c:f>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val>
            <c:numRef>
              <c:f>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val>
            <c:numRef>
              <c:f>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9"/>
          <c:order val="9"/>
          <c:spPr>
            <a:ln w="12700">
              <a:solidFill>
                <a:srgbClr val="69FFFF"/>
              </a:solidFill>
              <a:prstDash val="solid"/>
            </a:ln>
          </c:spPr>
          <c:marker>
            <c:symbol val="none"/>
          </c:marker>
          <c:val>
            <c:numRef>
              <c:f>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val>
            <c:numRef>
              <c:f>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11"/>
          <c:order val="11"/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val>
            <c:numRef>
              <c:f>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6436176"/>
        <c:axId val="286425000"/>
      </c:lineChart>
      <c:catAx>
        <c:axId val="28643617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6425000"/>
        <c:crossesAt val="0.01"/>
        <c:auto val="0"/>
        <c:lblAlgn val="ctr"/>
        <c:lblOffset val="100"/>
        <c:tickLblSkip val="1"/>
        <c:tickMarkSkip val="1"/>
        <c:noMultiLvlLbl val="0"/>
      </c:catAx>
      <c:valAx>
        <c:axId val="286425000"/>
        <c:scaling>
          <c:logBase val="10"/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64361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 horizontalDpi="120" verticalDpi="144" copies="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381000</xdr:colOff>
      <xdr:row>69</xdr:row>
      <xdr:rowOff>0</xdr:rowOff>
    </xdr:from>
    <xdr:to>
      <xdr:col>53</xdr:col>
      <xdr:colOff>0</xdr:colOff>
      <xdr:row>69</xdr:row>
      <xdr:rowOff>0</xdr:rowOff>
    </xdr:to>
    <xdr:sp macro="" textlink="">
      <xdr:nvSpPr>
        <xdr:cNvPr id="5122" name="Line 2"/>
        <xdr:cNvSpPr>
          <a:spLocks noChangeShapeType="1"/>
        </xdr:cNvSpPr>
      </xdr:nvSpPr>
      <xdr:spPr bwMode="auto">
        <a:xfrm>
          <a:off x="9250680" y="9075420"/>
          <a:ext cx="14706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26</xdr:row>
      <xdr:rowOff>68580</xdr:rowOff>
    </xdr:from>
    <xdr:to>
      <xdr:col>53</xdr:col>
      <xdr:colOff>0</xdr:colOff>
      <xdr:row>69</xdr:row>
      <xdr:rowOff>0</xdr:rowOff>
    </xdr:to>
    <xdr:sp macro="" textlink="">
      <xdr:nvSpPr>
        <xdr:cNvPr id="5123" name="Line 3"/>
        <xdr:cNvSpPr>
          <a:spLocks noChangeShapeType="1"/>
        </xdr:cNvSpPr>
      </xdr:nvSpPr>
      <xdr:spPr bwMode="auto">
        <a:xfrm flipH="1" flipV="1">
          <a:off x="23957280" y="3573780"/>
          <a:ext cx="0" cy="55016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381000</xdr:colOff>
      <xdr:row>69</xdr:row>
      <xdr:rowOff>0</xdr:rowOff>
    </xdr:from>
    <xdr:to>
      <xdr:col>53</xdr:col>
      <xdr:colOff>0</xdr:colOff>
      <xdr:row>69</xdr:row>
      <xdr:rowOff>0</xdr:rowOff>
    </xdr:to>
    <xdr:sp macro="" textlink="">
      <xdr:nvSpPr>
        <xdr:cNvPr id="8193" name="Line 1"/>
        <xdr:cNvSpPr>
          <a:spLocks noChangeShapeType="1"/>
        </xdr:cNvSpPr>
      </xdr:nvSpPr>
      <xdr:spPr bwMode="auto">
        <a:xfrm>
          <a:off x="9250680" y="9075420"/>
          <a:ext cx="147066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0</xdr:colOff>
      <xdr:row>26</xdr:row>
      <xdr:rowOff>68580</xdr:rowOff>
    </xdr:from>
    <xdr:to>
      <xdr:col>53</xdr:col>
      <xdr:colOff>0</xdr:colOff>
      <xdr:row>69</xdr:row>
      <xdr:rowOff>0</xdr:rowOff>
    </xdr:to>
    <xdr:sp macro="" textlink="">
      <xdr:nvSpPr>
        <xdr:cNvPr id="8194" name="Line 2"/>
        <xdr:cNvSpPr>
          <a:spLocks noChangeShapeType="1"/>
        </xdr:cNvSpPr>
      </xdr:nvSpPr>
      <xdr:spPr bwMode="auto">
        <a:xfrm flipH="1" flipV="1">
          <a:off x="23957280" y="3573780"/>
          <a:ext cx="0" cy="55016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27</xdr:row>
      <xdr:rowOff>76200</xdr:rowOff>
    </xdr:from>
    <xdr:to>
      <xdr:col>53</xdr:col>
      <xdr:colOff>0</xdr:colOff>
      <xdr:row>70</xdr:row>
      <xdr:rowOff>0</xdr:rowOff>
    </xdr:to>
    <xdr:sp macro="" textlink="">
      <xdr:nvSpPr>
        <xdr:cNvPr id="2051" name="Line 3"/>
        <xdr:cNvSpPr>
          <a:spLocks noChangeShapeType="1"/>
        </xdr:cNvSpPr>
      </xdr:nvSpPr>
      <xdr:spPr bwMode="auto">
        <a:xfrm flipH="1" flipV="1">
          <a:off x="16824960" y="3710940"/>
          <a:ext cx="0" cy="5524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144780</xdr:rowOff>
        </xdr:from>
        <xdr:to>
          <xdr:col>11</xdr:col>
          <xdr:colOff>274320</xdr:colOff>
          <xdr:row>11</xdr:row>
          <xdr:rowOff>15240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Z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251460</xdr:colOff>
          <xdr:row>9</xdr:row>
          <xdr:rowOff>0</xdr:rowOff>
        </xdr:from>
        <xdr:to>
          <xdr:col>14</xdr:col>
          <xdr:colOff>68580</xdr:colOff>
          <xdr:row>11</xdr:row>
          <xdr:rowOff>38100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Z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53</xdr:col>
      <xdr:colOff>0</xdr:colOff>
      <xdr:row>71</xdr:row>
      <xdr:rowOff>15240</xdr:rowOff>
    </xdr:from>
    <xdr:to>
      <xdr:col>53</xdr:col>
      <xdr:colOff>0</xdr:colOff>
      <xdr:row>104</xdr:row>
      <xdr:rowOff>60960</xdr:rowOff>
    </xdr:to>
    <xdr:graphicFrame macro="">
      <xdr:nvGraphicFramePr>
        <xdr:cNvPr id="205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7620</xdr:colOff>
      <xdr:row>69</xdr:row>
      <xdr:rowOff>0</xdr:rowOff>
    </xdr:from>
    <xdr:to>
      <xdr:col>53</xdr:col>
      <xdr:colOff>7620</xdr:colOff>
      <xdr:row>69</xdr:row>
      <xdr:rowOff>0</xdr:rowOff>
    </xdr:to>
    <xdr:sp macro="" textlink="">
      <xdr:nvSpPr>
        <xdr:cNvPr id="3074" name="Line 2"/>
        <xdr:cNvSpPr>
          <a:spLocks noChangeShapeType="1"/>
        </xdr:cNvSpPr>
      </xdr:nvSpPr>
      <xdr:spPr bwMode="auto">
        <a:xfrm>
          <a:off x="6728460" y="9418320"/>
          <a:ext cx="1024128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doc/PopDyn/rifa/RIFA1K/pdrif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ed"/>
      <sheetName val="N"/>
    </sheetNames>
    <sheetDataSet>
      <sheetData sheetId="0"/>
      <sheetData sheetId="1">
        <row r="5">
          <cell r="C5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A69"/>
  <sheetViews>
    <sheetView tabSelected="1" zoomScale="75" workbookViewId="0">
      <selection activeCell="U61" sqref="U61"/>
    </sheetView>
  </sheetViews>
  <sheetFormatPr defaultColWidth="9.109375" defaultRowHeight="10.199999999999999" x14ac:dyDescent="0.2"/>
  <cols>
    <col min="1" max="1" width="2.6640625" style="3" customWidth="1"/>
    <col min="2" max="53" width="4.6640625" style="3" customWidth="1"/>
    <col min="54" max="16384" width="9.109375" style="3"/>
  </cols>
  <sheetData>
    <row r="2" spans="2:11" x14ac:dyDescent="0.2">
      <c r="B2" s="139"/>
      <c r="C2" s="140"/>
      <c r="D2" s="140"/>
      <c r="E2" s="140"/>
      <c r="F2" s="140"/>
      <c r="G2" s="140"/>
      <c r="H2" s="140"/>
      <c r="I2" s="140"/>
      <c r="J2" s="140"/>
      <c r="K2" s="141"/>
    </row>
    <row r="3" spans="2:11" x14ac:dyDescent="0.2">
      <c r="B3" s="142"/>
      <c r="C3" s="143" t="s">
        <v>28</v>
      </c>
      <c r="D3" s="143"/>
      <c r="E3" s="143"/>
      <c r="F3" s="143"/>
      <c r="G3" s="143"/>
      <c r="H3" s="143"/>
      <c r="I3" s="143"/>
      <c r="J3" s="143"/>
      <c r="K3" s="144"/>
    </row>
    <row r="4" spans="2:11" x14ac:dyDescent="0.2">
      <c r="B4" s="142"/>
      <c r="C4" s="143"/>
      <c r="D4" s="143"/>
      <c r="E4" s="143"/>
      <c r="F4" s="143"/>
      <c r="G4" s="143"/>
      <c r="H4" s="143"/>
      <c r="I4" s="143"/>
      <c r="J4" s="143"/>
      <c r="K4" s="144"/>
    </row>
    <row r="5" spans="2:11" x14ac:dyDescent="0.2">
      <c r="B5" s="142"/>
      <c r="C5" s="143" t="s">
        <v>29</v>
      </c>
      <c r="D5" s="143"/>
      <c r="E5" s="143"/>
      <c r="F5" s="143"/>
      <c r="G5" s="143"/>
      <c r="H5" s="143"/>
      <c r="I5" s="143"/>
      <c r="J5" s="143"/>
      <c r="K5" s="144"/>
    </row>
    <row r="6" spans="2:11" x14ac:dyDescent="0.2">
      <c r="B6" s="142"/>
      <c r="C6" s="143" t="s">
        <v>30</v>
      </c>
      <c r="D6" s="143"/>
      <c r="E6" s="143"/>
      <c r="F6" s="143"/>
      <c r="G6" s="143"/>
      <c r="H6" s="143"/>
      <c r="I6" s="143"/>
      <c r="J6" s="143"/>
      <c r="K6" s="144"/>
    </row>
    <row r="7" spans="2:11" x14ac:dyDescent="0.2">
      <c r="B7" s="142"/>
      <c r="C7" s="143"/>
      <c r="D7" s="143"/>
      <c r="E7" s="143"/>
      <c r="F7" s="143"/>
      <c r="G7" s="143"/>
      <c r="H7" s="143"/>
      <c r="I7" s="143"/>
      <c r="J7" s="143"/>
      <c r="K7" s="144"/>
    </row>
    <row r="8" spans="2:11" x14ac:dyDescent="0.2">
      <c r="B8" s="142"/>
      <c r="C8" s="143" t="s">
        <v>31</v>
      </c>
      <c r="D8" s="143"/>
      <c r="E8" s="143"/>
      <c r="F8" s="143"/>
      <c r="G8" s="143"/>
      <c r="H8" s="143"/>
      <c r="I8" s="143"/>
      <c r="J8" s="143"/>
      <c r="K8" s="144"/>
    </row>
    <row r="9" spans="2:11" x14ac:dyDescent="0.2">
      <c r="B9" s="142"/>
      <c r="C9" s="143" t="s">
        <v>32</v>
      </c>
      <c r="D9" s="143"/>
      <c r="E9" s="143"/>
      <c r="F9" s="143"/>
      <c r="G9" s="143"/>
      <c r="H9" s="143"/>
      <c r="I9" s="143"/>
      <c r="J9" s="143"/>
      <c r="K9" s="144"/>
    </row>
    <row r="10" spans="2:11" x14ac:dyDescent="0.2">
      <c r="B10" s="142"/>
      <c r="C10" s="143"/>
      <c r="D10" s="143"/>
      <c r="E10" s="143"/>
      <c r="F10" s="143"/>
      <c r="G10" s="143"/>
      <c r="H10" s="143"/>
      <c r="I10" s="143"/>
      <c r="J10" s="143"/>
      <c r="K10" s="144"/>
    </row>
    <row r="11" spans="2:11" x14ac:dyDescent="0.2">
      <c r="B11" s="142"/>
      <c r="C11" s="143" t="s">
        <v>35</v>
      </c>
      <c r="D11" s="143"/>
      <c r="E11" s="143"/>
      <c r="F11" s="143"/>
      <c r="G11" s="143"/>
      <c r="H11" s="143"/>
      <c r="I11" s="143"/>
      <c r="J11" s="143"/>
      <c r="K11" s="144"/>
    </row>
    <row r="12" spans="2:11" x14ac:dyDescent="0.2">
      <c r="B12" s="142"/>
      <c r="C12" s="143" t="s">
        <v>33</v>
      </c>
      <c r="D12" s="143"/>
      <c r="E12" s="143"/>
      <c r="F12" s="143"/>
      <c r="G12" s="143"/>
      <c r="H12" s="143"/>
      <c r="I12" s="143"/>
      <c r="J12" s="143"/>
      <c r="K12" s="144"/>
    </row>
    <row r="13" spans="2:11" x14ac:dyDescent="0.2">
      <c r="B13" s="142"/>
      <c r="C13" s="143" t="s">
        <v>34</v>
      </c>
      <c r="D13" s="143"/>
      <c r="E13" s="143"/>
      <c r="F13" s="143"/>
      <c r="G13" s="143"/>
      <c r="H13" s="143"/>
      <c r="I13" s="143"/>
      <c r="J13" s="143"/>
      <c r="K13" s="144"/>
    </row>
    <row r="14" spans="2:11" x14ac:dyDescent="0.2">
      <c r="B14" s="145"/>
      <c r="C14" s="146"/>
      <c r="D14" s="146"/>
      <c r="E14" s="146"/>
      <c r="F14" s="146"/>
      <c r="G14" s="146"/>
      <c r="H14" s="146"/>
      <c r="I14" s="146"/>
      <c r="J14" s="146"/>
      <c r="K14" s="147"/>
    </row>
    <row r="18" spans="2:53" x14ac:dyDescent="0.2">
      <c r="B18" s="31"/>
      <c r="C18" s="32">
        <v>1</v>
      </c>
      <c r="D18" s="32">
        <v>2</v>
      </c>
      <c r="E18" s="32">
        <v>3</v>
      </c>
      <c r="F18" s="32">
        <v>4</v>
      </c>
      <c r="G18" s="32">
        <v>5</v>
      </c>
      <c r="H18" s="32">
        <v>6</v>
      </c>
      <c r="I18" s="32">
        <v>7</v>
      </c>
      <c r="J18" s="32">
        <v>8</v>
      </c>
      <c r="K18" s="32">
        <v>9</v>
      </c>
      <c r="L18" s="32">
        <v>10</v>
      </c>
      <c r="M18" s="32">
        <v>11</v>
      </c>
      <c r="N18" s="32">
        <v>12</v>
      </c>
      <c r="O18" s="32">
        <v>13</v>
      </c>
      <c r="P18" s="32">
        <v>14</v>
      </c>
      <c r="Q18" s="32">
        <v>15</v>
      </c>
      <c r="R18" s="32">
        <v>16</v>
      </c>
      <c r="S18" s="32">
        <v>17</v>
      </c>
      <c r="T18" s="32">
        <v>18</v>
      </c>
      <c r="U18" s="32">
        <v>19</v>
      </c>
      <c r="V18" s="32">
        <v>20</v>
      </c>
      <c r="W18" s="32">
        <v>21</v>
      </c>
      <c r="X18" s="32">
        <v>22</v>
      </c>
      <c r="Y18" s="32">
        <v>23</v>
      </c>
      <c r="Z18" s="32">
        <v>24</v>
      </c>
      <c r="AA18" s="32">
        <v>25</v>
      </c>
      <c r="AB18" s="32">
        <v>26</v>
      </c>
      <c r="AC18" s="32">
        <v>27</v>
      </c>
      <c r="AD18" s="32">
        <v>28</v>
      </c>
      <c r="AE18" s="32">
        <v>29</v>
      </c>
      <c r="AF18" s="32">
        <v>30</v>
      </c>
      <c r="AG18" s="32">
        <v>31</v>
      </c>
      <c r="AH18" s="32">
        <v>32</v>
      </c>
      <c r="AI18" s="32">
        <v>33</v>
      </c>
      <c r="AJ18" s="32">
        <v>34</v>
      </c>
      <c r="AK18" s="32">
        <v>35</v>
      </c>
      <c r="AL18" s="32">
        <v>36</v>
      </c>
      <c r="AM18" s="32">
        <v>37</v>
      </c>
      <c r="AN18" s="32">
        <v>38</v>
      </c>
      <c r="AO18" s="32">
        <v>39</v>
      </c>
      <c r="AP18" s="32">
        <v>40</v>
      </c>
      <c r="AQ18" s="32">
        <v>41</v>
      </c>
      <c r="AR18" s="32">
        <v>42</v>
      </c>
      <c r="AS18" s="32">
        <v>43</v>
      </c>
      <c r="AT18" s="32">
        <v>44</v>
      </c>
      <c r="AU18" s="32">
        <v>45</v>
      </c>
      <c r="AV18" s="32">
        <v>46</v>
      </c>
      <c r="AW18" s="32">
        <v>47</v>
      </c>
      <c r="AX18" s="32">
        <v>48</v>
      </c>
      <c r="AY18" s="32">
        <v>49</v>
      </c>
      <c r="AZ18" s="32">
        <v>50</v>
      </c>
      <c r="BA18" s="33"/>
    </row>
    <row r="19" spans="2:53" x14ac:dyDescent="0.2">
      <c r="B19" s="34">
        <v>1</v>
      </c>
      <c r="C19" s="71">
        <v>99.999999863861817</v>
      </c>
      <c r="D19" s="70">
        <v>99.999999891883434</v>
      </c>
      <c r="E19" s="70">
        <v>99.999999887181545</v>
      </c>
      <c r="F19" s="70">
        <v>99.999999870246853</v>
      </c>
      <c r="G19" s="70">
        <v>99.999999872751246</v>
      </c>
      <c r="H19" s="70">
        <v>99.999999868814967</v>
      </c>
      <c r="I19" s="70">
        <v>99.99999985363246</v>
      </c>
      <c r="J19" s="70">
        <v>99.999999835619363</v>
      </c>
      <c r="K19" s="70">
        <v>99.999999854012273</v>
      </c>
      <c r="L19" s="70">
        <v>99.999999866633246</v>
      </c>
      <c r="M19" s="70">
        <v>99.999999863301809</v>
      </c>
      <c r="N19" s="70">
        <v>99.999999840141243</v>
      </c>
      <c r="O19" s="70">
        <v>99.999999793148746</v>
      </c>
      <c r="P19" s="70">
        <v>99.999999716482947</v>
      </c>
      <c r="Q19" s="70">
        <v>99.999999601916628</v>
      </c>
      <c r="R19" s="70">
        <v>99.999999438107821</v>
      </c>
      <c r="S19" s="70">
        <v>99.99999920807825</v>
      </c>
      <c r="T19" s="70">
        <v>99.999998881393708</v>
      </c>
      <c r="U19" s="70">
        <v>99.999998393050205</v>
      </c>
      <c r="V19" s="70">
        <v>99.999997591116554</v>
      </c>
      <c r="W19" s="70">
        <v>99.999996112772564</v>
      </c>
      <c r="X19" s="70">
        <v>99.999993096755858</v>
      </c>
      <c r="Y19" s="70">
        <v>99.999986519833598</v>
      </c>
      <c r="Z19" s="70">
        <v>99.999971663989058</v>
      </c>
      <c r="AA19" s="70">
        <v>99.999937568017216</v>
      </c>
      <c r="AB19" s="70">
        <v>99.999858803262597</v>
      </c>
      <c r="AC19" s="70">
        <v>99.999676404339681</v>
      </c>
      <c r="AD19" s="70">
        <v>99.999253651162419</v>
      </c>
      <c r="AE19" s="70">
        <v>99.99827353835451</v>
      </c>
      <c r="AF19" s="70">
        <v>99.996001040764511</v>
      </c>
      <c r="AG19" s="70">
        <v>99.990731916490233</v>
      </c>
      <c r="AH19" s="70">
        <v>99.978514879879313</v>
      </c>
      <c r="AI19" s="70">
        <v>99.950190011654811</v>
      </c>
      <c r="AJ19" s="70">
        <v>99.884528862426194</v>
      </c>
      <c r="AK19" s="70">
        <v>99.73236704684571</v>
      </c>
      <c r="AL19" s="70">
        <v>99.380020528484877</v>
      </c>
      <c r="AM19" s="70">
        <v>98.565575196992555</v>
      </c>
      <c r="AN19" s="70">
        <v>96.690746291803691</v>
      </c>
      <c r="AO19" s="70">
        <v>92.416114319960798</v>
      </c>
      <c r="AP19" s="70">
        <v>82.884936802921573</v>
      </c>
      <c r="AQ19" s="70">
        <v>62.714406169438021</v>
      </c>
      <c r="AR19" s="70">
        <v>25.006299688055524</v>
      </c>
      <c r="AS19" s="70">
        <v>15.442096362479329</v>
      </c>
      <c r="AT19" s="70">
        <v>12.180698232351595</v>
      </c>
      <c r="AU19" s="70">
        <v>10.911488629792991</v>
      </c>
      <c r="AV19" s="70">
        <v>10.388227958498007</v>
      </c>
      <c r="AW19" s="70">
        <v>10.167512703400357</v>
      </c>
      <c r="AX19" s="70">
        <v>10.074769231847062</v>
      </c>
      <c r="AY19" s="70">
        <v>10.039323224513442</v>
      </c>
      <c r="AZ19" s="85">
        <v>10.036404422646818</v>
      </c>
      <c r="BA19" s="35">
        <v>1</v>
      </c>
    </row>
    <row r="20" spans="2:53" x14ac:dyDescent="0.2">
      <c r="B20" s="34">
        <v>2</v>
      </c>
      <c r="C20" s="72">
        <v>99.999999869791822</v>
      </c>
      <c r="D20" s="31">
        <v>99.999999864389579</v>
      </c>
      <c r="E20" s="76">
        <v>99.999999836626898</v>
      </c>
      <c r="F20" s="76">
        <v>99.999999778686771</v>
      </c>
      <c r="G20" s="76">
        <v>99.999999808435319</v>
      </c>
      <c r="H20" s="76">
        <v>99.999999807123444</v>
      </c>
      <c r="I20" s="76">
        <v>99.999999775152602</v>
      </c>
      <c r="J20" s="76">
        <v>99.999999707979242</v>
      </c>
      <c r="K20" s="76">
        <v>99.999999778686771</v>
      </c>
      <c r="L20" s="76">
        <v>99.999999808435319</v>
      </c>
      <c r="M20" s="76">
        <v>99.999999807123444</v>
      </c>
      <c r="N20" s="76">
        <v>99.999999775152602</v>
      </c>
      <c r="O20" s="76">
        <v>99.999999707979242</v>
      </c>
      <c r="P20" s="76">
        <v>99.999999596950843</v>
      </c>
      <c r="Q20" s="76">
        <v>99.999999429645797</v>
      </c>
      <c r="R20" s="76">
        <v>99.999999189978041</v>
      </c>
      <c r="S20" s="76">
        <v>99.999998856923753</v>
      </c>
      <c r="T20" s="76">
        <v>99.999998398393643</v>
      </c>
      <c r="U20" s="76">
        <v>99.999997751855972</v>
      </c>
      <c r="V20" s="76">
        <v>99.999996772936385</v>
      </c>
      <c r="W20" s="76">
        <v>99.999995110737359</v>
      </c>
      <c r="X20" s="76">
        <v>99.999991917659329</v>
      </c>
      <c r="Y20" s="76">
        <v>99.999985182363105</v>
      </c>
      <c r="Z20" s="76">
        <v>99.999970194318252</v>
      </c>
      <c r="AA20" s="76">
        <v>99.99993599464986</v>
      </c>
      <c r="AB20" s="76">
        <v>99.999857152783065</v>
      </c>
      <c r="AC20" s="76">
        <v>99.999674698813479</v>
      </c>
      <c r="AD20" s="76">
        <v>99.999251907086361</v>
      </c>
      <c r="AE20" s="76">
        <v>99.99827176661357</v>
      </c>
      <c r="AF20" s="76">
        <v>99.995999246978485</v>
      </c>
      <c r="AG20" s="76">
        <v>99.990730101254059</v>
      </c>
      <c r="AH20" s="76">
        <v>99.97851303857037</v>
      </c>
      <c r="AI20" s="76">
        <v>99.950188133643053</v>
      </c>
      <c r="AJ20" s="76">
        <v>99.88452692969733</v>
      </c>
      <c r="AK20" s="76">
        <v>99.732365032342116</v>
      </c>
      <c r="AL20" s="76">
        <v>99.380018395130847</v>
      </c>
      <c r="AM20" s="76">
        <v>98.565572899992006</v>
      </c>
      <c r="AN20" s="76">
        <v>96.69074379085076</v>
      </c>
      <c r="AO20" s="76">
        <v>92.416111617697879</v>
      </c>
      <c r="AP20" s="76">
        <v>82.884934044842694</v>
      </c>
      <c r="AQ20" s="33">
        <v>62.714403847708454</v>
      </c>
      <c r="AR20" s="91">
        <v>25.006298804937487</v>
      </c>
      <c r="AS20" s="84">
        <v>15.442094501104005</v>
      </c>
      <c r="AT20" s="84">
        <v>12.180691795435669</v>
      </c>
      <c r="AU20" s="84">
        <v>10.911467072744564</v>
      </c>
      <c r="AV20" s="84">
        <v>10.388157608084892</v>
      </c>
      <c r="AW20" s="84">
        <v>10.167280003514083</v>
      </c>
      <c r="AX20" s="84">
        <v>10.073967987882007</v>
      </c>
      <c r="AY20" s="111">
        <v>10.036404422934122</v>
      </c>
      <c r="AZ20" s="72">
        <v>10.025058124759143</v>
      </c>
      <c r="BA20" s="35">
        <v>2</v>
      </c>
    </row>
    <row r="21" spans="2:53" x14ac:dyDescent="0.2">
      <c r="B21" s="34">
        <v>3</v>
      </c>
      <c r="C21" s="72">
        <v>99.999999808654152</v>
      </c>
      <c r="D21" s="74">
        <v>99.999999783841915</v>
      </c>
      <c r="E21" s="75">
        <v>99.999999725576515</v>
      </c>
      <c r="F21" s="75">
        <v>99.999999621768268</v>
      </c>
      <c r="G21" s="75">
        <v>99.999999675087565</v>
      </c>
      <c r="H21" s="75">
        <v>99.999999674661836</v>
      </c>
      <c r="I21" s="75">
        <v>99.999999620844562</v>
      </c>
      <c r="J21" s="75">
        <v>99.999999505200563</v>
      </c>
      <c r="K21" s="75">
        <v>99.999999621768268</v>
      </c>
      <c r="L21" s="75">
        <v>99.999999675087565</v>
      </c>
      <c r="M21" s="75">
        <v>99.999999674661836</v>
      </c>
      <c r="N21" s="75">
        <v>99.999999620844562</v>
      </c>
      <c r="O21" s="75">
        <v>99.999999505200563</v>
      </c>
      <c r="P21" s="75">
        <v>99.999999311082519</v>
      </c>
      <c r="Q21" s="75">
        <v>99.99999901462752</v>
      </c>
      <c r="R21" s="75">
        <v>99.999998586513144</v>
      </c>
      <c r="S21" s="75">
        <v>99.999997993815455</v>
      </c>
      <c r="T21" s="75">
        <v>99.999997198558091</v>
      </c>
      <c r="U21" s="75">
        <v>99.99999614354013</v>
      </c>
      <c r="V21" s="75">
        <v>99.999994704243633</v>
      </c>
      <c r="W21" s="75">
        <v>99.99999256255704</v>
      </c>
      <c r="X21" s="75">
        <v>99.999988908942257</v>
      </c>
      <c r="Y21" s="75">
        <v>99.999981764785062</v>
      </c>
      <c r="Z21" s="75">
        <v>99.999966439258429</v>
      </c>
      <c r="AA21" s="75">
        <v>99.999931978506751</v>
      </c>
      <c r="AB21" s="75">
        <v>99.999852945479233</v>
      </c>
      <c r="AC21" s="75">
        <v>99.999670357308673</v>
      </c>
      <c r="AD21" s="75">
        <v>99.999247473247578</v>
      </c>
      <c r="AE21" s="75">
        <v>99.998267267709608</v>
      </c>
      <c r="AF21" s="75">
        <v>99.995994697050691</v>
      </c>
      <c r="AG21" s="75">
        <v>99.990725502065047</v>
      </c>
      <c r="AH21" s="75">
        <v>99.97850837933585</v>
      </c>
      <c r="AI21" s="75">
        <v>99.950183389168757</v>
      </c>
      <c r="AJ21" s="75">
        <v>99.884522056967512</v>
      </c>
      <c r="AK21" s="75">
        <v>99.732359966327223</v>
      </c>
      <c r="AL21" s="75">
        <v>99.380013046251605</v>
      </c>
      <c r="AM21" s="75">
        <v>98.56556715982228</v>
      </c>
      <c r="AN21" s="75">
        <v>96.690737563008128</v>
      </c>
      <c r="AO21" s="75">
        <v>92.416104915675845</v>
      </c>
      <c r="AP21" s="75">
        <v>82.884927246941686</v>
      </c>
      <c r="AQ21" s="94">
        <v>62.714398219051134</v>
      </c>
      <c r="AR21" s="92">
        <v>25.006296923917581</v>
      </c>
      <c r="AS21" s="86">
        <v>15.442091511287778</v>
      </c>
      <c r="AT21" s="86">
        <v>12.180682561827286</v>
      </c>
      <c r="AU21" s="86">
        <v>10.911438535037375</v>
      </c>
      <c r="AV21" s="86">
        <v>10.388073616070763</v>
      </c>
      <c r="AW21" s="86">
        <v>10.167040438243639</v>
      </c>
      <c r="AX21" s="86">
        <v>10.073304647297814</v>
      </c>
      <c r="AY21" s="87">
        <v>10.034671082246264</v>
      </c>
      <c r="AZ21" s="72">
        <v>10.021206228646419</v>
      </c>
      <c r="BA21" s="35">
        <v>3</v>
      </c>
    </row>
    <row r="22" spans="2:53" x14ac:dyDescent="0.2">
      <c r="B22" s="34">
        <v>4</v>
      </c>
      <c r="C22" s="72">
        <v>99.999999666053171</v>
      </c>
      <c r="D22" s="74">
        <v>99.999999616875854</v>
      </c>
      <c r="E22" s="75">
        <v>99.999999508274158</v>
      </c>
      <c r="F22" s="75">
        <v>99.999999319475677</v>
      </c>
      <c r="G22" s="75">
        <v>99.99999941597126</v>
      </c>
      <c r="H22" s="75">
        <v>99.999999415840563</v>
      </c>
      <c r="I22" s="75">
        <v>99.999999319225125</v>
      </c>
      <c r="J22" s="75">
        <v>99.999999108648439</v>
      </c>
      <c r="K22" s="75">
        <v>99.999999319475677</v>
      </c>
      <c r="L22" s="75">
        <v>99.99999941597126</v>
      </c>
      <c r="M22" s="75">
        <v>99.999999415840563</v>
      </c>
      <c r="N22" s="75">
        <v>99.999999319225125</v>
      </c>
      <c r="O22" s="75">
        <v>99.999999108648439</v>
      </c>
      <c r="P22" s="75">
        <v>99.999998749397051</v>
      </c>
      <c r="Q22" s="75">
        <v>99.999998191229324</v>
      </c>
      <c r="R22" s="75">
        <v>99.999997373005684</v>
      </c>
      <c r="S22" s="75">
        <v>99.999996231159301</v>
      </c>
      <c r="T22" s="75">
        <v>99.999994709383998</v>
      </c>
      <c r="U22" s="75">
        <v>99.999992758274729</v>
      </c>
      <c r="V22" s="75">
        <v>99.99999029760086</v>
      </c>
      <c r="W22" s="75">
        <v>99.999987087847714</v>
      </c>
      <c r="X22" s="75">
        <v>99.999982412594505</v>
      </c>
      <c r="Y22" s="75">
        <v>99.999974371725301</v>
      </c>
      <c r="Z22" s="75">
        <v>99.99995831844528</v>
      </c>
      <c r="AA22" s="75">
        <v>99.999923306157186</v>
      </c>
      <c r="AB22" s="75">
        <v>99.999843878439378</v>
      </c>
      <c r="AC22" s="75">
        <v>99.999661019868626</v>
      </c>
      <c r="AD22" s="75">
        <v>99.999237954493537</v>
      </c>
      <c r="AE22" s="75">
        <v>99.998257624530098</v>
      </c>
      <c r="AF22" s="75">
        <v>99.995984958544312</v>
      </c>
      <c r="AG22" s="75">
        <v>99.990715672535075</v>
      </c>
      <c r="AH22" s="75">
        <v>99.978498438319846</v>
      </c>
      <c r="AI22" s="75">
        <v>99.950173287842674</v>
      </c>
      <c r="AJ22" s="75">
        <v>99.884511711077437</v>
      </c>
      <c r="AK22" s="75">
        <v>99.732349247244017</v>
      </c>
      <c r="AL22" s="75">
        <v>99.380001775244409</v>
      </c>
      <c r="AM22" s="75">
        <v>98.565555119483278</v>
      </c>
      <c r="AN22" s="75">
        <v>96.690724561892935</v>
      </c>
      <c r="AO22" s="75">
        <v>92.416090995012567</v>
      </c>
      <c r="AP22" s="75">
        <v>82.884913220986391</v>
      </c>
      <c r="AQ22" s="94">
        <v>62.714386782320027</v>
      </c>
      <c r="AR22" s="92">
        <v>25.006293553042596</v>
      </c>
      <c r="AS22" s="86">
        <v>15.442087972692983</v>
      </c>
      <c r="AT22" s="86">
        <v>12.180673717964332</v>
      </c>
      <c r="AU22" s="86">
        <v>10.911413906977518</v>
      </c>
      <c r="AV22" s="86">
        <v>10.388008246748546</v>
      </c>
      <c r="AW22" s="86">
        <v>10.166876547681548</v>
      </c>
      <c r="AX22" s="86">
        <v>10.072920614658409</v>
      </c>
      <c r="AY22" s="87">
        <v>10.033862520177571</v>
      </c>
      <c r="AZ22" s="72">
        <v>10.019827896560892</v>
      </c>
      <c r="BA22" s="35">
        <v>4</v>
      </c>
    </row>
    <row r="23" spans="2:53" x14ac:dyDescent="0.2">
      <c r="B23" s="34">
        <v>5</v>
      </c>
      <c r="C23" s="72">
        <v>99.999999387654697</v>
      </c>
      <c r="D23" s="74">
        <v>99.999999297493957</v>
      </c>
      <c r="E23" s="75">
        <v>99.999999100059441</v>
      </c>
      <c r="F23" s="75">
        <v>99.999998757543111</v>
      </c>
      <c r="G23" s="75">
        <v>99.999998931894524</v>
      </c>
      <c r="H23" s="75">
        <v>99.999998931844431</v>
      </c>
      <c r="I23" s="75">
        <v>99.999998757455543</v>
      </c>
      <c r="J23" s="75">
        <v>99.999998372473584</v>
      </c>
      <c r="K23" s="75">
        <v>99.999998757543111</v>
      </c>
      <c r="L23" s="75">
        <v>99.999998931894524</v>
      </c>
      <c r="M23" s="75">
        <v>99.999998931844431</v>
      </c>
      <c r="N23" s="75">
        <v>99.999998757455543</v>
      </c>
      <c r="O23" s="75">
        <v>99.999998372473584</v>
      </c>
      <c r="P23" s="75">
        <v>99.999997703800844</v>
      </c>
      <c r="Q23" s="75">
        <v>99.999996643129009</v>
      </c>
      <c r="R23" s="75">
        <v>99.999995055645812</v>
      </c>
      <c r="S23" s="75">
        <v>99.99999280131911</v>
      </c>
      <c r="T23" s="75">
        <v>99.999989769874475</v>
      </c>
      <c r="U23" s="75">
        <v>99.999985916150379</v>
      </c>
      <c r="V23" s="75">
        <v>99.999981254212315</v>
      </c>
      <c r="W23" s="75">
        <v>99.99997572997016</v>
      </c>
      <c r="X23" s="75">
        <v>99.999968853067458</v>
      </c>
      <c r="Y23" s="75">
        <v>99.999958908675538</v>
      </c>
      <c r="Z23" s="75">
        <v>99.999941343916916</v>
      </c>
      <c r="AA23" s="75">
        <v>99.999905215593714</v>
      </c>
      <c r="AB23" s="75">
        <v>99.999825011617858</v>
      </c>
      <c r="AC23" s="75">
        <v>99.999641636898005</v>
      </c>
      <c r="AD23" s="75">
        <v>99.999218236025328</v>
      </c>
      <c r="AE23" s="75">
        <v>99.998237683027753</v>
      </c>
      <c r="AF23" s="75">
        <v>99.995964850846789</v>
      </c>
      <c r="AG23" s="75">
        <v>99.990695408113837</v>
      </c>
      <c r="AH23" s="75">
        <v>99.978477980583961</v>
      </c>
      <c r="AI23" s="75">
        <v>99.950152547554509</v>
      </c>
      <c r="AJ23" s="75">
        <v>99.884490532318978</v>
      </c>
      <c r="AK23" s="75">
        <v>99.732327389030544</v>
      </c>
      <c r="AL23" s="75">
        <v>99.379978898816759</v>
      </c>
      <c r="AM23" s="75">
        <v>98.565530809229131</v>
      </c>
      <c r="AN23" s="75">
        <v>96.690698452793725</v>
      </c>
      <c r="AO23" s="75">
        <v>92.416063186230161</v>
      </c>
      <c r="AP23" s="75">
        <v>82.884885361667315</v>
      </c>
      <c r="AQ23" s="94">
        <v>62.714364296151679</v>
      </c>
      <c r="AR23" s="92">
        <v>25.006287432059594</v>
      </c>
      <c r="AS23" s="86">
        <v>15.442083747298859</v>
      </c>
      <c r="AT23" s="86">
        <v>12.180666365817123</v>
      </c>
      <c r="AU23" s="86">
        <v>10.911396399851714</v>
      </c>
      <c r="AV23" s="86">
        <v>10.387966507060446</v>
      </c>
      <c r="AW23" s="86">
        <v>10.166782967775594</v>
      </c>
      <c r="AX23" s="86">
        <v>10.072728065042931</v>
      </c>
      <c r="AY23" s="87">
        <v>10.033513415489663</v>
      </c>
      <c r="AZ23" s="72">
        <v>10.019315379405507</v>
      </c>
      <c r="BA23" s="35">
        <v>5</v>
      </c>
    </row>
    <row r="24" spans="2:53" x14ac:dyDescent="0.2">
      <c r="B24" s="34">
        <v>6</v>
      </c>
      <c r="C24" s="72">
        <v>99.999998861163576</v>
      </c>
      <c r="D24" s="74">
        <v>99.999998698066634</v>
      </c>
      <c r="E24" s="75">
        <v>99.999998342298014</v>
      </c>
      <c r="F24" s="75">
        <v>99.999997725915151</v>
      </c>
      <c r="G24" s="75">
        <v>99.999998035998885</v>
      </c>
      <c r="H24" s="75">
        <v>99.999998035939186</v>
      </c>
      <c r="I24" s="75">
        <v>99.99999772581738</v>
      </c>
      <c r="J24" s="75">
        <v>99.999997031874457</v>
      </c>
      <c r="K24" s="75">
        <v>99.999997725915151</v>
      </c>
      <c r="L24" s="75">
        <v>99.999998035998885</v>
      </c>
      <c r="M24" s="75">
        <v>99.999998035939186</v>
      </c>
      <c r="N24" s="75">
        <v>99.99999772581738</v>
      </c>
      <c r="O24" s="75">
        <v>99.999997031874457</v>
      </c>
      <c r="P24" s="75">
        <v>99.999995802203514</v>
      </c>
      <c r="Q24" s="75">
        <v>99.999993804240091</v>
      </c>
      <c r="R24" s="75">
        <v>99.999990736407554</v>
      </c>
      <c r="S24" s="75">
        <v>99.999986271468003</v>
      </c>
      <c r="T24" s="75">
        <v>99.999980146201793</v>
      </c>
      <c r="U24" s="75">
        <v>99.999972287143621</v>
      </c>
      <c r="V24" s="75">
        <v>99.999962901188738</v>
      </c>
      <c r="W24" s="75">
        <v>99.999952373654324</v>
      </c>
      <c r="X24" s="75">
        <v>99.999940772197562</v>
      </c>
      <c r="Y24" s="75">
        <v>99.999926821239782</v>
      </c>
      <c r="Z24" s="75">
        <v>99.99990616023004</v>
      </c>
      <c r="AA24" s="75">
        <v>99.99986781642788</v>
      </c>
      <c r="AB24" s="75">
        <v>99.999786122161382</v>
      </c>
      <c r="AC24" s="75">
        <v>99.999601789983402</v>
      </c>
      <c r="AD24" s="75">
        <v>99.999177788191943</v>
      </c>
      <c r="AE24" s="75">
        <v>99.998196849539553</v>
      </c>
      <c r="AF24" s="75">
        <v>99.995923738566049</v>
      </c>
      <c r="AG24" s="75">
        <v>99.990654036193206</v>
      </c>
      <c r="AH24" s="75">
        <v>99.978436285299537</v>
      </c>
      <c r="AI24" s="75">
        <v>99.950110370468991</v>
      </c>
      <c r="AJ24" s="75">
        <v>99.884447592919074</v>
      </c>
      <c r="AK24" s="75">
        <v>99.732283247564823</v>
      </c>
      <c r="AL24" s="75">
        <v>99.379932928400237</v>
      </c>
      <c r="AM24" s="75">
        <v>98.565482231819985</v>
      </c>
      <c r="AN24" s="75">
        <v>96.690646583176616</v>
      </c>
      <c r="AO24" s="75">
        <v>92.416008239778876</v>
      </c>
      <c r="AP24" s="75">
        <v>82.884830588686356</v>
      </c>
      <c r="AQ24" s="94">
        <v>62.714320359431994</v>
      </c>
      <c r="AR24" s="92">
        <v>25.006275916335039</v>
      </c>
      <c r="AS24" s="86">
        <v>15.442077775340753</v>
      </c>
      <c r="AT24" s="86">
        <v>12.180659910441367</v>
      </c>
      <c r="AU24" s="86">
        <v>10.911384748053395</v>
      </c>
      <c r="AV24" s="86">
        <v>10.387942383603358</v>
      </c>
      <c r="AW24" s="86">
        <v>10.166734371569449</v>
      </c>
      <c r="AX24" s="86">
        <v>10.072638112008187</v>
      </c>
      <c r="AY24" s="87">
        <v>10.0333670614149</v>
      </c>
      <c r="AZ24" s="72">
        <v>10.019119393693728</v>
      </c>
      <c r="BA24" s="35">
        <v>6</v>
      </c>
    </row>
    <row r="25" spans="2:53" x14ac:dyDescent="0.2">
      <c r="B25" s="34">
        <v>7</v>
      </c>
      <c r="C25" s="72">
        <v>99.999997870430363</v>
      </c>
      <c r="D25" s="74">
        <v>99.999997575581034</v>
      </c>
      <c r="E25" s="75">
        <v>99.999996936857983</v>
      </c>
      <c r="F25" s="75">
        <v>99.999995837046555</v>
      </c>
      <c r="G25" s="75">
        <v>99.999996375844162</v>
      </c>
      <c r="H25" s="75">
        <v>99.999996375662121</v>
      </c>
      <c r="I25" s="75">
        <v>99.999995836751509</v>
      </c>
      <c r="J25" s="75">
        <v>99.999994613207875</v>
      </c>
      <c r="K25" s="75">
        <v>99.999995837046555</v>
      </c>
      <c r="L25" s="75">
        <v>99.999996375844162</v>
      </c>
      <c r="M25" s="75">
        <v>99.999996375662121</v>
      </c>
      <c r="N25" s="75">
        <v>99.999995836751509</v>
      </c>
      <c r="O25" s="75">
        <v>99.999994613207875</v>
      </c>
      <c r="P25" s="75">
        <v>99.99999239675185</v>
      </c>
      <c r="Q25" s="75">
        <v>99.999988696596304</v>
      </c>
      <c r="R25" s="75">
        <v>99.999982842637635</v>
      </c>
      <c r="S25" s="75">
        <v>99.999974058362767</v>
      </c>
      <c r="T25" s="75">
        <v>99.999961660098052</v>
      </c>
      <c r="U25" s="75">
        <v>99.999945403908981</v>
      </c>
      <c r="V25" s="75">
        <v>99.999925863678953</v>
      </c>
      <c r="W25" s="75">
        <v>99.999904473715802</v>
      </c>
      <c r="X25" s="75">
        <v>99.999882717257734</v>
      </c>
      <c r="Y25" s="75">
        <v>99.99986036761652</v>
      </c>
      <c r="Z25" s="75">
        <v>99.999833430679473</v>
      </c>
      <c r="AA25" s="75">
        <v>99.999790761558344</v>
      </c>
      <c r="AB25" s="75">
        <v>99.999706268210574</v>
      </c>
      <c r="AC25" s="75">
        <v>99.999520205911182</v>
      </c>
      <c r="AD25" s="75">
        <v>99.999095159197566</v>
      </c>
      <c r="AE25" s="75">
        <v>99.998113574793891</v>
      </c>
      <c r="AF25" s="75">
        <v>99.995840011541489</v>
      </c>
      <c r="AG25" s="75">
        <v>99.990569892702013</v>
      </c>
      <c r="AH25" s="75">
        <v>99.978351616504071</v>
      </c>
      <c r="AI25" s="75">
        <v>99.950024901785142</v>
      </c>
      <c r="AJ25" s="75">
        <v>99.884360831550211</v>
      </c>
      <c r="AK25" s="75">
        <v>99.732194408735111</v>
      </c>
      <c r="AL25" s="75">
        <v>99.379840875414175</v>
      </c>
      <c r="AM25" s="75">
        <v>98.56538553458131</v>
      </c>
      <c r="AN25" s="75">
        <v>96.690543976357731</v>
      </c>
      <c r="AO25" s="75">
        <v>92.415900178059289</v>
      </c>
      <c r="AP25" s="75">
        <v>82.884723392754381</v>
      </c>
      <c r="AQ25" s="94">
        <v>62.714234743538263</v>
      </c>
      <c r="AR25" s="92">
        <v>25.006253824459165</v>
      </c>
      <c r="AS25" s="86">
        <v>15.442067792415418</v>
      </c>
      <c r="AT25" s="86">
        <v>12.180652690492105</v>
      </c>
      <c r="AU25" s="86">
        <v>10.911376241418678</v>
      </c>
      <c r="AV25" s="86">
        <v>10.387928592333996</v>
      </c>
      <c r="AW25" s="86">
        <v>10.166710108395568</v>
      </c>
      <c r="AX25" s="86">
        <v>10.072597431701277</v>
      </c>
      <c r="AY25" s="87">
        <v>10.033306237828121</v>
      </c>
      <c r="AZ25" s="72">
        <v>10.019042789782905</v>
      </c>
      <c r="BA25" s="35">
        <v>7</v>
      </c>
    </row>
    <row r="26" spans="2:53" x14ac:dyDescent="0.2">
      <c r="B26" s="34">
        <v>8</v>
      </c>
      <c r="C26" s="72">
        <v>99.999996004771248</v>
      </c>
      <c r="D26" s="74">
        <v>99.999995468105226</v>
      </c>
      <c r="E26" s="75">
        <v>99.999994319419329</v>
      </c>
      <c r="F26" s="75">
        <v>99.9999923686579</v>
      </c>
      <c r="G26" s="75">
        <v>99.999993278757699</v>
      </c>
      <c r="H26" s="75">
        <v>99.999993278108334</v>
      </c>
      <c r="I26" s="75">
        <v>99.999992367605344</v>
      </c>
      <c r="J26" s="75">
        <v>99.999990268721746</v>
      </c>
      <c r="K26" s="75">
        <v>99.9999923686579</v>
      </c>
      <c r="L26" s="75">
        <v>99.999993278757699</v>
      </c>
      <c r="M26" s="75">
        <v>99.999993278108334</v>
      </c>
      <c r="N26" s="75">
        <v>99.999992367605344</v>
      </c>
      <c r="O26" s="75">
        <v>99.999990268721746</v>
      </c>
      <c r="P26" s="75">
        <v>99.999986375275327</v>
      </c>
      <c r="Q26" s="75">
        <v>99.999979678552151</v>
      </c>
      <c r="R26" s="75">
        <v>99.999968718040009</v>
      </c>
      <c r="S26" s="75">
        <v>99.999951665386732</v>
      </c>
      <c r="T26" s="75">
        <v>99.999926713540006</v>
      </c>
      <c r="U26" s="75">
        <v>99.999892934390388</v>
      </c>
      <c r="V26" s="75">
        <v>99.999851490512853</v>
      </c>
      <c r="W26" s="75">
        <v>99.999806330186928</v>
      </c>
      <c r="X26" s="75">
        <v>99.99976266908709</v>
      </c>
      <c r="Y26" s="75">
        <v>99.999722794686761</v>
      </c>
      <c r="Z26" s="75">
        <v>99.999683301259765</v>
      </c>
      <c r="AA26" s="75">
        <v>99.999632357749419</v>
      </c>
      <c r="AB26" s="75">
        <v>99.999542743238308</v>
      </c>
      <c r="AC26" s="75">
        <v>99.999353649172804</v>
      </c>
      <c r="AD26" s="75">
        <v>99.998926846046544</v>
      </c>
      <c r="AE26" s="75">
        <v>99.99794421850153</v>
      </c>
      <c r="AF26" s="75">
        <v>99.995669947659621</v>
      </c>
      <c r="AG26" s="75">
        <v>99.990399183101175</v>
      </c>
      <c r="AH26" s="75">
        <v>99.978180079122922</v>
      </c>
      <c r="AI26" s="75">
        <v>99.949852073300661</v>
      </c>
      <c r="AJ26" s="75">
        <v>99.884185868982556</v>
      </c>
      <c r="AK26" s="75">
        <v>99.732015946605443</v>
      </c>
      <c r="AL26" s="75">
        <v>99.379656901033641</v>
      </c>
      <c r="AM26" s="75">
        <v>98.565193478135285</v>
      </c>
      <c r="AN26" s="75">
        <v>96.690341557943114</v>
      </c>
      <c r="AO26" s="75">
        <v>92.415688368444719</v>
      </c>
      <c r="AP26" s="75">
        <v>82.884514396003752</v>
      </c>
      <c r="AQ26" s="94">
        <v>62.714068487275725</v>
      </c>
      <c r="AR26" s="92">
        <v>25.006211223575701</v>
      </c>
      <c r="AS26" s="86">
        <v>15.442049596238762</v>
      </c>
      <c r="AT26" s="86">
        <v>12.180642098197771</v>
      </c>
      <c r="AU26" s="86">
        <v>10.911367988744439</v>
      </c>
      <c r="AV26" s="86">
        <v>10.387919561917004</v>
      </c>
      <c r="AW26" s="86">
        <v>10.166697546672882</v>
      </c>
      <c r="AX26" s="86">
        <v>10.0725789299781</v>
      </c>
      <c r="AY26" s="87">
        <v>10.033280741310335</v>
      </c>
      <c r="AZ26" s="72">
        <v>10.019012173886319</v>
      </c>
      <c r="BA26" s="35">
        <v>8</v>
      </c>
    </row>
    <row r="27" spans="2:53" x14ac:dyDescent="0.2">
      <c r="B27" s="34">
        <v>9</v>
      </c>
      <c r="C27" s="72">
        <v>99.999992487456979</v>
      </c>
      <c r="D27" s="74">
        <v>99.999991496154934</v>
      </c>
      <c r="E27" s="75">
        <v>99.999989411343577</v>
      </c>
      <c r="F27" s="75">
        <v>99.999985952846842</v>
      </c>
      <c r="G27" s="75">
        <v>99.99998744086659</v>
      </c>
      <c r="H27" s="75">
        <v>99.999987438520762</v>
      </c>
      <c r="I27" s="75">
        <v>99.999985949040493</v>
      </c>
      <c r="J27" s="75">
        <v>99.999982463665717</v>
      </c>
      <c r="K27" s="75">
        <v>99.999985952846842</v>
      </c>
      <c r="L27" s="75">
        <v>99.99998744086659</v>
      </c>
      <c r="M27" s="75">
        <v>99.999987438520762</v>
      </c>
      <c r="N27" s="75">
        <v>99.999985949040493</v>
      </c>
      <c r="O27" s="75">
        <v>99.999982463665717</v>
      </c>
      <c r="P27" s="75">
        <v>99.999975836678075</v>
      </c>
      <c r="Q27" s="75">
        <v>99.999964066134652</v>
      </c>
      <c r="R27" s="75">
        <v>99.999944061207344</v>
      </c>
      <c r="S27" s="75">
        <v>99.999911610896561</v>
      </c>
      <c r="T27" s="75">
        <v>99.999862000559958</v>
      </c>
      <c r="U27" s="75">
        <v>99.999791929273684</v>
      </c>
      <c r="V27" s="75">
        <v>99.999703027478077</v>
      </c>
      <c r="W27" s="75">
        <v>99.999605215406106</v>
      </c>
      <c r="X27" s="75">
        <v>99.999514094881505</v>
      </c>
      <c r="Y27" s="75">
        <v>99.999437926440223</v>
      </c>
      <c r="Z27" s="75">
        <v>99.999373772975318</v>
      </c>
      <c r="AA27" s="75">
        <v>99.999307428881863</v>
      </c>
      <c r="AB27" s="75">
        <v>99.999208758550452</v>
      </c>
      <c r="AC27" s="75">
        <v>99.999014553608049</v>
      </c>
      <c r="AD27" s="75">
        <v>99.998584918741372</v>
      </c>
      <c r="AE27" s="75">
        <v>99.997600677238339</v>
      </c>
      <c r="AF27" s="75">
        <v>99.995325345386988</v>
      </c>
      <c r="AG27" s="75">
        <v>99.990053617841014</v>
      </c>
      <c r="AH27" s="75">
        <v>99.977833254258897</v>
      </c>
      <c r="AI27" s="75">
        <v>99.949503232291349</v>
      </c>
      <c r="AJ27" s="75">
        <v>99.883833616531348</v>
      </c>
      <c r="AK27" s="75">
        <v>99.731657981481646</v>
      </c>
      <c r="AL27" s="75">
        <v>99.379289767738058</v>
      </c>
      <c r="AM27" s="75">
        <v>98.564812698843852</v>
      </c>
      <c r="AN27" s="75">
        <v>96.689943175844249</v>
      </c>
      <c r="AO27" s="75">
        <v>92.415274520916512</v>
      </c>
      <c r="AP27" s="75">
        <v>82.8841085499797</v>
      </c>
      <c r="AQ27" s="94">
        <v>62.713747091880357</v>
      </c>
      <c r="AR27" s="92">
        <v>25.006129266760666</v>
      </c>
      <c r="AS27" s="86">
        <v>15.442015558385574</v>
      </c>
      <c r="AT27" s="86">
        <v>12.180624125420211</v>
      </c>
      <c r="AU27" s="86">
        <v>10.911357000866664</v>
      </c>
      <c r="AV27" s="86">
        <v>10.387911441036264</v>
      </c>
      <c r="AW27" s="86">
        <v>10.166689752281027</v>
      </c>
      <c r="AX27" s="86">
        <v>10.072569805382155</v>
      </c>
      <c r="AY27" s="87">
        <v>10.033269577330447</v>
      </c>
      <c r="AZ27" s="72">
        <v>10.018999468948063</v>
      </c>
      <c r="BA27" s="35">
        <v>9</v>
      </c>
    </row>
    <row r="28" spans="2:53" x14ac:dyDescent="0.2">
      <c r="B28" s="34">
        <v>10</v>
      </c>
      <c r="C28" s="72">
        <v>99.999985858070019</v>
      </c>
      <c r="D28" s="74">
        <v>99.99998398484658</v>
      </c>
      <c r="E28" s="75">
        <v>99.999980131245096</v>
      </c>
      <c r="F28" s="75">
        <v>99.999973949089608</v>
      </c>
      <c r="G28" s="75">
        <v>99.999976295486064</v>
      </c>
      <c r="H28" s="75">
        <v>99.999976287012188</v>
      </c>
      <c r="I28" s="75">
        <v>99.999973935314614</v>
      </c>
      <c r="J28" s="75">
        <v>99.999968360889127</v>
      </c>
      <c r="K28" s="75">
        <v>99.999973949089608</v>
      </c>
      <c r="L28" s="75">
        <v>99.999976295486064</v>
      </c>
      <c r="M28" s="75">
        <v>99.999976287012188</v>
      </c>
      <c r="N28" s="75">
        <v>99.999973935314614</v>
      </c>
      <c r="O28" s="75">
        <v>99.999968360889127</v>
      </c>
      <c r="P28" s="75">
        <v>99.999957501829272</v>
      </c>
      <c r="Q28" s="75">
        <v>99.999937559049613</v>
      </c>
      <c r="R28" s="75">
        <v>99.999902250814799</v>
      </c>
      <c r="S28" s="75">
        <v>99.999842210916015</v>
      </c>
      <c r="T28" s="75">
        <v>99.999745501840934</v>
      </c>
      <c r="U28" s="75">
        <v>99.999601269097226</v>
      </c>
      <c r="V28" s="75">
        <v>99.999409089106038</v>
      </c>
      <c r="W28" s="75">
        <v>99.999192440104238</v>
      </c>
      <c r="X28" s="75">
        <v>99.998998038595175</v>
      </c>
      <c r="Y28" s="75">
        <v>99.998847706757928</v>
      </c>
      <c r="Z28" s="75">
        <v>99.99873645727331</v>
      </c>
      <c r="AA28" s="75">
        <v>99.99864253108008</v>
      </c>
      <c r="AB28" s="75">
        <v>99.998528561798025</v>
      </c>
      <c r="AC28" s="75">
        <v>99.998326162781964</v>
      </c>
      <c r="AD28" s="75">
        <v>99.997892196555966</v>
      </c>
      <c r="AE28" s="75">
        <v>99.99690558716118</v>
      </c>
      <c r="AF28" s="75">
        <v>99.994628743613404</v>
      </c>
      <c r="AG28" s="75">
        <v>99.989355644693575</v>
      </c>
      <c r="AH28" s="75">
        <v>99.977133443556355</v>
      </c>
      <c r="AI28" s="75">
        <v>99.948800399886167</v>
      </c>
      <c r="AJ28" s="75">
        <v>99.883125549673693</v>
      </c>
      <c r="AK28" s="75">
        <v>99.7309409631129</v>
      </c>
      <c r="AL28" s="75">
        <v>99.378558111387377</v>
      </c>
      <c r="AM28" s="75">
        <v>98.564058940260452</v>
      </c>
      <c r="AN28" s="75">
        <v>96.689160846920743</v>
      </c>
      <c r="AO28" s="75">
        <v>92.414468506283953</v>
      </c>
      <c r="AP28" s="75">
        <v>82.883323874451037</v>
      </c>
      <c r="AQ28" s="94">
        <v>62.71312917096833</v>
      </c>
      <c r="AR28" s="92">
        <v>25.00597260369133</v>
      </c>
      <c r="AS28" s="86">
        <v>15.441952077890749</v>
      </c>
      <c r="AT28" s="86">
        <v>12.180592503135468</v>
      </c>
      <c r="AU28" s="86">
        <v>10.911339842117698</v>
      </c>
      <c r="AV28" s="86">
        <v>10.387901410610869</v>
      </c>
      <c r="AW28" s="86">
        <v>10.166682995579428</v>
      </c>
      <c r="AX28" s="86">
        <v>10.072564179076318</v>
      </c>
      <c r="AY28" s="87">
        <v>10.033264019972128</v>
      </c>
      <c r="AZ28" s="72">
        <v>10.018993706063171</v>
      </c>
      <c r="BA28" s="35">
        <v>10</v>
      </c>
    </row>
    <row r="29" spans="2:53" x14ac:dyDescent="0.2">
      <c r="B29" s="34">
        <v>11</v>
      </c>
      <c r="C29" s="72">
        <v>99.999973397639835</v>
      </c>
      <c r="D29" s="74">
        <v>99.999969754873646</v>
      </c>
      <c r="E29" s="75">
        <v>99.999962434932101</v>
      </c>
      <c r="F29" s="75">
        <v>99.999951163564489</v>
      </c>
      <c r="G29" s="75">
        <v>99.999954724802222</v>
      </c>
      <c r="H29" s="75">
        <v>99.999954694231803</v>
      </c>
      <c r="I29" s="75">
        <v>99.99995111371986</v>
      </c>
      <c r="J29" s="75">
        <v>99.999942566740827</v>
      </c>
      <c r="K29" s="75">
        <v>99.999951163564489</v>
      </c>
      <c r="L29" s="75">
        <v>99.999954724802222</v>
      </c>
      <c r="M29" s="75">
        <v>99.999954694231803</v>
      </c>
      <c r="N29" s="75">
        <v>99.99995111371986</v>
      </c>
      <c r="O29" s="75">
        <v>99.999942566740827</v>
      </c>
      <c r="P29" s="75">
        <v>99.999925561271723</v>
      </c>
      <c r="Q29" s="75">
        <v>99.999893287106332</v>
      </c>
      <c r="R29" s="75">
        <v>99.99983365203596</v>
      </c>
      <c r="S29" s="75">
        <v>99.99972684875695</v>
      </c>
      <c r="T29" s="75">
        <v>99.999544023320269</v>
      </c>
      <c r="U29" s="75">
        <v>99.999251983972115</v>
      </c>
      <c r="V29" s="75">
        <v>99.998834650121111</v>
      </c>
      <c r="W29" s="75">
        <v>99.998341566472419</v>
      </c>
      <c r="X29" s="75">
        <v>99.997922004906385</v>
      </c>
      <c r="Y29" s="75">
        <v>99.997623864189478</v>
      </c>
      <c r="Z29" s="75">
        <v>99.997426511259732</v>
      </c>
      <c r="AA29" s="75">
        <v>99.997285855347883</v>
      </c>
      <c r="AB29" s="75">
        <v>99.997147607803726</v>
      </c>
      <c r="AC29" s="75">
        <v>99.996932913264217</v>
      </c>
      <c r="AD29" s="75">
        <v>99.996492753704644</v>
      </c>
      <c r="AE29" s="75">
        <v>99.995502893465954</v>
      </c>
      <c r="AF29" s="75">
        <v>99.99322402665419</v>
      </c>
      <c r="AG29" s="75">
        <v>99.987949081823729</v>
      </c>
      <c r="AH29" s="75">
        <v>99.975724338757431</v>
      </c>
      <c r="AI29" s="75">
        <v>99.947387002534612</v>
      </c>
      <c r="AJ29" s="75">
        <v>99.881704550161459</v>
      </c>
      <c r="AK29" s="75">
        <v>99.729506706192112</v>
      </c>
      <c r="AL29" s="75">
        <v>99.377101803667543</v>
      </c>
      <c r="AM29" s="75">
        <v>98.562568969387186</v>
      </c>
      <c r="AN29" s="75">
        <v>96.687627716371267</v>
      </c>
      <c r="AO29" s="75">
        <v>92.412903781794157</v>
      </c>
      <c r="AP29" s="75">
        <v>82.881813900771832</v>
      </c>
      <c r="AQ29" s="94">
        <v>62.711948712648116</v>
      </c>
      <c r="AR29" s="92">
        <v>25.005676242600593</v>
      </c>
      <c r="AS29" s="86">
        <v>15.441835997967425</v>
      </c>
      <c r="AT29" s="86">
        <v>12.180537904723314</v>
      </c>
      <c r="AU29" s="86">
        <v>10.911312457851842</v>
      </c>
      <c r="AV29" s="86">
        <v>10.387887223750827</v>
      </c>
      <c r="AW29" s="86">
        <v>10.166675225352423</v>
      </c>
      <c r="AX29" s="86">
        <v>10.072559373004381</v>
      </c>
      <c r="AY29" s="87">
        <v>10.033260443013885</v>
      </c>
      <c r="AZ29" s="72">
        <v>10.018990535847303</v>
      </c>
      <c r="BA29" s="35">
        <v>11</v>
      </c>
    </row>
    <row r="30" spans="2:53" x14ac:dyDescent="0.2">
      <c r="B30" s="34">
        <v>12</v>
      </c>
      <c r="C30" s="72">
        <v>99.999950119711002</v>
      </c>
      <c r="D30" s="74">
        <v>99.999942819354075</v>
      </c>
      <c r="E30" s="75">
        <v>99.999928444821691</v>
      </c>
      <c r="F30" s="75">
        <v>99.999907223307218</v>
      </c>
      <c r="G30" s="75">
        <v>99.999912436533407</v>
      </c>
      <c r="H30" s="75">
        <v>99.999912326462038</v>
      </c>
      <c r="I30" s="75">
        <v>99.999907042943235</v>
      </c>
      <c r="J30" s="75">
        <v>99.999894514551897</v>
      </c>
      <c r="K30" s="75">
        <v>99.999907223307218</v>
      </c>
      <c r="L30" s="75">
        <v>99.999912436533407</v>
      </c>
      <c r="M30" s="75">
        <v>99.999912326462038</v>
      </c>
      <c r="N30" s="75">
        <v>99.999907042943235</v>
      </c>
      <c r="O30" s="75">
        <v>99.999894514551897</v>
      </c>
      <c r="P30" s="75">
        <v>99.999869257579761</v>
      </c>
      <c r="Q30" s="75">
        <v>99.999819914348421</v>
      </c>
      <c r="R30" s="75">
        <v>99.99972483790124</v>
      </c>
      <c r="S30" s="75">
        <v>99.999545059710243</v>
      </c>
      <c r="T30" s="75">
        <v>99.999215564919268</v>
      </c>
      <c r="U30" s="75">
        <v>99.998642808155495</v>
      </c>
      <c r="V30" s="75">
        <v>99.997738734584331</v>
      </c>
      <c r="W30" s="75">
        <v>99.996569892064088</v>
      </c>
      <c r="X30" s="75">
        <v>99.995663576760322</v>
      </c>
      <c r="Y30" s="75">
        <v>99.995084715808801</v>
      </c>
      <c r="Z30" s="75">
        <v>99.994740729129418</v>
      </c>
      <c r="AA30" s="75">
        <v>99.994527190445325</v>
      </c>
      <c r="AB30" s="75">
        <v>99.994353654087817</v>
      </c>
      <c r="AC30" s="75">
        <v>99.994122078864308</v>
      </c>
      <c r="AD30" s="75">
        <v>99.99367380534288</v>
      </c>
      <c r="AE30" s="75">
        <v>99.992679841727778</v>
      </c>
      <c r="AF30" s="75">
        <v>99.990398470360105</v>
      </c>
      <c r="AG30" s="75">
        <v>99.985121213316006</v>
      </c>
      <c r="AH30" s="75">
        <v>99.972893196452162</v>
      </c>
      <c r="AI30" s="75">
        <v>99.94455020325465</v>
      </c>
      <c r="AJ30" s="75">
        <v>99.878857554403993</v>
      </c>
      <c r="AK30" s="75">
        <v>99.726641668087154</v>
      </c>
      <c r="AL30" s="75">
        <v>99.374206437988803</v>
      </c>
      <c r="AM30" s="75">
        <v>98.559627304642731</v>
      </c>
      <c r="AN30" s="75">
        <v>96.684628879008585</v>
      </c>
      <c r="AO30" s="75">
        <v>92.409875977943415</v>
      </c>
      <c r="AP30" s="75">
        <v>82.878922878688584</v>
      </c>
      <c r="AQ30" s="94">
        <v>62.709710148853183</v>
      </c>
      <c r="AR30" s="92">
        <v>25.005125900480206</v>
      </c>
      <c r="AS30" s="86">
        <v>15.441632078702119</v>
      </c>
      <c r="AT30" s="86">
        <v>12.180448722529748</v>
      </c>
      <c r="AU30" s="86">
        <v>10.911270943194248</v>
      </c>
      <c r="AV30" s="86">
        <v>10.387867352091563</v>
      </c>
      <c r="AW30" s="86">
        <v>10.166665434429378</v>
      </c>
      <c r="AX30" s="86">
        <v>10.072554242790172</v>
      </c>
      <c r="AY30" s="87">
        <v>10.033257375522586</v>
      </c>
      <c r="AZ30" s="72">
        <v>10.018988239133337</v>
      </c>
      <c r="BA30" s="35">
        <v>12</v>
      </c>
    </row>
    <row r="31" spans="2:53" x14ac:dyDescent="0.2">
      <c r="B31" s="34">
        <v>13</v>
      </c>
      <c r="C31" s="72">
        <v>99.99990707166917</v>
      </c>
      <c r="D31" s="74">
        <v>99.999892059776627</v>
      </c>
      <c r="E31" s="75">
        <v>99.999862867485945</v>
      </c>
      <c r="F31" s="75">
        <v>99.999821219782731</v>
      </c>
      <c r="G31" s="75">
        <v>99.999828657093033</v>
      </c>
      <c r="H31" s="75">
        <v>99.999828261919959</v>
      </c>
      <c r="I31" s="75">
        <v>99.999820566906592</v>
      </c>
      <c r="J31" s="75">
        <v>99.999802963906546</v>
      </c>
      <c r="K31" s="75">
        <v>99.999821219782731</v>
      </c>
      <c r="L31" s="75">
        <v>99.999828657093033</v>
      </c>
      <c r="M31" s="75">
        <v>99.999828261919959</v>
      </c>
      <c r="N31" s="75">
        <v>99.999820566906592</v>
      </c>
      <c r="O31" s="75">
        <v>99.999802963906546</v>
      </c>
      <c r="P31" s="75">
        <v>99.999767613645858</v>
      </c>
      <c r="Q31" s="75">
        <v>99.999697206855743</v>
      </c>
      <c r="R31" s="75">
        <v>99.999556552669347</v>
      </c>
      <c r="S31" s="75">
        <v>99.999276541496442</v>
      </c>
      <c r="T31" s="75">
        <v>99.998725848954493</v>
      </c>
      <c r="U31" s="75">
        <v>99.997669994596436</v>
      </c>
      <c r="V31" s="75">
        <v>99.995756604155574</v>
      </c>
      <c r="W31" s="75">
        <v>99.992797163720965</v>
      </c>
      <c r="X31" s="75">
        <v>99.990881508775345</v>
      </c>
      <c r="Y31" s="75">
        <v>99.989819554842839</v>
      </c>
      <c r="Z31" s="75">
        <v>99.989254458330038</v>
      </c>
      <c r="AA31" s="75">
        <v>99.988940901845069</v>
      </c>
      <c r="AB31" s="75">
        <v>99.988722162890681</v>
      </c>
      <c r="AC31" s="75">
        <v>99.988470062526261</v>
      </c>
      <c r="AD31" s="75">
        <v>99.988012315479509</v>
      </c>
      <c r="AE31" s="75">
        <v>99.987013703706651</v>
      </c>
      <c r="AF31" s="75">
        <v>99.984729530902044</v>
      </c>
      <c r="AG31" s="75">
        <v>99.979449652806366</v>
      </c>
      <c r="AH31" s="75">
        <v>99.967217848936556</v>
      </c>
      <c r="AI31" s="75">
        <v>99.938868234883472</v>
      </c>
      <c r="AJ31" s="75">
        <v>99.873163593668039</v>
      </c>
      <c r="AK31" s="75">
        <v>99.720926508111205</v>
      </c>
      <c r="AL31" s="75">
        <v>99.368456055290949</v>
      </c>
      <c r="AM31" s="75">
        <v>98.55382527780317</v>
      </c>
      <c r="AN31" s="75">
        <v>96.678772479394922</v>
      </c>
      <c r="AO31" s="75">
        <v>92.404035692313855</v>
      </c>
      <c r="AP31" s="75">
        <v>82.87341736210017</v>
      </c>
      <c r="AQ31" s="94">
        <v>62.705498591779666</v>
      </c>
      <c r="AR31" s="92">
        <v>25.004146290598769</v>
      </c>
      <c r="AS31" s="86">
        <v>15.441302107974762</v>
      </c>
      <c r="AT31" s="86">
        <v>12.18031739102431</v>
      </c>
      <c r="AU31" s="86">
        <v>10.911214333856346</v>
      </c>
      <c r="AV31" s="86">
        <v>10.38784188904266</v>
      </c>
      <c r="AW31" s="86">
        <v>10.166653617555919</v>
      </c>
      <c r="AX31" s="86">
        <v>10.072548515688858</v>
      </c>
      <c r="AY31" s="87">
        <v>10.033254315586763</v>
      </c>
      <c r="AZ31" s="72">
        <v>10.018986183093533</v>
      </c>
      <c r="BA31" s="35">
        <v>13</v>
      </c>
    </row>
    <row r="32" spans="2:53" x14ac:dyDescent="0.2">
      <c r="B32" s="34">
        <v>14</v>
      </c>
      <c r="C32" s="72">
        <v>99.999828632154319</v>
      </c>
      <c r="D32" s="74">
        <v>99.999797257375192</v>
      </c>
      <c r="E32" s="75">
        <v>99.999736320696073</v>
      </c>
      <c r="F32" s="75">
        <v>99.999650924758683</v>
      </c>
      <c r="G32" s="75">
        <v>99.999661500895513</v>
      </c>
      <c r="H32" s="75">
        <v>99.999660088522873</v>
      </c>
      <c r="I32" s="75">
        <v>99.999648559361376</v>
      </c>
      <c r="J32" s="75">
        <v>99.999624508256488</v>
      </c>
      <c r="K32" s="75">
        <v>99.999650924758683</v>
      </c>
      <c r="L32" s="75">
        <v>99.999661500895513</v>
      </c>
      <c r="M32" s="75">
        <v>99.999660088522873</v>
      </c>
      <c r="N32" s="75">
        <v>99.999648559361376</v>
      </c>
      <c r="O32" s="75">
        <v>99.999624508256488</v>
      </c>
      <c r="P32" s="75">
        <v>99.999577948910286</v>
      </c>
      <c r="Q32" s="75">
        <v>99.999485185662422</v>
      </c>
      <c r="R32" s="75">
        <v>99.999295652455913</v>
      </c>
      <c r="S32" s="75">
        <v>99.998903552369981</v>
      </c>
      <c r="T32" s="75">
        <v>99.99808648091286</v>
      </c>
      <c r="U32" s="75">
        <v>99.996367364697093</v>
      </c>
      <c r="V32" s="75">
        <v>99.992674460842125</v>
      </c>
      <c r="W32" s="106">
        <v>99.984359889846374</v>
      </c>
      <c r="X32" s="107">
        <v>99.980664755777497</v>
      </c>
      <c r="Y32" s="107">
        <v>99.978939614714207</v>
      </c>
      <c r="Z32" s="107">
        <v>99.978108358215806</v>
      </c>
      <c r="AA32" s="107">
        <v>99.977683177217045</v>
      </c>
      <c r="AB32" s="107">
        <v>99.977416379007053</v>
      </c>
      <c r="AC32" s="107">
        <v>99.977143198065079</v>
      </c>
      <c r="AD32" s="107">
        <v>99.976675976197527</v>
      </c>
      <c r="AE32" s="107">
        <v>99.975672808944296</v>
      </c>
      <c r="AF32" s="107">
        <v>99.973385924504342</v>
      </c>
      <c r="AG32" s="107">
        <v>99.968103528065441</v>
      </c>
      <c r="AH32" s="107">
        <v>99.95586813889885</v>
      </c>
      <c r="AI32" s="107">
        <v>99.927512423435829</v>
      </c>
      <c r="AJ32" s="107">
        <v>99.861797184022635</v>
      </c>
      <c r="AK32" s="107">
        <v>99.709542602982424</v>
      </c>
      <c r="AL32" s="107">
        <v>99.357046657116939</v>
      </c>
      <c r="AM32" s="107">
        <v>98.542389690787118</v>
      </c>
      <c r="AN32" s="107">
        <v>96.667349333555322</v>
      </c>
      <c r="AO32" s="107">
        <v>92.392805561552706</v>
      </c>
      <c r="AP32" s="107">
        <v>82.862994315241039</v>
      </c>
      <c r="AQ32" s="108">
        <v>62.697620979555118</v>
      </c>
      <c r="AR32" s="92">
        <v>25.002622998619202</v>
      </c>
      <c r="AS32" s="86">
        <v>15.440861355804705</v>
      </c>
      <c r="AT32" s="86">
        <v>12.1801582446738</v>
      </c>
      <c r="AU32" s="86">
        <v>10.911149536106711</v>
      </c>
      <c r="AV32" s="86">
        <v>10.387813721842054</v>
      </c>
      <c r="AW32" s="86">
        <v>10.166640864805139</v>
      </c>
      <c r="AX32" s="86">
        <v>10.072542500361338</v>
      </c>
      <c r="AY32" s="87">
        <v>10.033251228393231</v>
      </c>
      <c r="AZ32" s="72">
        <v>10.018984198030102</v>
      </c>
      <c r="BA32" s="35">
        <v>14</v>
      </c>
    </row>
    <row r="33" spans="2:53" x14ac:dyDescent="0.2">
      <c r="B33" s="34">
        <v>15</v>
      </c>
      <c r="C33" s="72">
        <v>99.99968853296626</v>
      </c>
      <c r="D33" s="74">
        <v>99.999622742673253</v>
      </c>
      <c r="E33" s="75">
        <v>99.999493439927562</v>
      </c>
      <c r="F33" s="75">
        <v>99.999311529286544</v>
      </c>
      <c r="G33" s="75">
        <v>99.999326914605277</v>
      </c>
      <c r="H33" s="75">
        <v>99.999321902945596</v>
      </c>
      <c r="I33" s="75">
        <v>99.99930294375585</v>
      </c>
      <c r="J33" s="75">
        <v>99.99926988619022</v>
      </c>
      <c r="K33" s="75">
        <v>99.999311529286544</v>
      </c>
      <c r="L33" s="75">
        <v>99.999326914605277</v>
      </c>
      <c r="M33" s="75">
        <v>99.999321902945596</v>
      </c>
      <c r="N33" s="75">
        <v>99.99930294375585</v>
      </c>
      <c r="O33" s="75">
        <v>99.99926988619022</v>
      </c>
      <c r="P33" s="75">
        <v>99.99921159945248</v>
      </c>
      <c r="Q33" s="75">
        <v>99.999099074928111</v>
      </c>
      <c r="R33" s="75">
        <v>99.998869104653721</v>
      </c>
      <c r="S33" s="75">
        <v>99.9983873490891</v>
      </c>
      <c r="T33" s="75">
        <v>99.997367341129006</v>
      </c>
      <c r="U33" s="75">
        <v>99.995193114317644</v>
      </c>
      <c r="V33" s="75">
        <v>99.990528399679221</v>
      </c>
      <c r="W33" s="109">
        <v>99.980465322385498</v>
      </c>
      <c r="X33" s="83">
        <v>99.975798386870736</v>
      </c>
      <c r="Y33" s="83">
        <v>99.973618269731233</v>
      </c>
      <c r="Z33" s="83">
        <v>99.972584488181283</v>
      </c>
      <c r="AA33" s="83">
        <v>99.972070526831089</v>
      </c>
      <c r="AB33" s="83">
        <v>99.971764896062595</v>
      </c>
      <c r="AC33" s="83">
        <v>99.971474629876241</v>
      </c>
      <c r="AD33" s="83">
        <v>99.970999718577687</v>
      </c>
      <c r="AE33" s="83">
        <v>99.969992787256416</v>
      </c>
      <c r="AF33" s="83">
        <v>99.967703501083875</v>
      </c>
      <c r="AG33" s="83">
        <v>99.962418610553414</v>
      </c>
      <c r="AH33" s="83">
        <v>99.950179382458444</v>
      </c>
      <c r="AI33" s="83">
        <v>99.921816840208635</v>
      </c>
      <c r="AJ33" s="83">
        <v>99.856089230180615</v>
      </c>
      <c r="AK33" s="83">
        <v>99.7038128526317</v>
      </c>
      <c r="AL33" s="83">
        <v>99.351280807775865</v>
      </c>
      <c r="AM33" s="83">
        <v>98.53657100060785</v>
      </c>
      <c r="AN33" s="83">
        <v>96.661474813034644</v>
      </c>
      <c r="AO33" s="83">
        <v>92.386945805920149</v>
      </c>
      <c r="AP33" s="83">
        <v>82.857469240724313</v>
      </c>
      <c r="AQ33" s="110">
        <v>62.693393730075513</v>
      </c>
      <c r="AR33" s="92">
        <v>25.001639281983014</v>
      </c>
      <c r="AS33" s="86">
        <v>15.440529620050084</v>
      </c>
      <c r="AT33" s="86">
        <v>12.180025932158344</v>
      </c>
      <c r="AU33" s="86">
        <v>10.911092330708072</v>
      </c>
      <c r="AV33" s="86">
        <v>10.387787912028456</v>
      </c>
      <c r="AW33" s="86">
        <v>10.166628888183814</v>
      </c>
      <c r="AX33" s="86">
        <v>10.072536758170772</v>
      </c>
      <c r="AY33" s="87">
        <v>10.033248256329539</v>
      </c>
      <c r="AZ33" s="72">
        <v>10.01898228442659</v>
      </c>
      <c r="BA33" s="35">
        <v>15</v>
      </c>
    </row>
    <row r="34" spans="2:53" x14ac:dyDescent="0.2">
      <c r="B34" s="34">
        <v>16</v>
      </c>
      <c r="C34" s="72">
        <v>99.999444586471967</v>
      </c>
      <c r="D34" s="74">
        <v>99.999308255935816</v>
      </c>
      <c r="E34" s="75">
        <v>99.999033239956503</v>
      </c>
      <c r="F34" s="75">
        <v>99.998635100643952</v>
      </c>
      <c r="G34" s="75">
        <v>99.99865742470341</v>
      </c>
      <c r="H34" s="75">
        <v>99.998639852477481</v>
      </c>
      <c r="I34" s="75">
        <v>99.998603835245888</v>
      </c>
      <c r="J34" s="75">
        <v>99.998555739486576</v>
      </c>
      <c r="K34" s="75">
        <v>99.998635100643952</v>
      </c>
      <c r="L34" s="75">
        <v>99.99865742470341</v>
      </c>
      <c r="M34" s="75">
        <v>99.998639852477481</v>
      </c>
      <c r="N34" s="75">
        <v>99.998603835245888</v>
      </c>
      <c r="O34" s="75">
        <v>99.998555739486576</v>
      </c>
      <c r="P34" s="75">
        <v>99.99848448264845</v>
      </c>
      <c r="Q34" s="75">
        <v>99.998357286575924</v>
      </c>
      <c r="R34" s="75">
        <v>99.998103226966975</v>
      </c>
      <c r="S34" s="75">
        <v>99.997572864426203</v>
      </c>
      <c r="T34" s="75">
        <v>99.996450058214847</v>
      </c>
      <c r="U34" s="75">
        <v>99.994065653955957</v>
      </c>
      <c r="V34" s="75">
        <v>99.989013423769791</v>
      </c>
      <c r="W34" s="109">
        <v>99.978389256738211</v>
      </c>
      <c r="X34" s="83">
        <v>99.973334905792825</v>
      </c>
      <c r="Y34" s="83">
        <v>99.97094493454</v>
      </c>
      <c r="Z34" s="83">
        <v>99.969809113784493</v>
      </c>
      <c r="AA34" s="83">
        <v>99.969248089803358</v>
      </c>
      <c r="AB34" s="150">
        <v>99.968921285679031</v>
      </c>
      <c r="AC34" s="150">
        <v>99.968621538749417</v>
      </c>
      <c r="AD34" s="150">
        <v>99.968142257812033</v>
      </c>
      <c r="AE34" s="150">
        <v>99.967133034655575</v>
      </c>
      <c r="AF34" s="83">
        <v>99.964842031688221</v>
      </c>
      <c r="AG34" s="83">
        <v>99.959555037597653</v>
      </c>
      <c r="AH34" s="83">
        <v>99.947312349424209</v>
      </c>
      <c r="AI34" s="83">
        <v>99.918943601128262</v>
      </c>
      <c r="AJ34" s="83">
        <v>99.853204817143023</v>
      </c>
      <c r="AK34" s="83">
        <v>99.700908858324723</v>
      </c>
      <c r="AL34" s="83">
        <v>99.348344219398513</v>
      </c>
      <c r="AM34" s="83">
        <v>98.533584999849452</v>
      </c>
      <c r="AN34" s="83">
        <v>96.658427821295533</v>
      </c>
      <c r="AO34" s="83">
        <v>92.383866277072727</v>
      </c>
      <c r="AP34" s="83">
        <v>82.854526200944008</v>
      </c>
      <c r="AQ34" s="110">
        <v>62.691113329922352</v>
      </c>
      <c r="AR34" s="92">
        <v>25.00107810023357</v>
      </c>
      <c r="AS34" s="86">
        <v>15.440321034479595</v>
      </c>
      <c r="AT34" s="86">
        <v>12.179934149712388</v>
      </c>
      <c r="AU34" s="86">
        <v>10.911049238277966</v>
      </c>
      <c r="AV34" s="86">
        <v>10.387767132061784</v>
      </c>
      <c r="AW34" s="86">
        <v>10.166618697872122</v>
      </c>
      <c r="AX34" s="86">
        <v>10.0725316288058</v>
      </c>
      <c r="AY34" s="87">
        <v>10.033245479789247</v>
      </c>
      <c r="AZ34" s="72">
        <v>10.018980434711292</v>
      </c>
      <c r="BA34" s="35">
        <v>16</v>
      </c>
    </row>
    <row r="35" spans="2:53" x14ac:dyDescent="0.2">
      <c r="B35" s="34">
        <v>17</v>
      </c>
      <c r="C35" s="72">
        <v>99.999032443577079</v>
      </c>
      <c r="D35" s="74">
        <v>99.9987581931004</v>
      </c>
      <c r="E35" s="75">
        <v>99.998181473963299</v>
      </c>
      <c r="F35" s="75">
        <v>99.997298133957401</v>
      </c>
      <c r="G35" s="75">
        <v>99.997321808863148</v>
      </c>
      <c r="H35" s="75">
        <v>99.997261448401389</v>
      </c>
      <c r="I35" s="75">
        <v>99.997183629018807</v>
      </c>
      <c r="J35" s="75">
        <v>99.997106774796421</v>
      </c>
      <c r="K35" s="75">
        <v>99.997298133957401</v>
      </c>
      <c r="L35" s="75">
        <v>99.997321808863148</v>
      </c>
      <c r="M35" s="75">
        <v>99.997261448401389</v>
      </c>
      <c r="N35" s="75">
        <v>99.997183629018807</v>
      </c>
      <c r="O35" s="75">
        <v>99.997106774796421</v>
      </c>
      <c r="P35" s="75">
        <v>99.997018438171267</v>
      </c>
      <c r="Q35" s="75">
        <v>99.996881851276328</v>
      </c>
      <c r="R35" s="75">
        <v>99.996622845847554</v>
      </c>
      <c r="S35" s="75">
        <v>99.996089929717812</v>
      </c>
      <c r="T35" s="75">
        <v>99.994965795604983</v>
      </c>
      <c r="U35" s="75">
        <v>99.992580664699503</v>
      </c>
      <c r="V35" s="75">
        <v>99.987527999763188</v>
      </c>
      <c r="W35" s="109">
        <v>99.97690358915321</v>
      </c>
      <c r="X35" s="83">
        <v>99.971849032177417</v>
      </c>
      <c r="Y35" s="83">
        <v>99.96945891134267</v>
      </c>
      <c r="Z35" s="83">
        <v>99.968322983286015</v>
      </c>
      <c r="AA35" s="83">
        <v>99.967761870183793</v>
      </c>
      <c r="AB35" s="150">
        <v>99.967434966020775</v>
      </c>
      <c r="AC35" s="150">
        <v>99.967135068748689</v>
      </c>
      <c r="AD35" s="150">
        <v>99.96665552439562</v>
      </c>
      <c r="AE35" s="150">
        <v>99.965645815218565</v>
      </c>
      <c r="AF35" s="83">
        <v>99.963353906940142</v>
      </c>
      <c r="AG35" s="83">
        <v>99.95806523566165</v>
      </c>
      <c r="AH35" s="83">
        <v>99.945819476708039</v>
      </c>
      <c r="AI35" s="83">
        <v>99.917445198021852</v>
      </c>
      <c r="AJ35" s="83">
        <v>99.851696674175628</v>
      </c>
      <c r="AK35" s="83">
        <v>99.699384095286376</v>
      </c>
      <c r="AL35" s="83">
        <v>99.34679242226656</v>
      </c>
      <c r="AM35" s="83">
        <v>98.531992642521246</v>
      </c>
      <c r="AN35" s="83">
        <v>96.656783786157618</v>
      </c>
      <c r="AO35" s="83">
        <v>92.382182644438004</v>
      </c>
      <c r="AP35" s="83">
        <v>82.852896727447686</v>
      </c>
      <c r="AQ35" s="110">
        <v>62.689836728921264</v>
      </c>
      <c r="AR35" s="92">
        <v>25.000756926514345</v>
      </c>
      <c r="AS35" s="86">
        <v>15.440194275727865</v>
      </c>
      <c r="AT35" s="86">
        <v>12.179873603928437</v>
      </c>
      <c r="AU35" s="86">
        <v>10.911018260708046</v>
      </c>
      <c r="AV35" s="86">
        <v>10.387750907589934</v>
      </c>
      <c r="AW35" s="86">
        <v>10.166610090715333</v>
      </c>
      <c r="AX35" s="86">
        <v>10.072526951895863</v>
      </c>
      <c r="AY35" s="87">
        <v>10.033242751518598</v>
      </c>
      <c r="AZ35" s="72">
        <v>10.018978509297593</v>
      </c>
      <c r="BA35" s="35">
        <v>17</v>
      </c>
    </row>
    <row r="36" spans="2:53" x14ac:dyDescent="0.2">
      <c r="B36" s="34">
        <v>18</v>
      </c>
      <c r="C36" s="72">
        <v>99.998357668144791</v>
      </c>
      <c r="D36" s="74">
        <v>99.99783419496481</v>
      </c>
      <c r="E36" s="75">
        <v>99.996667213990364</v>
      </c>
      <c r="F36" s="75">
        <v>99.994712714233614</v>
      </c>
      <c r="G36" s="75">
        <v>99.994666538048179</v>
      </c>
      <c r="H36" s="75">
        <v>99.994466770555775</v>
      </c>
      <c r="I36" s="75">
        <v>99.99428940408599</v>
      </c>
      <c r="J36" s="75">
        <v>99.994156935703629</v>
      </c>
      <c r="K36" s="75">
        <v>99.994712714233614</v>
      </c>
      <c r="L36" s="75">
        <v>99.994666538048179</v>
      </c>
      <c r="M36" s="75">
        <v>99.994466770555775</v>
      </c>
      <c r="N36" s="75">
        <v>99.99428940408599</v>
      </c>
      <c r="O36" s="75">
        <v>99.994156935703629</v>
      </c>
      <c r="P36" s="75">
        <v>99.994042735815057</v>
      </c>
      <c r="Q36" s="75">
        <v>99.993900493979112</v>
      </c>
      <c r="R36" s="75">
        <v>99.993655209382709</v>
      </c>
      <c r="S36" s="75">
        <v>99.993165661126824</v>
      </c>
      <c r="T36" s="75">
        <v>99.992141644276359</v>
      </c>
      <c r="U36" s="75">
        <v>99.989965243828564</v>
      </c>
      <c r="V36" s="75">
        <v>99.985299239327006</v>
      </c>
      <c r="W36" s="109">
        <v>99.975235460914689</v>
      </c>
      <c r="X36" s="83">
        <v>99.970567921707726</v>
      </c>
      <c r="Y36" s="83">
        <v>99.968387367634506</v>
      </c>
      <c r="Z36" s="83">
        <v>99.967353271452083</v>
      </c>
      <c r="AA36" s="83">
        <v>99.966839043785654</v>
      </c>
      <c r="AB36" s="150">
        <v>99.966533105952365</v>
      </c>
      <c r="AC36" s="150">
        <v>99.966242369916117</v>
      </c>
      <c r="AD36" s="150">
        <v>99.965766629459068</v>
      </c>
      <c r="AE36" s="150">
        <v>99.964758165241776</v>
      </c>
      <c r="AF36" s="83">
        <v>99.962466023390775</v>
      </c>
      <c r="AG36" s="83">
        <v>99.957175845132554</v>
      </c>
      <c r="AH36" s="83">
        <v>99.944926942770422</v>
      </c>
      <c r="AI36" s="83">
        <v>99.916546990951431</v>
      </c>
      <c r="AJ36" s="83">
        <v>99.850788743150417</v>
      </c>
      <c r="AK36" s="83">
        <v>99.698460128006346</v>
      </c>
      <c r="AL36" s="83">
        <v>99.345843227898555</v>
      </c>
      <c r="AM36" s="83">
        <v>98.531006559631166</v>
      </c>
      <c r="AN36" s="83">
        <v>96.655750744285228</v>
      </c>
      <c r="AO36" s="83">
        <v>92.381108626516479</v>
      </c>
      <c r="AP36" s="83">
        <v>82.851843232284367</v>
      </c>
      <c r="AQ36" s="110">
        <v>62.689002725827045</v>
      </c>
      <c r="AR36" s="92">
        <v>25.000544588385033</v>
      </c>
      <c r="AS36" s="86">
        <v>15.440106867465975</v>
      </c>
      <c r="AT36" s="86">
        <v>12.17982869176026</v>
      </c>
      <c r="AU36" s="86">
        <v>10.910993120732138</v>
      </c>
      <c r="AV36" s="86">
        <v>10.387736426414429</v>
      </c>
      <c r="AW36" s="86">
        <v>10.16660164979306</v>
      </c>
      <c r="AX36" s="86">
        <v>10.07252193031929</v>
      </c>
      <c r="AY36" s="87">
        <v>10.033239566208735</v>
      </c>
      <c r="AZ36" s="72">
        <v>10.018976123344297</v>
      </c>
      <c r="BA36" s="35">
        <v>18</v>
      </c>
    </row>
    <row r="37" spans="2:53" x14ac:dyDescent="0.2">
      <c r="B37" s="34">
        <v>19</v>
      </c>
      <c r="C37" s="72">
        <v>99.997276664943726</v>
      </c>
      <c r="D37" s="74">
        <v>99.996359060222204</v>
      </c>
      <c r="E37" s="75">
        <v>99.994156919634904</v>
      </c>
      <c r="F37" s="75">
        <v>99.989963191125938</v>
      </c>
      <c r="G37" s="75">
        <v>99.989377268047761</v>
      </c>
      <c r="H37" s="75">
        <v>99.988763013678025</v>
      </c>
      <c r="I37" s="75">
        <v>99.988374642677883</v>
      </c>
      <c r="J37" s="75">
        <v>99.988145996403745</v>
      </c>
      <c r="K37" s="75">
        <v>99.989963191125938</v>
      </c>
      <c r="L37" s="75">
        <v>99.989377268047761</v>
      </c>
      <c r="M37" s="75">
        <v>99.988763013678025</v>
      </c>
      <c r="N37" s="75">
        <v>99.988374642677883</v>
      </c>
      <c r="O37" s="75">
        <v>99.988145996403745</v>
      </c>
      <c r="P37" s="75">
        <v>99.98799367217741</v>
      </c>
      <c r="Q37" s="75">
        <v>99.987847520133712</v>
      </c>
      <c r="R37" s="75">
        <v>99.987631358698593</v>
      </c>
      <c r="S37" s="75">
        <v>99.987226004585523</v>
      </c>
      <c r="T37" s="75">
        <v>99.986402233507746</v>
      </c>
      <c r="U37" s="75">
        <v>99.984679550760333</v>
      </c>
      <c r="V37" s="75">
        <v>99.980984570318299</v>
      </c>
      <c r="W37" s="109">
        <v>99.972668916138161</v>
      </c>
      <c r="X37" s="83">
        <v>99.968972843418442</v>
      </c>
      <c r="Y37" s="83">
        <v>99.967247029481584</v>
      </c>
      <c r="Z37" s="83">
        <v>99.966415280454285</v>
      </c>
      <c r="AA37" s="83">
        <v>99.965989661369775</v>
      </c>
      <c r="AB37" s="150">
        <v>99.965722327168223</v>
      </c>
      <c r="AC37" s="150">
        <v>99.965448296202666</v>
      </c>
      <c r="AD37" s="150">
        <v>99.964979554100793</v>
      </c>
      <c r="AE37" s="150">
        <v>99.963973567076295</v>
      </c>
      <c r="AF37" s="83">
        <v>99.96168143167931</v>
      </c>
      <c r="AG37" s="83">
        <v>99.956389330635773</v>
      </c>
      <c r="AH37" s="83">
        <v>99.944136234121444</v>
      </c>
      <c r="AI37" s="83">
        <v>99.915748758306577</v>
      </c>
      <c r="AJ37" s="83">
        <v>99.849977846207651</v>
      </c>
      <c r="AK37" s="83">
        <v>99.697628809650524</v>
      </c>
      <c r="AL37" s="83">
        <v>99.344980524904571</v>
      </c>
      <c r="AM37" s="83">
        <v>98.53009887785349</v>
      </c>
      <c r="AN37" s="83">
        <v>96.654786215685903</v>
      </c>
      <c r="AO37" s="83">
        <v>92.380091795618398</v>
      </c>
      <c r="AP37" s="83">
        <v>82.850834132068513</v>
      </c>
      <c r="AQ37" s="110">
        <v>62.688197144073285</v>
      </c>
      <c r="AR37" s="92">
        <v>25.000338003937848</v>
      </c>
      <c r="AS37" s="86">
        <v>15.440019372516675</v>
      </c>
      <c r="AT37" s="86">
        <v>12.179781139074366</v>
      </c>
      <c r="AU37" s="86">
        <v>10.910964484181283</v>
      </c>
      <c r="AV37" s="86">
        <v>10.387718619146709</v>
      </c>
      <c r="AW37" s="86">
        <v>10.166590502189642</v>
      </c>
      <c r="AX37" s="86">
        <v>10.072514871263294</v>
      </c>
      <c r="AY37" s="87">
        <v>10.03323485310235</v>
      </c>
      <c r="AZ37" s="72">
        <v>10.018972476253133</v>
      </c>
      <c r="BA37" s="35">
        <v>19</v>
      </c>
    </row>
    <row r="38" spans="2:53" x14ac:dyDescent="0.2">
      <c r="B38" s="34">
        <v>20</v>
      </c>
      <c r="C38" s="72">
        <v>99.995522077663225</v>
      </c>
      <c r="D38" s="74">
        <v>99.994115118822975</v>
      </c>
      <c r="E38" s="75">
        <v>99.990479540190307</v>
      </c>
      <c r="F38" s="75">
        <v>99.982363231909858</v>
      </c>
      <c r="G38" s="75">
        <v>99.978576898748457</v>
      </c>
      <c r="H38" s="75">
        <v>99.976990279803672</v>
      </c>
      <c r="I38" s="75">
        <v>99.976263307762636</v>
      </c>
      <c r="J38" s="75">
        <v>99.975906656070563</v>
      </c>
      <c r="K38" s="75">
        <v>99.982363231909858</v>
      </c>
      <c r="L38" s="106">
        <v>99.978576898748457</v>
      </c>
      <c r="M38" s="107">
        <v>99.976990279803672</v>
      </c>
      <c r="N38" s="107">
        <v>99.976263307762636</v>
      </c>
      <c r="O38" s="107">
        <v>99.975906656070563</v>
      </c>
      <c r="P38" s="138">
        <v>99.975708688775569</v>
      </c>
      <c r="Q38" s="138">
        <v>99.975559685699366</v>
      </c>
      <c r="R38" s="138">
        <v>99.9753808824629</v>
      </c>
      <c r="S38" s="138">
        <v>99.975082245029981</v>
      </c>
      <c r="T38" s="107">
        <v>99.974522312958598</v>
      </c>
      <c r="U38" s="107">
        <v>99.973461679802767</v>
      </c>
      <c r="V38" s="107">
        <v>99.971545604589707</v>
      </c>
      <c r="W38" s="83">
        <v>99.968584516478913</v>
      </c>
      <c r="X38" s="83">
        <v>99.966667742713966</v>
      </c>
      <c r="Y38" s="83">
        <v>99.96560500770785</v>
      </c>
      <c r="Z38" s="83">
        <v>99.965039307218461</v>
      </c>
      <c r="AA38" s="83">
        <v>99.964725153370736</v>
      </c>
      <c r="AB38" s="83">
        <v>99.964505607260293</v>
      </c>
      <c r="AC38" s="83">
        <v>99.96425215967507</v>
      </c>
      <c r="AD38" s="83">
        <v>99.96379196080629</v>
      </c>
      <c r="AE38" s="83">
        <v>99.962788785081955</v>
      </c>
      <c r="AF38" s="83">
        <v>99.960496128138999</v>
      </c>
      <c r="AG38" s="83">
        <v>99.955200639270231</v>
      </c>
      <c r="AH38" s="83">
        <v>99.94294053659037</v>
      </c>
      <c r="AI38" s="83">
        <v>99.914540606387163</v>
      </c>
      <c r="AJ38" s="83">
        <v>99.848748775831979</v>
      </c>
      <c r="AK38" s="83">
        <v>99.696366059367165</v>
      </c>
      <c r="AL38" s="83">
        <v>99.343666121322045</v>
      </c>
      <c r="AM38" s="83">
        <v>98.528710606024021</v>
      </c>
      <c r="AN38" s="83">
        <v>96.653304580040611</v>
      </c>
      <c r="AO38" s="83">
        <v>92.378523153812012</v>
      </c>
      <c r="AP38" s="83">
        <v>82.849271823398027</v>
      </c>
      <c r="AQ38" s="110">
        <v>62.686946679503428</v>
      </c>
      <c r="AR38" s="92">
        <v>25.000016590793059</v>
      </c>
      <c r="AS38" s="86">
        <v>15.4398818635719</v>
      </c>
      <c r="AT38" s="86">
        <v>12.17970481260137</v>
      </c>
      <c r="AU38" s="86">
        <v>10.91091726208764</v>
      </c>
      <c r="AV38" s="86">
        <v>10.387688482679602</v>
      </c>
      <c r="AW38" s="86">
        <v>10.166571242763695</v>
      </c>
      <c r="AX38" s="86">
        <v>10.072502506125877</v>
      </c>
      <c r="AY38" s="87">
        <v>10.033226538203168</v>
      </c>
      <c r="AZ38" s="72">
        <v>10.018966027647872</v>
      </c>
      <c r="BA38" s="35">
        <v>20</v>
      </c>
    </row>
    <row r="39" spans="2:53" x14ac:dyDescent="0.2">
      <c r="B39" s="34">
        <v>21</v>
      </c>
      <c r="C39" s="72">
        <v>99.992434332443551</v>
      </c>
      <c r="D39" s="74">
        <v>99.990654551971076</v>
      </c>
      <c r="E39" s="75">
        <v>99.986021781195291</v>
      </c>
      <c r="F39" s="75">
        <v>99.975713271201982</v>
      </c>
      <c r="G39" s="75">
        <v>99.971387075909277</v>
      </c>
      <c r="H39" s="75">
        <v>99.969385953053191</v>
      </c>
      <c r="I39" s="75">
        <v>99.968448243368556</v>
      </c>
      <c r="J39" s="75">
        <v>99.967996194902625</v>
      </c>
      <c r="K39" s="75">
        <v>99.975713271201982</v>
      </c>
      <c r="L39" s="109">
        <v>99.971387075909277</v>
      </c>
      <c r="M39" s="83">
        <v>99.969385953053191</v>
      </c>
      <c r="N39" s="83">
        <v>99.968448243368556</v>
      </c>
      <c r="O39" s="83">
        <v>99.967996194902625</v>
      </c>
      <c r="P39" s="150">
        <v>99.96776181704341</v>
      </c>
      <c r="Q39" s="150">
        <v>99.967612307563499</v>
      </c>
      <c r="R39" s="150">
        <v>99.967469001139406</v>
      </c>
      <c r="S39" s="150">
        <v>99.967265851325962</v>
      </c>
      <c r="T39" s="83">
        <v>99.966924879186365</v>
      </c>
      <c r="U39" s="83">
        <v>99.966346302955017</v>
      </c>
      <c r="V39" s="83">
        <v>99.965439078997875</v>
      </c>
      <c r="W39" s="83">
        <v>99.964268366168298</v>
      </c>
      <c r="X39" s="83">
        <v>99.963360844582255</v>
      </c>
      <c r="Y39" s="83">
        <v>99.962781134776264</v>
      </c>
      <c r="Z39" s="83">
        <v>99.962436437386231</v>
      </c>
      <c r="AA39" s="83">
        <v>99.962222100747965</v>
      </c>
      <c r="AB39" s="83">
        <v>99.962047371271694</v>
      </c>
      <c r="AC39" s="83">
        <v>99.961813705640239</v>
      </c>
      <c r="AD39" s="83">
        <v>99.961361558136346</v>
      </c>
      <c r="AE39" s="83">
        <v>99.960360337245092</v>
      </c>
      <c r="AF39" s="83">
        <v>99.958065448295997</v>
      </c>
      <c r="AG39" s="83">
        <v>99.95276332036434</v>
      </c>
      <c r="AH39" s="83">
        <v>99.940490278775812</v>
      </c>
      <c r="AI39" s="83">
        <v>99.912067410934171</v>
      </c>
      <c r="AJ39" s="83">
        <v>99.846236725373913</v>
      </c>
      <c r="AK39" s="83">
        <v>99.693790782958359</v>
      </c>
      <c r="AL39" s="83">
        <v>99.340992882457869</v>
      </c>
      <c r="AM39" s="83">
        <v>98.525896051535028</v>
      </c>
      <c r="AN39" s="83">
        <v>96.650310396969871</v>
      </c>
      <c r="AO39" s="83">
        <v>92.375362119979783</v>
      </c>
      <c r="AP39" s="83">
        <v>82.846130156179768</v>
      </c>
      <c r="AQ39" s="110">
        <v>62.684435216639855</v>
      </c>
      <c r="AR39" s="92">
        <v>24.999371303960913</v>
      </c>
      <c r="AS39" s="86">
        <v>15.439605927368286</v>
      </c>
      <c r="AT39" s="86">
        <v>12.179551795515099</v>
      </c>
      <c r="AU39" s="86">
        <v>10.910822855005875</v>
      </c>
      <c r="AV39" s="86">
        <v>10.387628587258755</v>
      </c>
      <c r="AW39" s="86">
        <v>10.166533334578885</v>
      </c>
      <c r="AX39" s="86">
        <v>10.072478500002847</v>
      </c>
      <c r="AY39" s="87">
        <v>10.03321066325887</v>
      </c>
      <c r="AZ39" s="72">
        <v>10.018953884123622</v>
      </c>
      <c r="BA39" s="35">
        <v>21</v>
      </c>
    </row>
    <row r="40" spans="2:53" x14ac:dyDescent="0.2">
      <c r="B40" s="34">
        <v>22</v>
      </c>
      <c r="C40" s="72">
        <v>99.986220769825991</v>
      </c>
      <c r="D40" s="74">
        <v>99.984255221713639</v>
      </c>
      <c r="E40" s="75">
        <v>99.979144695711682</v>
      </c>
      <c r="F40" s="75">
        <v>99.967903810871746</v>
      </c>
      <c r="G40" s="75">
        <v>99.963507440460148</v>
      </c>
      <c r="H40" s="75">
        <v>99.961366890903946</v>
      </c>
      <c r="I40" s="75">
        <v>99.960330182076092</v>
      </c>
      <c r="J40" s="75">
        <v>99.959824122261097</v>
      </c>
      <c r="K40" s="75">
        <v>99.967903810871746</v>
      </c>
      <c r="L40" s="109">
        <v>99.963507440460148</v>
      </c>
      <c r="M40" s="83">
        <v>99.961366890903946</v>
      </c>
      <c r="N40" s="83">
        <v>99.960330182076092</v>
      </c>
      <c r="O40" s="83">
        <v>99.959824122261097</v>
      </c>
      <c r="P40" s="150">
        <v>99.959567467616381</v>
      </c>
      <c r="Q40" s="150">
        <v>99.959419605471652</v>
      </c>
      <c r="R40" s="150">
        <v>99.959304106363632</v>
      </c>
      <c r="S40" s="150">
        <v>99.959170199376317</v>
      </c>
      <c r="T40" s="83">
        <v>99.958974101951526</v>
      </c>
      <c r="U40" s="83">
        <v>99.958675415807051</v>
      </c>
      <c r="V40" s="83">
        <v>99.958254591136182</v>
      </c>
      <c r="W40" s="83">
        <v>99.957759526253824</v>
      </c>
      <c r="X40" s="83">
        <v>99.957338724020872</v>
      </c>
      <c r="Y40" s="83">
        <v>99.957039683620351</v>
      </c>
      <c r="Z40" s="83">
        <v>99.956841489469184</v>
      </c>
      <c r="AA40" s="83">
        <v>99.956699746347667</v>
      </c>
      <c r="AB40" s="83">
        <v>99.956559714056709</v>
      </c>
      <c r="AC40" s="83">
        <v>99.956341758598526</v>
      </c>
      <c r="AD40" s="83">
        <v>99.955895450621142</v>
      </c>
      <c r="AE40" s="83">
        <v>99.95489397835793</v>
      </c>
      <c r="AF40" s="83">
        <v>99.952593382451042</v>
      </c>
      <c r="AG40" s="83">
        <v>99.947278344818173</v>
      </c>
      <c r="AH40" s="83">
        <v>99.934980908946315</v>
      </c>
      <c r="AI40" s="83">
        <v>99.906514558804773</v>
      </c>
      <c r="AJ40" s="83">
        <v>99.840609221132397</v>
      </c>
      <c r="AK40" s="83">
        <v>99.688039984904975</v>
      </c>
      <c r="AL40" s="83">
        <v>99.335048329712052</v>
      </c>
      <c r="AM40" s="83">
        <v>98.519668634416263</v>
      </c>
      <c r="AN40" s="83">
        <v>96.643720892190743</v>
      </c>
      <c r="AO40" s="83">
        <v>92.368439695798301</v>
      </c>
      <c r="AP40" s="83">
        <v>82.839276591002886</v>
      </c>
      <c r="AQ40" s="83">
        <v>62.678969774570874</v>
      </c>
      <c r="AR40" s="92">
        <v>24.997968623257098</v>
      </c>
      <c r="AS40" s="86">
        <v>15.439008204325388</v>
      </c>
      <c r="AT40" s="86">
        <v>12.179222843468262</v>
      </c>
      <c r="AU40" s="86">
        <v>10.910622377727149</v>
      </c>
      <c r="AV40" s="86">
        <v>10.387503478704843</v>
      </c>
      <c r="AW40" s="86">
        <v>10.166455733882975</v>
      </c>
      <c r="AX40" s="86">
        <v>10.072430503657721</v>
      </c>
      <c r="AY40" s="87">
        <v>10.033179731468906</v>
      </c>
      <c r="AZ40" s="72">
        <v>10.018930698829529</v>
      </c>
      <c r="BA40" s="35">
        <v>22</v>
      </c>
    </row>
    <row r="41" spans="2:53" x14ac:dyDescent="0.2">
      <c r="B41" s="34">
        <v>23</v>
      </c>
      <c r="C41" s="72">
        <v>99.972523166316336</v>
      </c>
      <c r="D41" s="74">
        <v>99.970587754361873</v>
      </c>
      <c r="E41" s="75">
        <v>99.965470764298004</v>
      </c>
      <c r="F41" s="75">
        <v>99.954106075683072</v>
      </c>
      <c r="G41" s="75">
        <v>99.949710702448243</v>
      </c>
      <c r="H41" s="75">
        <v>99.947527352154097</v>
      </c>
      <c r="I41" s="75">
        <v>99.946449625498374</v>
      </c>
      <c r="J41" s="75">
        <v>99.945917221978036</v>
      </c>
      <c r="K41" s="75">
        <v>99.954106075683072</v>
      </c>
      <c r="L41" s="109">
        <v>99.949710702448243</v>
      </c>
      <c r="M41" s="83">
        <v>99.947527352154097</v>
      </c>
      <c r="N41" s="83">
        <v>99.946449625498374</v>
      </c>
      <c r="O41" s="83">
        <v>99.945917221978036</v>
      </c>
      <c r="P41" s="150">
        <v>99.945649122098459</v>
      </c>
      <c r="Q41" s="150">
        <v>99.945503802759561</v>
      </c>
      <c r="R41" s="150">
        <v>99.945407418272708</v>
      </c>
      <c r="S41" s="150">
        <v>99.945317581981385</v>
      </c>
      <c r="T41" s="83">
        <v>99.945206252591092</v>
      </c>
      <c r="U41" s="83">
        <v>99.945054733805364</v>
      </c>
      <c r="V41" s="83">
        <v>99.944858793566823</v>
      </c>
      <c r="W41" s="83">
        <v>99.944640069848532</v>
      </c>
      <c r="X41" s="83">
        <v>99.944444382367976</v>
      </c>
      <c r="Y41" s="83">
        <v>99.944293065153261</v>
      </c>
      <c r="Z41" s="83">
        <v>99.944180764786424</v>
      </c>
      <c r="AA41" s="83">
        <v>99.944085290784429</v>
      </c>
      <c r="AB41" s="83">
        <v>99.94396858612167</v>
      </c>
      <c r="AC41" s="83">
        <v>99.94376102084496</v>
      </c>
      <c r="AD41" s="83">
        <v>99.943317153943568</v>
      </c>
      <c r="AE41" s="83">
        <v>99.942311652466856</v>
      </c>
      <c r="AF41" s="83">
        <v>99.93999917223087</v>
      </c>
      <c r="AG41" s="83">
        <v>99.934659869067644</v>
      </c>
      <c r="AH41" s="83">
        <v>99.922316925816091</v>
      </c>
      <c r="AI41" s="83">
        <v>99.893768529115903</v>
      </c>
      <c r="AJ41" s="83">
        <v>99.82772009286461</v>
      </c>
      <c r="AK41" s="83">
        <v>99.67491063050872</v>
      </c>
      <c r="AL41" s="83">
        <v>99.321535644929725</v>
      </c>
      <c r="AM41" s="83">
        <v>98.505589188251534</v>
      </c>
      <c r="AN41" s="83">
        <v>96.628911258696363</v>
      </c>
      <c r="AO41" s="83">
        <v>92.352970203822977</v>
      </c>
      <c r="AP41" s="83">
        <v>82.824031150149054</v>
      </c>
      <c r="AQ41" s="83">
        <v>62.666848434064605</v>
      </c>
      <c r="AR41" s="92">
        <v>24.994862056291897</v>
      </c>
      <c r="AS41" s="86">
        <v>15.437690376970277</v>
      </c>
      <c r="AT41" s="86">
        <v>12.178504789224158</v>
      </c>
      <c r="AU41" s="86">
        <v>10.910191653468704</v>
      </c>
      <c r="AV41" s="86">
        <v>10.387240189257149</v>
      </c>
      <c r="AW41" s="86">
        <v>10.166296369367981</v>
      </c>
      <c r="AX41" s="86">
        <v>10.072334635007238</v>
      </c>
      <c r="AY41" s="87">
        <v>10.033119768140212</v>
      </c>
      <c r="AZ41" s="72">
        <v>10.018886807230503</v>
      </c>
      <c r="BA41" s="35">
        <v>23</v>
      </c>
    </row>
    <row r="42" spans="2:53" x14ac:dyDescent="0.2">
      <c r="B42" s="34">
        <v>24</v>
      </c>
      <c r="C42" s="72">
        <v>99.941122922373324</v>
      </c>
      <c r="D42" s="74">
        <v>99.939557455020221</v>
      </c>
      <c r="E42" s="75">
        <v>99.935057173193471</v>
      </c>
      <c r="F42" s="75">
        <v>99.924398449869102</v>
      </c>
      <c r="G42" s="75">
        <v>99.920010120009707</v>
      </c>
      <c r="H42" s="75">
        <v>99.917814210110734</v>
      </c>
      <c r="I42" s="75">
        <v>99.916720273518308</v>
      </c>
      <c r="J42" s="75">
        <v>99.916175861143586</v>
      </c>
      <c r="K42" s="75">
        <v>99.924398449869102</v>
      </c>
      <c r="L42" s="109">
        <v>99.920010120009707</v>
      </c>
      <c r="M42" s="83">
        <v>99.917814210110734</v>
      </c>
      <c r="N42" s="83">
        <v>99.916720273518308</v>
      </c>
      <c r="O42" s="83">
        <v>99.916175861143586</v>
      </c>
      <c r="P42" s="83">
        <v>99.915902390333429</v>
      </c>
      <c r="Q42" s="83">
        <v>99.915759340640079</v>
      </c>
      <c r="R42" s="83">
        <v>99.915674852904971</v>
      </c>
      <c r="S42" s="83">
        <v>99.915610725514327</v>
      </c>
      <c r="T42" s="83">
        <v>99.915545497790305</v>
      </c>
      <c r="U42" s="83">
        <v>99.915467638968039</v>
      </c>
      <c r="V42" s="83">
        <v>99.915374742777487</v>
      </c>
      <c r="W42" s="83">
        <v>99.915274746593965</v>
      </c>
      <c r="X42" s="83">
        <v>99.915182251325191</v>
      </c>
      <c r="Y42" s="83">
        <v>99.915104936998105</v>
      </c>
      <c r="Z42" s="83">
        <v>99.915039382380144</v>
      </c>
      <c r="AA42" s="83">
        <v>99.914970744998001</v>
      </c>
      <c r="AB42" s="83">
        <v>99.914867799544965</v>
      </c>
      <c r="AC42" s="83">
        <v>99.914665308559677</v>
      </c>
      <c r="AD42" s="83">
        <v>99.914219543020877</v>
      </c>
      <c r="AE42" s="83">
        <v>99.913204139805487</v>
      </c>
      <c r="AF42" s="83">
        <v>99.910869365971649</v>
      </c>
      <c r="AG42" s="83">
        <v>99.905486027313074</v>
      </c>
      <c r="AH42" s="83">
        <v>99.89306001712643</v>
      </c>
      <c r="AI42" s="83">
        <v>99.864359615989301</v>
      </c>
      <c r="AJ42" s="83">
        <v>99.798041533853336</v>
      </c>
      <c r="AK42" s="83">
        <v>99.644771672085866</v>
      </c>
      <c r="AL42" s="83">
        <v>99.290650441645354</v>
      </c>
      <c r="AM42" s="83">
        <v>98.473586774803493</v>
      </c>
      <c r="AN42" s="83">
        <v>96.595462900641607</v>
      </c>
      <c r="AO42" s="83">
        <v>92.318252465754512</v>
      </c>
      <c r="AP42" s="83">
        <v>82.789997646519936</v>
      </c>
      <c r="AQ42" s="83">
        <v>62.639885564952699</v>
      </c>
      <c r="AR42" s="92">
        <v>24.987962611624422</v>
      </c>
      <c r="AS42" s="86">
        <v>15.434779287151011</v>
      </c>
      <c r="AT42" s="86">
        <v>12.176937519160463</v>
      </c>
      <c r="AU42" s="86">
        <v>10.909269093681496</v>
      </c>
      <c r="AV42" s="86">
        <v>10.386689683633984</v>
      </c>
      <c r="AW42" s="86">
        <v>10.165972297101366</v>
      </c>
      <c r="AX42" s="86">
        <v>10.072145616060524</v>
      </c>
      <c r="AY42" s="87">
        <v>10.033005380991566</v>
      </c>
      <c r="AZ42" s="72">
        <v>10.018805270019188</v>
      </c>
      <c r="BA42" s="35">
        <v>24</v>
      </c>
    </row>
    <row r="43" spans="2:53" x14ac:dyDescent="0.2">
      <c r="B43" s="34">
        <v>25</v>
      </c>
      <c r="C43" s="72">
        <v>99.868175211679585</v>
      </c>
      <c r="D43" s="74">
        <v>99.867738767711629</v>
      </c>
      <c r="E43" s="75">
        <v>99.865137377242689</v>
      </c>
      <c r="F43" s="75">
        <v>99.856719050646547</v>
      </c>
      <c r="G43" s="75">
        <v>99.852337202146657</v>
      </c>
      <c r="H43" s="75">
        <v>99.850137740871418</v>
      </c>
      <c r="I43" s="75">
        <v>99.849036905313667</v>
      </c>
      <c r="J43" s="75">
        <v>99.848486583029228</v>
      </c>
      <c r="K43" s="75">
        <v>99.856719050646547</v>
      </c>
      <c r="L43" s="109">
        <v>99.852337202146657</v>
      </c>
      <c r="M43" s="83">
        <v>99.850137740871418</v>
      </c>
      <c r="N43" s="83">
        <v>99.849036905313667</v>
      </c>
      <c r="O43" s="83">
        <v>99.848486583029228</v>
      </c>
      <c r="P43" s="83">
        <v>99.848210252046471</v>
      </c>
      <c r="Q43" s="83">
        <v>99.848068494483641</v>
      </c>
      <c r="R43" s="83">
        <v>99.847990686729275</v>
      </c>
      <c r="S43" s="83">
        <v>99.847940557683643</v>
      </c>
      <c r="T43" s="83">
        <v>99.847899196629086</v>
      </c>
      <c r="U43" s="83">
        <v>99.847857200015767</v>
      </c>
      <c r="V43" s="83">
        <v>99.847811532226004</v>
      </c>
      <c r="W43" s="83">
        <v>99.84776404564488</v>
      </c>
      <c r="X43" s="83">
        <v>99.847718858879148</v>
      </c>
      <c r="Y43" s="83">
        <v>99.847677568885047</v>
      </c>
      <c r="Z43" s="83">
        <v>99.847636112264496</v>
      </c>
      <c r="AA43" s="83">
        <v>99.847581693004614</v>
      </c>
      <c r="AB43" s="83">
        <v>99.847485346206469</v>
      </c>
      <c r="AC43" s="83">
        <v>99.847282925185453</v>
      </c>
      <c r="AD43" s="83">
        <v>99.846829776352635</v>
      </c>
      <c r="AE43" s="83">
        <v>99.845795551978142</v>
      </c>
      <c r="AF43" s="83">
        <v>99.843421540229727</v>
      </c>
      <c r="AG43" s="83">
        <v>99.837960993090434</v>
      </c>
      <c r="AH43" s="83">
        <v>99.825387528835776</v>
      </c>
      <c r="AI43" s="83">
        <v>99.796412815229843</v>
      </c>
      <c r="AJ43" s="83">
        <v>99.729599567836317</v>
      </c>
      <c r="AK43" s="83">
        <v>99.575469705252331</v>
      </c>
      <c r="AL43" s="83">
        <v>99.219932859530445</v>
      </c>
      <c r="AM43" s="83">
        <v>98.400725493758515</v>
      </c>
      <c r="AN43" s="83">
        <v>96.519825381892019</v>
      </c>
      <c r="AO43" s="83">
        <v>92.240298796259523</v>
      </c>
      <c r="AP43" s="83">
        <v>82.714053747256003</v>
      </c>
      <c r="AQ43" s="83">
        <v>62.579979940108458</v>
      </c>
      <c r="AR43" s="92">
        <v>24.972659663710033</v>
      </c>
      <c r="AS43" s="86">
        <v>15.428363912180602</v>
      </c>
      <c r="AT43" s="86">
        <v>12.173533519635155</v>
      </c>
      <c r="AU43" s="86">
        <v>10.907309969727372</v>
      </c>
      <c r="AV43" s="86">
        <v>10.385552982440087</v>
      </c>
      <c r="AW43" s="86">
        <v>10.165323892970735</v>
      </c>
      <c r="AX43" s="86">
        <v>10.071780123922775</v>
      </c>
      <c r="AY43" s="87">
        <v>10.032792032629656</v>
      </c>
      <c r="AZ43" s="72">
        <v>10.018657579758191</v>
      </c>
      <c r="BA43" s="35">
        <v>25</v>
      </c>
    </row>
    <row r="44" spans="2:53" x14ac:dyDescent="0.2">
      <c r="B44" s="34">
        <v>26</v>
      </c>
      <c r="C44" s="72">
        <v>99.697985325638044</v>
      </c>
      <c r="D44" s="74">
        <v>99.700652597438435</v>
      </c>
      <c r="E44" s="75">
        <v>99.703105872447935</v>
      </c>
      <c r="F44" s="75">
        <v>99.700521521090252</v>
      </c>
      <c r="G44" s="75">
        <v>99.696148436721359</v>
      </c>
      <c r="H44" s="75">
        <v>99.693948199854873</v>
      </c>
      <c r="I44" s="75">
        <v>99.69284308152227</v>
      </c>
      <c r="J44" s="75">
        <v>99.692288463107531</v>
      </c>
      <c r="K44" s="75">
        <v>99.700521521090252</v>
      </c>
      <c r="L44" s="109">
        <v>99.696148436721359</v>
      </c>
      <c r="M44" s="83">
        <v>99.693948199854873</v>
      </c>
      <c r="N44" s="83">
        <v>99.69284308152227</v>
      </c>
      <c r="O44" s="83">
        <v>99.692288463107531</v>
      </c>
      <c r="P44" s="83">
        <v>99.692009528909409</v>
      </c>
      <c r="Q44" s="83">
        <v>99.691867691140217</v>
      </c>
      <c r="R44" s="83">
        <v>99.691792960631673</v>
      </c>
      <c r="S44" s="83">
        <v>99.69174983876168</v>
      </c>
      <c r="T44" s="83">
        <v>99.691720281262747</v>
      </c>
      <c r="U44" s="83">
        <v>99.691695373666576</v>
      </c>
      <c r="V44" s="83">
        <v>99.691671351537622</v>
      </c>
      <c r="W44" s="83">
        <v>99.691647444845316</v>
      </c>
      <c r="X44" s="83">
        <v>99.691623933157899</v>
      </c>
      <c r="Y44" s="83">
        <v>99.691599753233461</v>
      </c>
      <c r="Z44" s="83">
        <v>99.691569994716943</v>
      </c>
      <c r="AA44" s="83">
        <v>99.691522035769751</v>
      </c>
      <c r="AB44" s="83">
        <v>99.691426997656635</v>
      </c>
      <c r="AC44" s="83">
        <v>99.691219677421657</v>
      </c>
      <c r="AD44" s="83">
        <v>99.690751971263211</v>
      </c>
      <c r="AE44" s="83">
        <v>99.689685642051003</v>
      </c>
      <c r="AF44" s="83">
        <v>99.687245904905865</v>
      </c>
      <c r="AG44" s="83">
        <v>99.681654968230944</v>
      </c>
      <c r="AH44" s="83">
        <v>99.668828732168137</v>
      </c>
      <c r="AI44" s="83">
        <v>99.639375789249229</v>
      </c>
      <c r="AJ44" s="83">
        <v>99.571684323577017</v>
      </c>
      <c r="AK44" s="83">
        <v>99.416003832985851</v>
      </c>
      <c r="AL44" s="83">
        <v>99.057877913685161</v>
      </c>
      <c r="AM44" s="83">
        <v>98.234715684197283</v>
      </c>
      <c r="AN44" s="83">
        <v>96.34873215362478</v>
      </c>
      <c r="AO44" s="83">
        <v>92.065361850221208</v>
      </c>
      <c r="AP44" s="83">
        <v>82.544875568051097</v>
      </c>
      <c r="AQ44" s="83">
        <v>62.447246300763965</v>
      </c>
      <c r="AR44" s="92">
        <v>24.93881042021907</v>
      </c>
      <c r="AS44" s="86">
        <v>15.414284458306378</v>
      </c>
      <c r="AT44" s="86">
        <v>12.166196770447661</v>
      </c>
      <c r="AU44" s="86">
        <v>10.903201061363241</v>
      </c>
      <c r="AV44" s="86">
        <v>10.383246147612986</v>
      </c>
      <c r="AW44" s="86">
        <v>10.164054275860192</v>
      </c>
      <c r="AX44" s="86">
        <v>10.07109093484935</v>
      </c>
      <c r="AY44" s="87">
        <v>10.032405181115067</v>
      </c>
      <c r="AZ44" s="72">
        <v>10.018398234166444</v>
      </c>
      <c r="BA44" s="35">
        <v>26</v>
      </c>
    </row>
    <row r="45" spans="2:53" x14ac:dyDescent="0.2">
      <c r="B45" s="34">
        <v>27</v>
      </c>
      <c r="C45" s="72">
        <v>99.300398338905168</v>
      </c>
      <c r="D45" s="74">
        <v>99.311619329819351</v>
      </c>
      <c r="E45" s="75">
        <v>99.327244043025857</v>
      </c>
      <c r="F45" s="75">
        <v>99.339246699486537</v>
      </c>
      <c r="G45" s="75">
        <v>99.334890465285568</v>
      </c>
      <c r="H45" s="75">
        <v>99.332690947712678</v>
      </c>
      <c r="I45" s="75">
        <v>99.33158109172544</v>
      </c>
      <c r="J45" s="75">
        <v>99.331021207208423</v>
      </c>
      <c r="K45" s="75">
        <v>99.339246699486537</v>
      </c>
      <c r="L45" s="109">
        <v>99.334890465285568</v>
      </c>
      <c r="M45" s="83">
        <v>99.332690947712678</v>
      </c>
      <c r="N45" s="83">
        <v>99.33158109172544</v>
      </c>
      <c r="O45" s="83">
        <v>99.331021207208423</v>
      </c>
      <c r="P45" s="83">
        <v>99.330738434386419</v>
      </c>
      <c r="Q45" s="83">
        <v>99.330594819935655</v>
      </c>
      <c r="R45" s="83">
        <v>99.330520569433972</v>
      </c>
      <c r="S45" s="83">
        <v>99.330480321982606</v>
      </c>
      <c r="T45" s="83">
        <v>99.330456167000207</v>
      </c>
      <c r="U45" s="83">
        <v>99.330439141085293</v>
      </c>
      <c r="V45" s="83">
        <v>99.330424952780064</v>
      </c>
      <c r="W45" s="83">
        <v>99.330411654925072</v>
      </c>
      <c r="X45" s="83">
        <v>99.330397976211785</v>
      </c>
      <c r="Y45" s="83">
        <v>99.330381602130331</v>
      </c>
      <c r="Z45" s="83">
        <v>99.330356877157229</v>
      </c>
      <c r="AA45" s="83">
        <v>99.330310581052771</v>
      </c>
      <c r="AB45" s="83">
        <v>99.33021266310601</v>
      </c>
      <c r="AC45" s="83">
        <v>99.329995082238483</v>
      </c>
      <c r="AD45" s="83">
        <v>99.329503386800852</v>
      </c>
      <c r="AE45" s="83">
        <v>99.328386064983931</v>
      </c>
      <c r="AF45" s="83">
        <v>99.325841684527845</v>
      </c>
      <c r="AG45" s="83">
        <v>99.320040562853393</v>
      </c>
      <c r="AH45" s="83">
        <v>99.306800601998233</v>
      </c>
      <c r="AI45" s="83">
        <v>99.276552236006864</v>
      </c>
      <c r="AJ45" s="83">
        <v>99.207376629427756</v>
      </c>
      <c r="AK45" s="83">
        <v>99.049037086586793</v>
      </c>
      <c r="AL45" s="83">
        <v>98.686421719552314</v>
      </c>
      <c r="AM45" s="83">
        <v>97.856386532612333</v>
      </c>
      <c r="AN45" s="83">
        <v>95.961793586418906</v>
      </c>
      <c r="AO45" s="83">
        <v>91.673245694875419</v>
      </c>
      <c r="AP45" s="83">
        <v>82.168989128413116</v>
      </c>
      <c r="AQ45" s="83">
        <v>62.154339238426502</v>
      </c>
      <c r="AR45" s="92">
        <v>24.86421578484665</v>
      </c>
      <c r="AS45" s="86">
        <v>15.383562824643688</v>
      </c>
      <c r="AT45" s="86">
        <v>12.150553384062395</v>
      </c>
      <c r="AU45" s="86">
        <v>10.894729362051521</v>
      </c>
      <c r="AV45" s="86">
        <v>10.378671295064569</v>
      </c>
      <c r="AW45" s="86">
        <v>10.161636838702892</v>
      </c>
      <c r="AX45" s="86">
        <v>10.069831940762882</v>
      </c>
      <c r="AY45" s="87">
        <v>10.031727661291431</v>
      </c>
      <c r="AZ45" s="72">
        <v>10.017959526142043</v>
      </c>
      <c r="BA45" s="35">
        <v>27</v>
      </c>
    </row>
    <row r="46" spans="2:53" x14ac:dyDescent="0.2">
      <c r="B46" s="34">
        <v>28</v>
      </c>
      <c r="C46" s="72">
        <v>98.371701179766148</v>
      </c>
      <c r="D46" s="74">
        <v>98.407180948681429</v>
      </c>
      <c r="E46" s="75">
        <v>98.457042026792607</v>
      </c>
      <c r="F46" s="75">
        <v>98.504604157475768</v>
      </c>
      <c r="G46" s="75">
        <v>98.500283998031534</v>
      </c>
      <c r="H46" s="75">
        <v>98.498088261607649</v>
      </c>
      <c r="I46" s="75">
        <v>98.496971903927331</v>
      </c>
      <c r="J46" s="75">
        <v>98.496404195677641</v>
      </c>
      <c r="K46" s="75">
        <v>98.504604157475768</v>
      </c>
      <c r="L46" s="109">
        <v>98.500283998031534</v>
      </c>
      <c r="M46" s="83">
        <v>98.498088261607649</v>
      </c>
      <c r="N46" s="83">
        <v>98.496971903927331</v>
      </c>
      <c r="O46" s="83">
        <v>98.496404195677641</v>
      </c>
      <c r="P46" s="83">
        <v>98.496115299222282</v>
      </c>
      <c r="Q46" s="83">
        <v>98.495967896886143</v>
      </c>
      <c r="R46" s="83">
        <v>98.495892051786583</v>
      </c>
      <c r="S46" s="83">
        <v>98.495852118322631</v>
      </c>
      <c r="T46" s="83">
        <v>98.495829929360326</v>
      </c>
      <c r="U46" s="83">
        <v>98.495816248471868</v>
      </c>
      <c r="V46" s="83">
        <v>98.495806378115702</v>
      </c>
      <c r="W46" s="83">
        <v>98.495797764250739</v>
      </c>
      <c r="X46" s="83">
        <v>98.495788399399615</v>
      </c>
      <c r="Y46" s="83">
        <v>98.495775254991557</v>
      </c>
      <c r="Z46" s="83">
        <v>98.495751954717761</v>
      </c>
      <c r="AA46" s="83">
        <v>98.49570421263563</v>
      </c>
      <c r="AB46" s="83">
        <v>98.495599831166714</v>
      </c>
      <c r="AC46" s="83">
        <v>98.49536614290011</v>
      </c>
      <c r="AD46" s="83">
        <v>98.494838891671989</v>
      </c>
      <c r="AE46" s="83">
        <v>98.493646309655048</v>
      </c>
      <c r="AF46" s="83">
        <v>98.490946073719655</v>
      </c>
      <c r="AG46" s="83">
        <v>98.484827887464476</v>
      </c>
      <c r="AH46" s="83">
        <v>98.470955190978543</v>
      </c>
      <c r="AI46" s="83">
        <v>98.439473555844728</v>
      </c>
      <c r="AJ46" s="83">
        <v>98.367967467615529</v>
      </c>
      <c r="AK46" s="83">
        <v>98.205410830176874</v>
      </c>
      <c r="AL46" s="83">
        <v>97.835651834759332</v>
      </c>
      <c r="AM46" s="83">
        <v>96.994831171009366</v>
      </c>
      <c r="AN46" s="83">
        <v>95.087700323044402</v>
      </c>
      <c r="AO46" s="83">
        <v>90.796286718801525</v>
      </c>
      <c r="AP46" s="83">
        <v>81.33720904739377</v>
      </c>
      <c r="AQ46" s="83">
        <v>61.511877424408482</v>
      </c>
      <c r="AR46" s="92">
        <v>24.700647760508318</v>
      </c>
      <c r="AS46" s="86">
        <v>15.317078864979708</v>
      </c>
      <c r="AT46" s="86">
        <v>12.117715358238154</v>
      </c>
      <c r="AU46" s="86">
        <v>10.877674737500088</v>
      </c>
      <c r="AV46" s="86">
        <v>10.369875786920678</v>
      </c>
      <c r="AW46" s="86">
        <v>10.157198621974231</v>
      </c>
      <c r="AX46" s="86">
        <v>10.067622628839963</v>
      </c>
      <c r="AY46" s="87">
        <v>10.030590758048282</v>
      </c>
      <c r="AZ46" s="72">
        <v>10.017250044858523</v>
      </c>
      <c r="BA46" s="35">
        <v>28</v>
      </c>
    </row>
    <row r="47" spans="2:53" x14ac:dyDescent="0.2">
      <c r="B47" s="34">
        <v>29</v>
      </c>
      <c r="C47" s="72">
        <v>96.207386182164655</v>
      </c>
      <c r="D47" s="74">
        <v>96.314576584576884</v>
      </c>
      <c r="E47" s="75">
        <v>96.45307921631364</v>
      </c>
      <c r="F47" s="75">
        <v>96.584165367185165</v>
      </c>
      <c r="G47" s="75">
        <v>96.579924372863559</v>
      </c>
      <c r="H47" s="75">
        <v>96.577742733853285</v>
      </c>
      <c r="I47" s="75">
        <v>96.576619863493008</v>
      </c>
      <c r="J47" s="75">
        <v>96.576041936508432</v>
      </c>
      <c r="K47" s="75">
        <v>96.584165367185165</v>
      </c>
      <c r="L47" s="109">
        <v>96.579924372863559</v>
      </c>
      <c r="M47" s="83">
        <v>96.577742733853285</v>
      </c>
      <c r="N47" s="83">
        <v>96.576619863493008</v>
      </c>
      <c r="O47" s="83">
        <v>96.576041936508432</v>
      </c>
      <c r="P47" s="83">
        <v>96.575744531085576</v>
      </c>
      <c r="Q47" s="83">
        <v>96.575591405791315</v>
      </c>
      <c r="R47" s="83">
        <v>96.575512322248443</v>
      </c>
      <c r="S47" s="83">
        <v>96.575471065768568</v>
      </c>
      <c r="T47" s="83">
        <v>96.575448965968491</v>
      </c>
      <c r="U47" s="83">
        <v>96.575436380579845</v>
      </c>
      <c r="V47" s="83">
        <v>96.575428241402378</v>
      </c>
      <c r="W47" s="83">
        <v>96.575421598802521</v>
      </c>
      <c r="X47" s="83">
        <v>96.575413999761707</v>
      </c>
      <c r="Y47" s="83">
        <v>96.575401889013449</v>
      </c>
      <c r="Z47" s="83">
        <v>96.575378127985303</v>
      </c>
      <c r="AA47" s="83">
        <v>96.575327020112255</v>
      </c>
      <c r="AB47" s="83">
        <v>96.57521342582946</v>
      </c>
      <c r="AC47" s="83">
        <v>96.574958409050453</v>
      </c>
      <c r="AD47" s="83">
        <v>96.574384495768427</v>
      </c>
      <c r="AE47" s="83">
        <v>96.57309251389799</v>
      </c>
      <c r="AF47" s="83">
        <v>96.570184389560922</v>
      </c>
      <c r="AG47" s="83">
        <v>96.563638939436728</v>
      </c>
      <c r="AH47" s="83">
        <v>96.548905464880164</v>
      </c>
      <c r="AI47" s="83">
        <v>96.515732955438565</v>
      </c>
      <c r="AJ47" s="83">
        <v>96.44101771618584</v>
      </c>
      <c r="AK47" s="83">
        <v>96.272670661220999</v>
      </c>
      <c r="AL47" s="83">
        <v>95.893291904618479</v>
      </c>
      <c r="AM47" s="83">
        <v>95.038871723352557</v>
      </c>
      <c r="AN47" s="83">
        <v>93.119850344024783</v>
      </c>
      <c r="AO47" s="83">
        <v>88.843978604960384</v>
      </c>
      <c r="AP47" s="83">
        <v>79.509168830136019</v>
      </c>
      <c r="AQ47" s="83">
        <v>60.116198468322622</v>
      </c>
      <c r="AR47" s="92">
        <v>24.344570671408672</v>
      </c>
      <c r="AS47" s="86">
        <v>15.175059490613748</v>
      </c>
      <c r="AT47" s="86">
        <v>12.050408053994218</v>
      </c>
      <c r="AU47" s="86">
        <v>10.844504799672993</v>
      </c>
      <c r="AV47" s="86">
        <v>10.353671520900415</v>
      </c>
      <c r="AW47" s="86">
        <v>10.149433367783946</v>
      </c>
      <c r="AX47" s="86">
        <v>10.063939760501338</v>
      </c>
      <c r="AY47" s="87">
        <v>10.028781454653668</v>
      </c>
      <c r="AZ47" s="72">
        <v>10.016163206452944</v>
      </c>
      <c r="BA47" s="35">
        <v>29</v>
      </c>
    </row>
    <row r="48" spans="2:53" x14ac:dyDescent="0.2">
      <c r="B48" s="34">
        <v>30</v>
      </c>
      <c r="C48" s="72">
        <v>91.200579302591009</v>
      </c>
      <c r="D48" s="74">
        <v>91.530355953355283</v>
      </c>
      <c r="E48" s="75">
        <v>91.894121688735794</v>
      </c>
      <c r="F48" s="75">
        <v>92.20832918773452</v>
      </c>
      <c r="G48" s="75">
        <v>92.204264860587102</v>
      </c>
      <c r="H48" s="75">
        <v>92.202132573104805</v>
      </c>
      <c r="I48" s="75">
        <v>92.201015387383777</v>
      </c>
      <c r="J48" s="75">
        <v>92.20043107113365</v>
      </c>
      <c r="K48" s="75">
        <v>92.20832918773452</v>
      </c>
      <c r="L48" s="109">
        <v>92.204264860587102</v>
      </c>
      <c r="M48" s="83">
        <v>92.202132573104805</v>
      </c>
      <c r="N48" s="83">
        <v>92.201015387383777</v>
      </c>
      <c r="O48" s="83">
        <v>92.20043107113365</v>
      </c>
      <c r="P48" s="83">
        <v>92.200126081466209</v>
      </c>
      <c r="Q48" s="83">
        <v>92.199967188090483</v>
      </c>
      <c r="R48" s="83">
        <v>92.199884468569763</v>
      </c>
      <c r="S48" s="83">
        <v>92.199841292133954</v>
      </c>
      <c r="T48" s="83">
        <v>92.199818499374885</v>
      </c>
      <c r="U48" s="83">
        <v>92.199806047454004</v>
      </c>
      <c r="V48" s="83">
        <v>92.199798549669495</v>
      </c>
      <c r="W48" s="83">
        <v>92.199792772405189</v>
      </c>
      <c r="X48" s="83">
        <v>92.19978595837101</v>
      </c>
      <c r="Y48" s="83">
        <v>92.199774141141205</v>
      </c>
      <c r="Z48" s="83">
        <v>92.199749470588259</v>
      </c>
      <c r="AA48" s="83">
        <v>92.199694808760185</v>
      </c>
      <c r="AB48" s="83">
        <v>92.199571937949699</v>
      </c>
      <c r="AC48" s="83">
        <v>92.199295335238062</v>
      </c>
      <c r="AD48" s="83">
        <v>92.198673622046144</v>
      </c>
      <c r="AE48" s="83">
        <v>92.197278800455024</v>
      </c>
      <c r="AF48" s="83">
        <v>92.194154315262949</v>
      </c>
      <c r="AG48" s="83">
        <v>92.187163585497203</v>
      </c>
      <c r="AH48" s="83">
        <v>92.171536935181621</v>
      </c>
      <c r="AI48" s="83">
        <v>92.136632388981724</v>
      </c>
      <c r="AJ48" s="83">
        <v>92.058720555491178</v>
      </c>
      <c r="AK48" s="83">
        <v>91.884937324319594</v>
      </c>
      <c r="AL48" s="83">
        <v>91.497709170801372</v>
      </c>
      <c r="AM48" s="83">
        <v>90.636492297263459</v>
      </c>
      <c r="AN48" s="83">
        <v>88.728759099896592</v>
      </c>
      <c r="AO48" s="83">
        <v>84.541256960008695</v>
      </c>
      <c r="AP48" s="83">
        <v>75.542321949742231</v>
      </c>
      <c r="AQ48" s="83">
        <v>57.133469071227722</v>
      </c>
      <c r="AR48" s="92">
        <v>23.578818949461343</v>
      </c>
      <c r="AS48" s="86">
        <v>14.878588854136041</v>
      </c>
      <c r="AT48" s="86">
        <v>11.917688308404923</v>
      </c>
      <c r="AU48" s="86">
        <v>10.783230512398221</v>
      </c>
      <c r="AV48" s="86">
        <v>10.325552817035968</v>
      </c>
      <c r="AW48" s="86">
        <v>10.136695130574715</v>
      </c>
      <c r="AX48" s="86">
        <v>10.058193573319576</v>
      </c>
      <c r="AY48" s="87">
        <v>10.02608573572715</v>
      </c>
      <c r="AZ48" s="72">
        <v>10.0146035553306</v>
      </c>
      <c r="BA48" s="35">
        <v>30</v>
      </c>
    </row>
    <row r="49" spans="2:53" x14ac:dyDescent="0.2">
      <c r="B49" s="34">
        <v>31</v>
      </c>
      <c r="C49" s="72">
        <v>79.846514806474545</v>
      </c>
      <c r="D49" s="74">
        <v>80.899916648463602</v>
      </c>
      <c r="E49" s="75">
        <v>81.801639528186783</v>
      </c>
      <c r="F49" s="75">
        <v>82.462733398372833</v>
      </c>
      <c r="G49" s="75">
        <v>82.459074889815</v>
      </c>
      <c r="H49" s="75">
        <v>82.457105210345944</v>
      </c>
      <c r="I49" s="75">
        <v>82.456049995165444</v>
      </c>
      <c r="J49" s="75">
        <v>82.455487574418868</v>
      </c>
      <c r="K49" s="75">
        <v>82.462733398372833</v>
      </c>
      <c r="L49" s="109">
        <v>82.459074889815</v>
      </c>
      <c r="M49" s="83">
        <v>82.457105210345944</v>
      </c>
      <c r="N49" s="83">
        <v>82.456049995165444</v>
      </c>
      <c r="O49" s="83">
        <v>82.455487574418868</v>
      </c>
      <c r="P49" s="83">
        <v>82.455189400614117</v>
      </c>
      <c r="Q49" s="83">
        <v>82.455032121132987</v>
      </c>
      <c r="R49" s="83">
        <v>82.454949520102744</v>
      </c>
      <c r="S49" s="83">
        <v>82.454906261119845</v>
      </c>
      <c r="T49" s="83">
        <v>82.454883582069186</v>
      </c>
      <c r="U49" s="83">
        <v>82.454871524040044</v>
      </c>
      <c r="V49" s="83">
        <v>82.454864682749829</v>
      </c>
      <c r="W49" s="83">
        <v>82.454859775406348</v>
      </c>
      <c r="X49" s="83">
        <v>82.454853979348954</v>
      </c>
      <c r="Y49" s="83">
        <v>82.454843229160048</v>
      </c>
      <c r="Z49" s="83">
        <v>82.454819478371562</v>
      </c>
      <c r="AA49" s="83">
        <v>82.454765147766992</v>
      </c>
      <c r="AB49" s="83">
        <v>82.454641034889491</v>
      </c>
      <c r="AC49" s="83">
        <v>82.454359530521302</v>
      </c>
      <c r="AD49" s="83">
        <v>82.453725116212581</v>
      </c>
      <c r="AE49" s="83">
        <v>82.452302242394666</v>
      </c>
      <c r="AF49" s="83">
        <v>82.449122356018577</v>
      </c>
      <c r="AG49" s="83">
        <v>82.442035331802998</v>
      </c>
      <c r="AH49" s="83">
        <v>82.42627649578175</v>
      </c>
      <c r="AI49" s="83">
        <v>82.391308039167129</v>
      </c>
      <c r="AJ49" s="83">
        <v>82.313878253426864</v>
      </c>
      <c r="AK49" s="83">
        <v>82.142836584809231</v>
      </c>
      <c r="AL49" s="83">
        <v>81.766143607695653</v>
      </c>
      <c r="AM49" s="83">
        <v>80.940086020212817</v>
      </c>
      <c r="AN49" s="83">
        <v>79.141091186116114</v>
      </c>
      <c r="AO49" s="83">
        <v>75.271710530901345</v>
      </c>
      <c r="AP49" s="83">
        <v>67.149844315078852</v>
      </c>
      <c r="AQ49" s="83">
        <v>50.944357053380294</v>
      </c>
      <c r="AR49" s="92">
        <v>21.973105731867424</v>
      </c>
      <c r="AS49" s="86">
        <v>14.287303148535832</v>
      </c>
      <c r="AT49" s="86">
        <v>11.67282415892727</v>
      </c>
      <c r="AU49" s="86">
        <v>10.67870511363955</v>
      </c>
      <c r="AV49" s="86">
        <v>10.280772662289969</v>
      </c>
      <c r="AW49" s="86">
        <v>10.117544785493036</v>
      </c>
      <c r="AX49" s="86">
        <v>10.049963054301466</v>
      </c>
      <c r="AY49" s="87">
        <v>10.022384922539057</v>
      </c>
      <c r="AZ49" s="72">
        <v>10.012533682046538</v>
      </c>
      <c r="BA49" s="35">
        <v>31</v>
      </c>
    </row>
    <row r="50" spans="2:53" x14ac:dyDescent="0.2">
      <c r="B50" s="34">
        <v>32</v>
      </c>
      <c r="C50" s="72">
        <v>55.371525726792029</v>
      </c>
      <c r="D50" s="74">
        <v>58.834185141106644</v>
      </c>
      <c r="E50" s="75">
        <v>60.788348346204927</v>
      </c>
      <c r="F50" s="75">
        <v>61.888235309859375</v>
      </c>
      <c r="G50" s="75">
        <v>61.885546619892047</v>
      </c>
      <c r="H50" s="75">
        <v>61.884059272223446</v>
      </c>
      <c r="I50" s="75">
        <v>61.883239416552954</v>
      </c>
      <c r="J50" s="75">
        <v>61.882792690155071</v>
      </c>
      <c r="K50" s="75">
        <v>61.888235309859375</v>
      </c>
      <c r="L50" s="109">
        <v>61.885546619892047</v>
      </c>
      <c r="M50" s="83">
        <v>61.884059272223446</v>
      </c>
      <c r="N50" s="83">
        <v>61.883239416552954</v>
      </c>
      <c r="O50" s="83">
        <v>61.882792690155071</v>
      </c>
      <c r="P50" s="83">
        <v>61.882552018549362</v>
      </c>
      <c r="Q50" s="83">
        <v>61.882423623962033</v>
      </c>
      <c r="R50" s="83">
        <v>61.882355724729301</v>
      </c>
      <c r="S50" s="83">
        <v>61.88232013860928</v>
      </c>
      <c r="T50" s="83">
        <v>61.882301701735521</v>
      </c>
      <c r="U50" s="83">
        <v>61.882292303007169</v>
      </c>
      <c r="V50" s="83">
        <v>61.882287538011326</v>
      </c>
      <c r="W50" s="83">
        <v>61.88228475744009</v>
      </c>
      <c r="X50" s="83">
        <v>61.882281715355568</v>
      </c>
      <c r="Y50" s="83">
        <v>61.882275166060779</v>
      </c>
      <c r="Z50" s="83">
        <v>61.88225858790117</v>
      </c>
      <c r="AA50" s="83">
        <v>61.88221755131665</v>
      </c>
      <c r="AB50" s="83">
        <v>61.882119626282112</v>
      </c>
      <c r="AC50" s="83">
        <v>61.881892052329263</v>
      </c>
      <c r="AD50" s="83">
        <v>61.881372249279622</v>
      </c>
      <c r="AE50" s="83">
        <v>61.88019830520733</v>
      </c>
      <c r="AF50" s="83">
        <v>61.877567227425338</v>
      </c>
      <c r="AG50" s="83">
        <v>61.871702812155903</v>
      </c>
      <c r="AH50" s="83">
        <v>61.858688363360081</v>
      </c>
      <c r="AI50" s="83">
        <v>61.829917193311097</v>
      </c>
      <c r="AJ50" s="83">
        <v>61.766556169150171</v>
      </c>
      <c r="AK50" s="83">
        <v>61.62762128458332</v>
      </c>
      <c r="AL50" s="83">
        <v>61.324617836314431</v>
      </c>
      <c r="AM50" s="83">
        <v>60.668734976718419</v>
      </c>
      <c r="AN50" s="83">
        <v>59.265030007566494</v>
      </c>
      <c r="AO50" s="83">
        <v>56.316026273177997</v>
      </c>
      <c r="AP50" s="83">
        <v>50.316275396249488</v>
      </c>
      <c r="AQ50" s="83">
        <v>38.792344537455293</v>
      </c>
      <c r="AR50" s="92">
        <v>18.814879395154659</v>
      </c>
      <c r="AS50" s="86">
        <v>13.219252581052295</v>
      </c>
      <c r="AT50" s="86">
        <v>11.272302911439983</v>
      </c>
      <c r="AU50" s="86">
        <v>10.521662792706676</v>
      </c>
      <c r="AV50" s="86">
        <v>10.217822560244983</v>
      </c>
      <c r="AW50" s="86">
        <v>10.091963109326187</v>
      </c>
      <c r="AX50" s="86">
        <v>10.039398004789581</v>
      </c>
      <c r="AY50" s="87">
        <v>10.017788359841306</v>
      </c>
      <c r="AZ50" s="72">
        <v>10.010027676018376</v>
      </c>
      <c r="BA50" s="35">
        <v>32</v>
      </c>
    </row>
    <row r="51" spans="2:53" x14ac:dyDescent="0.2">
      <c r="B51" s="34">
        <v>33</v>
      </c>
      <c r="C51" s="72">
        <v>8.9013579847444717</v>
      </c>
      <c r="D51" s="95">
        <v>20.113901762523632</v>
      </c>
      <c r="E51" s="96">
        <v>22.755069699774925</v>
      </c>
      <c r="F51" s="96">
        <v>23.636996739313329</v>
      </c>
      <c r="G51" s="96">
        <v>23.636662622808402</v>
      </c>
      <c r="H51" s="96">
        <v>23.636306969645346</v>
      </c>
      <c r="I51" s="96">
        <v>23.636076747550465</v>
      </c>
      <c r="J51" s="96">
        <v>23.635943506574026</v>
      </c>
      <c r="K51" s="96">
        <v>23.636996739313329</v>
      </c>
      <c r="L51" s="96">
        <v>23.636662622808402</v>
      </c>
      <c r="M51" s="96">
        <v>23.636306969645346</v>
      </c>
      <c r="N51" s="96">
        <v>23.636076747550465</v>
      </c>
      <c r="O51" s="96">
        <v>23.635943506574026</v>
      </c>
      <c r="P51" s="96">
        <v>23.635869687635402</v>
      </c>
      <c r="Q51" s="96">
        <v>23.635829790270609</v>
      </c>
      <c r="R51" s="96">
        <v>23.635808704497247</v>
      </c>
      <c r="S51" s="96">
        <v>23.635797948802232</v>
      </c>
      <c r="T51" s="96">
        <v>23.635792915715577</v>
      </c>
      <c r="U51" s="96">
        <v>23.635791177605569</v>
      </c>
      <c r="V51" s="96">
        <v>23.635791500943267</v>
      </c>
      <c r="W51" s="96">
        <v>23.63579326605095</v>
      </c>
      <c r="X51" s="96">
        <v>23.635796070153408</v>
      </c>
      <c r="Y51" s="96">
        <v>23.63579931986731</v>
      </c>
      <c r="Z51" s="96">
        <v>23.635801560450112</v>
      </c>
      <c r="AA51" s="96">
        <v>23.635799079891207</v>
      </c>
      <c r="AB51" s="96">
        <v>23.635782815957224</v>
      </c>
      <c r="AC51" s="96">
        <v>23.635731442212027</v>
      </c>
      <c r="AD51" s="96">
        <v>23.635595960553871</v>
      </c>
      <c r="AE51" s="96">
        <v>23.635265537805804</v>
      </c>
      <c r="AF51" s="96">
        <v>23.634492134404677</v>
      </c>
      <c r="AG51" s="96">
        <v>23.632725055185485</v>
      </c>
      <c r="AH51" s="96">
        <v>23.62874972577626</v>
      </c>
      <c r="AI51" s="96">
        <v>23.619903982200142</v>
      </c>
      <c r="AJ51" s="96">
        <v>23.60039113782528</v>
      </c>
      <c r="AK51" s="96">
        <v>23.557687829944197</v>
      </c>
      <c r="AL51" s="96">
        <v>23.465017362896685</v>
      </c>
      <c r="AM51" s="96">
        <v>23.266001562488153</v>
      </c>
      <c r="AN51" s="96">
        <v>22.844983517271011</v>
      </c>
      <c r="AO51" s="96">
        <v>21.976559678170375</v>
      </c>
      <c r="AP51" s="96">
        <v>20.27232799089904</v>
      </c>
      <c r="AQ51" s="97">
        <v>17.297093287636141</v>
      </c>
      <c r="AR51" s="92">
        <v>13.714843141487989</v>
      </c>
      <c r="AS51" s="86">
        <v>11.694670006909014</v>
      </c>
      <c r="AT51" s="86">
        <v>10.751288156203453</v>
      </c>
      <c r="AU51" s="86">
        <v>10.329559041037243</v>
      </c>
      <c r="AV51" s="86">
        <v>10.143854694689333</v>
      </c>
      <c r="AW51" s="86">
        <v>10.062711378299085</v>
      </c>
      <c r="AX51" s="86">
        <v>10.027550895046643</v>
      </c>
      <c r="AY51" s="87">
        <v>10.012712171552689</v>
      </c>
      <c r="AZ51" s="72">
        <v>10.007292019177356</v>
      </c>
      <c r="BA51" s="35">
        <v>33</v>
      </c>
    </row>
    <row r="52" spans="2:53" x14ac:dyDescent="0.2">
      <c r="B52" s="34">
        <v>34</v>
      </c>
      <c r="C52" s="72">
        <v>3.9683643001756645</v>
      </c>
      <c r="D52" s="77">
        <v>9.1882491329067069</v>
      </c>
      <c r="E52" s="78">
        <v>11.23381473206169</v>
      </c>
      <c r="F52" s="78">
        <v>12.142189309971336</v>
      </c>
      <c r="G52" s="78">
        <v>12.142158459666737</v>
      </c>
      <c r="H52" s="78">
        <v>12.142055494736828</v>
      </c>
      <c r="I52" s="78">
        <v>12.141968487651098</v>
      </c>
      <c r="J52" s="78">
        <v>12.141910931110912</v>
      </c>
      <c r="K52" s="78">
        <v>12.142189309971336</v>
      </c>
      <c r="L52" s="78">
        <v>12.142158459666737</v>
      </c>
      <c r="M52" s="78">
        <v>12.142055494736828</v>
      </c>
      <c r="N52" s="78">
        <v>12.141968487651098</v>
      </c>
      <c r="O52" s="78">
        <v>12.141910931110912</v>
      </c>
      <c r="P52" s="78">
        <v>12.141876651077556</v>
      </c>
      <c r="Q52" s="78">
        <v>12.141857672793618</v>
      </c>
      <c r="R52" s="78">
        <v>12.141848188942696</v>
      </c>
      <c r="S52" s="78">
        <v>12.141844669196042</v>
      </c>
      <c r="T52" s="78">
        <v>12.141845240064404</v>
      </c>
      <c r="U52" s="78">
        <v>12.141849133090904</v>
      </c>
      <c r="V52" s="78">
        <v>12.141856329285337</v>
      </c>
      <c r="W52" s="78">
        <v>12.141867365274049</v>
      </c>
      <c r="X52" s="78">
        <v>12.141883239476581</v>
      </c>
      <c r="Y52" s="78">
        <v>12.141905349073712</v>
      </c>
      <c r="Z52" s="78">
        <v>12.141935355912711</v>
      </c>
      <c r="AA52" s="78">
        <v>12.141974781158529</v>
      </c>
      <c r="AB52" s="78">
        <v>12.142023888585046</v>
      </c>
      <c r="AC52" s="78">
        <v>12.142078871397567</v>
      </c>
      <c r="AD52" s="78">
        <v>12.142125154828879</v>
      </c>
      <c r="AE52" s="78">
        <v>12.142122017278</v>
      </c>
      <c r="AF52" s="78">
        <v>12.141968150873724</v>
      </c>
      <c r="AG52" s="78">
        <v>12.14142602494681</v>
      </c>
      <c r="AH52" s="78">
        <v>12.13995862748552</v>
      </c>
      <c r="AI52" s="78">
        <v>12.136383346203324</v>
      </c>
      <c r="AJ52" s="78">
        <v>12.128153845415195</v>
      </c>
      <c r="AK52" s="78">
        <v>12.109914103389178</v>
      </c>
      <c r="AL52" s="78">
        <v>12.070723365089821</v>
      </c>
      <c r="AM52" s="78">
        <v>11.989192342883983</v>
      </c>
      <c r="AN52" s="78">
        <v>11.826655115274253</v>
      </c>
      <c r="AO52" s="78">
        <v>11.524414924599251</v>
      </c>
      <c r="AP52" s="78">
        <v>11.035891420053099</v>
      </c>
      <c r="AQ52" s="79">
        <v>10.50485154662692</v>
      </c>
      <c r="AR52" s="92">
        <v>10.87449762678761</v>
      </c>
      <c r="AS52" s="86">
        <v>10.579979740895261</v>
      </c>
      <c r="AT52" s="86">
        <v>10.314553670081136</v>
      </c>
      <c r="AU52" s="86">
        <v>10.156809025753999</v>
      </c>
      <c r="AV52" s="86">
        <v>10.074799167758206</v>
      </c>
      <c r="AW52" s="86">
        <v>10.034819828340336</v>
      </c>
      <c r="AX52" s="86">
        <v>10.016109202081422</v>
      </c>
      <c r="AY52" s="87">
        <v>10.007767320379804</v>
      </c>
      <c r="AZ52" s="72">
        <v>10.004611541789803</v>
      </c>
      <c r="BA52" s="35">
        <v>34</v>
      </c>
    </row>
    <row r="53" spans="2:53" x14ac:dyDescent="0.2">
      <c r="B53" s="34">
        <v>35</v>
      </c>
      <c r="C53" s="72">
        <v>2.6501994168703633</v>
      </c>
      <c r="D53" s="77">
        <v>5.1989489323516063</v>
      </c>
      <c r="E53" s="78">
        <v>6.5984241496564824</v>
      </c>
      <c r="F53" s="78">
        <v>7.4129063038243732</v>
      </c>
      <c r="G53" s="78">
        <v>7.4129140791821548</v>
      </c>
      <c r="H53" s="78">
        <v>7.4128820092589089</v>
      </c>
      <c r="I53" s="78">
        <v>7.412845184643257</v>
      </c>
      <c r="J53" s="78">
        <v>7.4128167308010227</v>
      </c>
      <c r="K53" s="78">
        <v>7.4129063038243732</v>
      </c>
      <c r="L53" s="78">
        <v>7.4129140791821548</v>
      </c>
      <c r="M53" s="78">
        <v>7.4128820092589089</v>
      </c>
      <c r="N53" s="78">
        <v>7.412845184643257</v>
      </c>
      <c r="O53" s="78">
        <v>7.4128167308010227</v>
      </c>
      <c r="P53" s="78">
        <v>7.4127985557524454</v>
      </c>
      <c r="Q53" s="78">
        <v>7.4127890628297797</v>
      </c>
      <c r="R53" s="78">
        <v>7.4127863917781234</v>
      </c>
      <c r="S53" s="78">
        <v>7.4127894123110876</v>
      </c>
      <c r="T53" s="78">
        <v>7.4127978985259961</v>
      </c>
      <c r="U53" s="78">
        <v>7.4128125030131029</v>
      </c>
      <c r="V53" s="78">
        <v>7.4128347534591468</v>
      </c>
      <c r="W53" s="78">
        <v>7.4128671417913168</v>
      </c>
      <c r="X53" s="78">
        <v>7.4129133279727073</v>
      </c>
      <c r="Y53" s="78">
        <v>7.4129784691762559</v>
      </c>
      <c r="Z53" s="78">
        <v>7.4130696773738531</v>
      </c>
      <c r="AA53" s="78">
        <v>7.4131965795986021</v>
      </c>
      <c r="AB53" s="78">
        <v>7.4133718678696381</v>
      </c>
      <c r="AC53" s="78">
        <v>7.4136115050612199</v>
      </c>
      <c r="AD53" s="78">
        <v>7.4139337448803886</v>
      </c>
      <c r="AE53" s="78">
        <v>7.4143550229889881</v>
      </c>
      <c r="AF53" s="78">
        <v>7.4148785087695002</v>
      </c>
      <c r="AG53" s="78">
        <v>7.4154666910752161</v>
      </c>
      <c r="AH53" s="78">
        <v>7.4159814118259435</v>
      </c>
      <c r="AI53" s="78">
        <v>7.4160622690447227</v>
      </c>
      <c r="AJ53" s="78">
        <v>7.4149007363309023</v>
      </c>
      <c r="AK53" s="78">
        <v>7.4108755009958873</v>
      </c>
      <c r="AL53" s="78">
        <v>7.4011354156767242</v>
      </c>
      <c r="AM53" s="78">
        <v>7.3817561684665112</v>
      </c>
      <c r="AN53" s="78">
        <v>7.3509777424345639</v>
      </c>
      <c r="AO53" s="78">
        <v>7.3237174467906634</v>
      </c>
      <c r="AP53" s="78">
        <v>7.3804383347607621</v>
      </c>
      <c r="AQ53" s="79">
        <v>7.8048434406560654</v>
      </c>
      <c r="AR53" s="92">
        <v>9.4118805646884542</v>
      </c>
      <c r="AS53" s="86">
        <v>9.8965888067385333</v>
      </c>
      <c r="AT53" s="86">
        <v>10.013564805811269</v>
      </c>
      <c r="AU53" s="86">
        <v>10.027820795108992</v>
      </c>
      <c r="AV53" s="86">
        <v>10.020254743032718</v>
      </c>
      <c r="AW53" s="86">
        <v>10.011876538983698</v>
      </c>
      <c r="AX53" s="86">
        <v>10.006405694813843</v>
      </c>
      <c r="AY53" s="87">
        <v>10.003469314731451</v>
      </c>
      <c r="AZ53" s="72">
        <v>10.002237430806026</v>
      </c>
      <c r="BA53" s="35">
        <v>35</v>
      </c>
    </row>
    <row r="54" spans="2:53" x14ac:dyDescent="0.2">
      <c r="B54" s="34">
        <v>36</v>
      </c>
      <c r="C54" s="72">
        <v>2.0633512413240571</v>
      </c>
      <c r="D54" s="77">
        <v>3.4506098968425065</v>
      </c>
      <c r="E54" s="78">
        <v>4.3953658415657673</v>
      </c>
      <c r="F54" s="78">
        <v>5.0610529545405107</v>
      </c>
      <c r="G54" s="78">
        <v>5.0610608803880996</v>
      </c>
      <c r="H54" s="78">
        <v>5.0610505355140925</v>
      </c>
      <c r="I54" s="78">
        <v>5.061034578917849</v>
      </c>
      <c r="J54" s="78">
        <v>5.0610209388907146</v>
      </c>
      <c r="K54" s="78">
        <v>5.0610529545405107</v>
      </c>
      <c r="L54" s="78">
        <v>5.0610608803880996</v>
      </c>
      <c r="M54" s="78">
        <v>5.0610505355140925</v>
      </c>
      <c r="N54" s="78">
        <v>5.061034578917849</v>
      </c>
      <c r="O54" s="78">
        <v>5.0610209388907146</v>
      </c>
      <c r="P54" s="78">
        <v>5.0610128775133418</v>
      </c>
      <c r="Q54" s="78">
        <v>5.0610113625612341</v>
      </c>
      <c r="R54" s="78">
        <v>5.0610168072964079</v>
      </c>
      <c r="S54" s="78">
        <v>5.0610299867747415</v>
      </c>
      <c r="T54" s="78">
        <v>5.0610524936544303</v>
      </c>
      <c r="U54" s="78">
        <v>5.0610870347203036</v>
      </c>
      <c r="V54" s="78">
        <v>5.0611377458157563</v>
      </c>
      <c r="W54" s="78">
        <v>5.0612106315016527</v>
      </c>
      <c r="X54" s="78">
        <v>5.0613142145150425</v>
      </c>
      <c r="Y54" s="78">
        <v>5.0614604926597844</v>
      </c>
      <c r="Z54" s="78">
        <v>5.0616663373534312</v>
      </c>
      <c r="AA54" s="78">
        <v>5.0619555256206823</v>
      </c>
      <c r="AB54" s="78">
        <v>5.0623616766587398</v>
      </c>
      <c r="AC54" s="78">
        <v>5.0629324685865393</v>
      </c>
      <c r="AD54" s="78">
        <v>5.0637356512979235</v>
      </c>
      <c r="AE54" s="78">
        <v>5.0648675899888342</v>
      </c>
      <c r="AF54" s="78">
        <v>5.0664655334256379</v>
      </c>
      <c r="AG54" s="78">
        <v>5.0687260628472002</v>
      </c>
      <c r="AH54" s="78">
        <v>5.0719360246545966</v>
      </c>
      <c r="AI54" s="78">
        <v>5.0765339935364642</v>
      </c>
      <c r="AJ54" s="78">
        <v>5.0832549848155351</v>
      </c>
      <c r="AK54" s="78">
        <v>5.0935094155642018</v>
      </c>
      <c r="AL54" s="78">
        <v>5.1104143063751604</v>
      </c>
      <c r="AM54" s="78">
        <v>5.1415869777549634</v>
      </c>
      <c r="AN54" s="78">
        <v>5.2065069649722675</v>
      </c>
      <c r="AO54" s="78">
        <v>5.3551031088774428</v>
      </c>
      <c r="AP54" s="78">
        <v>5.7121853459848833</v>
      </c>
      <c r="AQ54" s="79">
        <v>6.5780239198429316</v>
      </c>
      <c r="AR54" s="92">
        <v>8.6566334067918334</v>
      </c>
      <c r="AS54" s="86">
        <v>9.5042832375892452</v>
      </c>
      <c r="AT54" s="86">
        <v>9.8255428217475504</v>
      </c>
      <c r="AU54" s="86">
        <v>9.9416094721144503</v>
      </c>
      <c r="AV54" s="86">
        <v>9.9817603505003838</v>
      </c>
      <c r="AW54" s="86">
        <v>9.9949520355307193</v>
      </c>
      <c r="AX54" s="86">
        <v>9.9989792420699288</v>
      </c>
      <c r="AY54" s="87">
        <v>10.000071949330795</v>
      </c>
      <c r="AZ54" s="72">
        <v>10.000311360305666</v>
      </c>
      <c r="BA54" s="35">
        <v>36</v>
      </c>
    </row>
    <row r="55" spans="2:53" x14ac:dyDescent="0.2">
      <c r="B55" s="34">
        <v>37</v>
      </c>
      <c r="C55" s="72">
        <v>1.7348536203703424</v>
      </c>
      <c r="D55" s="77">
        <v>2.5677537979196994</v>
      </c>
      <c r="E55" s="78">
        <v>3.2178462296561028</v>
      </c>
      <c r="F55" s="78">
        <v>3.7372579727107205</v>
      </c>
      <c r="G55" s="78">
        <v>3.7372615759231258</v>
      </c>
      <c r="H55" s="78">
        <v>3.7372581684376533</v>
      </c>
      <c r="I55" s="78">
        <v>3.7372521617543191</v>
      </c>
      <c r="J55" s="78">
        <v>3.7372479713415552</v>
      </c>
      <c r="K55" s="78">
        <v>3.7372579727107205</v>
      </c>
      <c r="L55" s="78">
        <v>3.7372615759231258</v>
      </c>
      <c r="M55" s="78">
        <v>3.7372581684376533</v>
      </c>
      <c r="N55" s="78">
        <v>3.7372521617543191</v>
      </c>
      <c r="O55" s="78">
        <v>3.7372479713415552</v>
      </c>
      <c r="P55" s="78">
        <v>3.737248688962016</v>
      </c>
      <c r="Q55" s="78">
        <v>3.7372565333129129</v>
      </c>
      <c r="R55" s="78">
        <v>3.7372736588355413</v>
      </c>
      <c r="S55" s="78">
        <v>3.7373028562687698</v>
      </c>
      <c r="T55" s="78">
        <v>3.7373481294816413</v>
      </c>
      <c r="U55" s="78">
        <v>3.7374152592969865</v>
      </c>
      <c r="V55" s="78">
        <v>3.7375124791640664</v>
      </c>
      <c r="W55" s="78">
        <v>3.7376513888613037</v>
      </c>
      <c r="X55" s="78">
        <v>3.7378482549330823</v>
      </c>
      <c r="Y55" s="78">
        <v>3.7381259028432385</v>
      </c>
      <c r="Z55" s="78">
        <v>3.7385165079355023</v>
      </c>
      <c r="AA55" s="78">
        <v>3.7390657620660037</v>
      </c>
      <c r="AB55" s="78">
        <v>3.7398391716270196</v>
      </c>
      <c r="AC55" s="78">
        <v>3.7409317096142543</v>
      </c>
      <c r="AD55" s="78">
        <v>3.7424828554525589</v>
      </c>
      <c r="AE55" s="78">
        <v>3.7447005341281252</v>
      </c>
      <c r="AF55" s="78">
        <v>3.7479003058109215</v>
      </c>
      <c r="AG55" s="78">
        <v>3.7525719007454947</v>
      </c>
      <c r="AH55" s="78">
        <v>3.7594973201165227</v>
      </c>
      <c r="AI55" s="78">
        <v>3.7699711073672009</v>
      </c>
      <c r="AJ55" s="78">
        <v>3.7862317244303845</v>
      </c>
      <c r="AK55" s="78">
        <v>3.8123421845963419</v>
      </c>
      <c r="AL55" s="78">
        <v>3.8560411381912396</v>
      </c>
      <c r="AM55" s="78">
        <v>3.9326911045851936</v>
      </c>
      <c r="AN55" s="78">
        <v>4.0737044216968084</v>
      </c>
      <c r="AO55" s="78">
        <v>4.3443596618805325</v>
      </c>
      <c r="AP55" s="78">
        <v>4.881235153120028</v>
      </c>
      <c r="AQ55" s="79">
        <v>5.9732158062623917</v>
      </c>
      <c r="AR55" s="92">
        <v>8.2602827299200658</v>
      </c>
      <c r="AS55" s="86">
        <v>9.2850792661691113</v>
      </c>
      <c r="AT55" s="86">
        <v>9.7141922249061139</v>
      </c>
      <c r="AU55" s="86">
        <v>9.8877976830734351</v>
      </c>
      <c r="AV55" s="86">
        <v>9.95658144066776</v>
      </c>
      <c r="AW55" s="86">
        <v>9.9834137231007034</v>
      </c>
      <c r="AX55" s="86">
        <v>9.9937248182664771</v>
      </c>
      <c r="AY55" s="87">
        <v>9.9975835070293915</v>
      </c>
      <c r="AZ55" s="72">
        <v>9.9988593404065877</v>
      </c>
      <c r="BA55" s="35">
        <v>37</v>
      </c>
    </row>
    <row r="56" spans="2:53" x14ac:dyDescent="0.2">
      <c r="B56" s="34">
        <v>38</v>
      </c>
      <c r="C56" s="72">
        <v>1.5296847981408814</v>
      </c>
      <c r="D56" s="77">
        <v>2.0691924753083621</v>
      </c>
      <c r="E56" s="78">
        <v>2.5281554400711079</v>
      </c>
      <c r="F56" s="78">
        <v>2.9253725495413274</v>
      </c>
      <c r="G56" s="78">
        <v>2.9253720010356581</v>
      </c>
      <c r="H56" s="78">
        <v>2.9253708623367243</v>
      </c>
      <c r="I56" s="78">
        <v>2.9253706522038705</v>
      </c>
      <c r="J56" s="78">
        <v>2.925374072987136</v>
      </c>
      <c r="K56" s="78">
        <v>2.9253725495413274</v>
      </c>
      <c r="L56" s="78">
        <v>2.9253720010356581</v>
      </c>
      <c r="M56" s="78">
        <v>2.9253708623367243</v>
      </c>
      <c r="N56" s="78">
        <v>2.9253706522038705</v>
      </c>
      <c r="O56" s="78">
        <v>2.925374072987136</v>
      </c>
      <c r="P56" s="78">
        <v>2.9253840904352617</v>
      </c>
      <c r="Q56" s="78">
        <v>2.925403924345896</v>
      </c>
      <c r="R56" s="78">
        <v>2.9254374857423264</v>
      </c>
      <c r="S56" s="78">
        <v>2.925489984558685</v>
      </c>
      <c r="T56" s="78">
        <v>2.9255686389942555</v>
      </c>
      <c r="U56" s="78">
        <v>2.9256835343066183</v>
      </c>
      <c r="V56" s="78">
        <v>2.9258487388640022</v>
      </c>
      <c r="W56" s="78">
        <v>2.9260838333726547</v>
      </c>
      <c r="X56" s="78">
        <v>2.9264160760951032</v>
      </c>
      <c r="Y56" s="78">
        <v>2.9268835365122445</v>
      </c>
      <c r="Z56" s="78">
        <v>2.9275397106497811</v>
      </c>
      <c r="AA56" s="78">
        <v>2.9284604280424587</v>
      </c>
      <c r="AB56" s="78">
        <v>2.9297543512753776</v>
      </c>
      <c r="AC56" s="78">
        <v>2.9315791960605262</v>
      </c>
      <c r="AD56" s="78">
        <v>2.9341672275070754</v>
      </c>
      <c r="AE56" s="78">
        <v>2.9378661231933445</v>
      </c>
      <c r="AF56" s="78">
        <v>2.943205926557575</v>
      </c>
      <c r="AG56" s="78">
        <v>2.951011512175814</v>
      </c>
      <c r="AH56" s="78">
        <v>2.9625966835184281</v>
      </c>
      <c r="AI56" s="78">
        <v>2.9801085928659177</v>
      </c>
      <c r="AJ56" s="78">
        <v>3.0071552040053366</v>
      </c>
      <c r="AK56" s="78">
        <v>3.049974418222821</v>
      </c>
      <c r="AL56" s="78">
        <v>3.1196495740883616</v>
      </c>
      <c r="AM56" s="78">
        <v>3.2363543696578558</v>
      </c>
      <c r="AN56" s="78">
        <v>3.4375509770772266</v>
      </c>
      <c r="AO56" s="78">
        <v>3.7940384304971388</v>
      </c>
      <c r="AP56" s="78">
        <v>4.4425885985042033</v>
      </c>
      <c r="AQ56" s="79">
        <v>5.6587330828425229</v>
      </c>
      <c r="AR56" s="92">
        <v>8.0484854178060967</v>
      </c>
      <c r="AS56" s="86">
        <v>9.1637470103208418</v>
      </c>
      <c r="AT56" s="86">
        <v>9.650145535836689</v>
      </c>
      <c r="AU56" s="86">
        <v>9.8556142242455369</v>
      </c>
      <c r="AV56" s="86">
        <v>9.9409390875272692</v>
      </c>
      <c r="AW56" s="86">
        <v>9.9759815628970685</v>
      </c>
      <c r="AX56" s="86">
        <v>9.9902215195741206</v>
      </c>
      <c r="AY56" s="87">
        <v>9.9958671968444879</v>
      </c>
      <c r="AZ56" s="72">
        <v>9.9978285767753992</v>
      </c>
      <c r="BA56" s="35">
        <v>38</v>
      </c>
    </row>
    <row r="57" spans="2:53" x14ac:dyDescent="0.2">
      <c r="B57" s="34">
        <v>39</v>
      </c>
      <c r="C57" s="72">
        <v>1.3928133812987475</v>
      </c>
      <c r="D57" s="77">
        <v>1.7620618389557325</v>
      </c>
      <c r="E57" s="78">
        <v>2.0937787968039849</v>
      </c>
      <c r="F57" s="78">
        <v>2.3956223602945825</v>
      </c>
      <c r="G57" s="78">
        <v>2.3956179305200904</v>
      </c>
      <c r="H57" s="78">
        <v>2.3956175459495572</v>
      </c>
      <c r="I57" s="78">
        <v>2.3956217278224177</v>
      </c>
      <c r="J57" s="78">
        <v>2.3956325746402158</v>
      </c>
      <c r="K57" s="78">
        <v>2.3956223602945825</v>
      </c>
      <c r="L57" s="78">
        <v>2.3956179305200904</v>
      </c>
      <c r="M57" s="78">
        <v>2.3956175459495572</v>
      </c>
      <c r="N57" s="78">
        <v>2.3956217278224177</v>
      </c>
      <c r="O57" s="78">
        <v>2.3956325746402158</v>
      </c>
      <c r="P57" s="78">
        <v>2.3956533278202934</v>
      </c>
      <c r="Q57" s="78">
        <v>2.395688393093431</v>
      </c>
      <c r="R57" s="78">
        <v>2.3957437343146801</v>
      </c>
      <c r="S57" s="78">
        <v>2.3958275407251861</v>
      </c>
      <c r="T57" s="78">
        <v>2.3959511435138436</v>
      </c>
      <c r="U57" s="78">
        <v>2.3961302361035814</v>
      </c>
      <c r="V57" s="78">
        <v>2.3963865224718215</v>
      </c>
      <c r="W57" s="78">
        <v>2.3967499943972776</v>
      </c>
      <c r="X57" s="78">
        <v>2.3972621446391909</v>
      </c>
      <c r="Y57" s="78">
        <v>2.3979805867269546</v>
      </c>
      <c r="Z57" s="78">
        <v>2.3989858126234491</v>
      </c>
      <c r="AA57" s="78">
        <v>2.4003912393563245</v>
      </c>
      <c r="AB57" s="78">
        <v>2.4023583797697379</v>
      </c>
      <c r="AC57" s="78">
        <v>2.4051201034007579</v>
      </c>
      <c r="AD57" s="78">
        <v>2.4090168555027325</v>
      </c>
      <c r="AE57" s="78">
        <v>2.4145539613027243</v>
      </c>
      <c r="AF57" s="78">
        <v>2.4224938297744263</v>
      </c>
      <c r="AG57" s="78">
        <v>2.4340069592009503</v>
      </c>
      <c r="AH57" s="78">
        <v>2.4509237785228315</v>
      </c>
      <c r="AI57" s="78">
        <v>2.4761622545086257</v>
      </c>
      <c r="AJ57" s="78">
        <v>2.5144662377848066</v>
      </c>
      <c r="AK57" s="78">
        <v>2.5736996879912821</v>
      </c>
      <c r="AL57" s="78">
        <v>2.6671462918057425</v>
      </c>
      <c r="AM57" s="78">
        <v>2.8176547148648865</v>
      </c>
      <c r="AN57" s="78">
        <v>3.0652703538609298</v>
      </c>
      <c r="AO57" s="78">
        <v>3.4818483668758429</v>
      </c>
      <c r="AP57" s="78">
        <v>4.2011650739907775</v>
      </c>
      <c r="AQ57" s="79">
        <v>5.4888488801566995</v>
      </c>
      <c r="AR57" s="92">
        <v>7.9332276924635101</v>
      </c>
      <c r="AS57" s="86">
        <v>9.096569215650641</v>
      </c>
      <c r="AT57" s="86">
        <v>9.6138358466130018</v>
      </c>
      <c r="AU57" s="86">
        <v>9.8368587489599957</v>
      </c>
      <c r="AV57" s="86">
        <v>9.9315504129554775</v>
      </c>
      <c r="AW57" s="86">
        <v>9.9713842239272541</v>
      </c>
      <c r="AX57" s="86">
        <v>9.987987351979088</v>
      </c>
      <c r="AY57" s="87">
        <v>9.9947377386040976</v>
      </c>
      <c r="AZ57" s="72">
        <v>9.9971315801205538</v>
      </c>
      <c r="BA57" s="35">
        <v>39</v>
      </c>
    </row>
    <row r="58" spans="2:53" x14ac:dyDescent="0.2">
      <c r="B58" s="34">
        <v>40</v>
      </c>
      <c r="C58" s="72">
        <v>1.2971969768767451</v>
      </c>
      <c r="D58" s="77">
        <v>1.5599575263934229</v>
      </c>
      <c r="E58" s="78">
        <v>1.8043018759865577</v>
      </c>
      <c r="F58" s="78">
        <v>2.0337054042456906</v>
      </c>
      <c r="G58" s="78">
        <v>2.0336970095626059</v>
      </c>
      <c r="H58" s="78">
        <v>2.0336968788214511</v>
      </c>
      <c r="I58" s="78">
        <v>2.033705190785799</v>
      </c>
      <c r="J58" s="78">
        <v>2.0337240498961853</v>
      </c>
      <c r="K58" s="78">
        <v>2.0337054042456906</v>
      </c>
      <c r="L58" s="78">
        <v>2.0336970095626059</v>
      </c>
      <c r="M58" s="78">
        <v>2.0336968788214511</v>
      </c>
      <c r="N58" s="78">
        <v>2.033705190785799</v>
      </c>
      <c r="O58" s="78">
        <v>2.0337240498961853</v>
      </c>
      <c r="P58" s="78">
        <v>2.0337573750464655</v>
      </c>
      <c r="Q58" s="78">
        <v>2.0338110821725812</v>
      </c>
      <c r="R58" s="78">
        <v>2.0338935960154427</v>
      </c>
      <c r="S58" s="78">
        <v>2.0340166928553591</v>
      </c>
      <c r="T58" s="78">
        <v>2.0341967051547289</v>
      </c>
      <c r="U58" s="78">
        <v>2.0344561753196908</v>
      </c>
      <c r="V58" s="78">
        <v>2.0348261180710123</v>
      </c>
      <c r="W58" s="78">
        <v>2.0353491467549798</v>
      </c>
      <c r="X58" s="78">
        <v>2.0360838575936602</v>
      </c>
      <c r="Y58" s="78">
        <v>2.0371110774536936</v>
      </c>
      <c r="Z58" s="78">
        <v>2.0385429111114495</v>
      </c>
      <c r="AA58" s="78">
        <v>2.0405360459229365</v>
      </c>
      <c r="AB58" s="78">
        <v>2.0433116042485033</v>
      </c>
      <c r="AC58" s="78">
        <v>2.0471851760346929</v>
      </c>
      <c r="AD58" s="78">
        <v>2.0526128541445967</v>
      </c>
      <c r="AE58" s="78">
        <v>2.0602627156912661</v>
      </c>
      <c r="AF58" s="78">
        <v>2.0711272539746814</v>
      </c>
      <c r="AG58" s="78">
        <v>2.0867025310910337</v>
      </c>
      <c r="AH58" s="78">
        <v>2.1092773884719369</v>
      </c>
      <c r="AI58" s="78">
        <v>2.1424064214418781</v>
      </c>
      <c r="AJ58" s="78">
        <v>2.1916935921554925</v>
      </c>
      <c r="AK58" s="78">
        <v>2.2661084031952741</v>
      </c>
      <c r="AL58" s="78">
        <v>2.3802331133918031</v>
      </c>
      <c r="AM58" s="78">
        <v>2.5581900106675923</v>
      </c>
      <c r="AN58" s="78">
        <v>2.8407657728435161</v>
      </c>
      <c r="AO58" s="78">
        <v>3.2991441479047898</v>
      </c>
      <c r="AP58" s="78">
        <v>4.063911538000248</v>
      </c>
      <c r="AQ58" s="79">
        <v>5.3942685303394553</v>
      </c>
      <c r="AR58" s="92">
        <v>7.869338134892164</v>
      </c>
      <c r="AS58" s="86">
        <v>9.0591325802687965</v>
      </c>
      <c r="AT58" s="86">
        <v>9.5933448750208434</v>
      </c>
      <c r="AU58" s="86">
        <v>9.8260821798403484</v>
      </c>
      <c r="AV58" s="86">
        <v>9.9260377842969767</v>
      </c>
      <c r="AW58" s="86">
        <v>9.9686192653496501</v>
      </c>
      <c r="AX58" s="86">
        <v>9.9866083987988148</v>
      </c>
      <c r="AY58" s="87">
        <v>9.9940208539638729</v>
      </c>
      <c r="AZ58" s="72">
        <v>9.9966781731173224</v>
      </c>
      <c r="BA58" s="35">
        <v>40</v>
      </c>
    </row>
    <row r="59" spans="2:53" x14ac:dyDescent="0.2">
      <c r="B59" s="34">
        <v>41</v>
      </c>
      <c r="C59" s="72">
        <v>1.2281927870715421</v>
      </c>
      <c r="D59" s="77">
        <v>1.4204100125959767</v>
      </c>
      <c r="E59" s="78">
        <v>1.6029997640577633</v>
      </c>
      <c r="F59" s="78">
        <v>1.7777564526019944</v>
      </c>
      <c r="G59" s="78">
        <v>1.7777438028624328</v>
      </c>
      <c r="H59" s="78">
        <v>1.7777437588244598</v>
      </c>
      <c r="I59" s="78">
        <v>1.7777563809923851</v>
      </c>
      <c r="J59" s="78">
        <v>1.7777841116176207</v>
      </c>
      <c r="K59" s="78">
        <v>1.7777564526019944</v>
      </c>
      <c r="L59" s="78">
        <v>1.7777438028624328</v>
      </c>
      <c r="M59" s="78">
        <v>1.7777437588244598</v>
      </c>
      <c r="N59" s="78">
        <v>1.7777563809923851</v>
      </c>
      <c r="O59" s="78">
        <v>1.7777841116176207</v>
      </c>
      <c r="P59" s="78">
        <v>1.7778318653134388</v>
      </c>
      <c r="Q59" s="78">
        <v>1.7779073939569672</v>
      </c>
      <c r="R59" s="78">
        <v>1.7780219891636257</v>
      </c>
      <c r="S59" s="78">
        <v>1.7781915741359366</v>
      </c>
      <c r="T59" s="78">
        <v>1.7784382592325119</v>
      </c>
      <c r="U59" s="78">
        <v>1.7787924855085262</v>
      </c>
      <c r="V59" s="78">
        <v>1.7792959562910351</v>
      </c>
      <c r="W59" s="78">
        <v>1.7800056671640356</v>
      </c>
      <c r="X59" s="78">
        <v>1.7809995086707251</v>
      </c>
      <c r="Y59" s="78">
        <v>1.782384164981389</v>
      </c>
      <c r="Z59" s="78">
        <v>1.784306414543732</v>
      </c>
      <c r="AA59" s="78">
        <v>1.7869695316668186</v>
      </c>
      <c r="AB59" s="78">
        <v>1.7906574124936581</v>
      </c>
      <c r="AC59" s="78">
        <v>1.7957705011139149</v>
      </c>
      <c r="AD59" s="78">
        <v>1.8028798931217429</v>
      </c>
      <c r="AE59" s="78">
        <v>1.8128096774110118</v>
      </c>
      <c r="AF59" s="78">
        <v>1.8267635347279121</v>
      </c>
      <c r="AG59" s="78">
        <v>1.8465213579711275</v>
      </c>
      <c r="AH59" s="78">
        <v>1.8747478168358944</v>
      </c>
      <c r="AI59" s="78">
        <v>1.915482052679591</v>
      </c>
      <c r="AJ59" s="78">
        <v>1.9749249249259895</v>
      </c>
      <c r="AK59" s="78">
        <v>2.0627255124539263</v>
      </c>
      <c r="AL59" s="78">
        <v>2.194132279599343</v>
      </c>
      <c r="AM59" s="78">
        <v>2.3937152283175633</v>
      </c>
      <c r="AN59" s="78">
        <v>2.7021448452170396</v>
      </c>
      <c r="AO59" s="78">
        <v>3.1894720893720279</v>
      </c>
      <c r="AP59" s="78">
        <v>3.9837475037052665</v>
      </c>
      <c r="AQ59" s="79">
        <v>5.3402336680306206</v>
      </c>
      <c r="AR59" s="92">
        <v>7.8332463728472925</v>
      </c>
      <c r="AS59" s="86">
        <v>9.0380420392816756</v>
      </c>
      <c r="AT59" s="86">
        <v>9.5817519303398893</v>
      </c>
      <c r="AU59" s="86">
        <v>9.819923644109819</v>
      </c>
      <c r="AV59" s="86">
        <v>9.9228410948248822</v>
      </c>
      <c r="AW59" s="86">
        <v>9.966986627429165</v>
      </c>
      <c r="AX59" s="86">
        <v>9.9857767576190213</v>
      </c>
      <c r="AY59" s="87">
        <v>9.9935779268715272</v>
      </c>
      <c r="AZ59" s="72">
        <v>9.9963918852024705</v>
      </c>
      <c r="BA59" s="35">
        <v>41</v>
      </c>
    </row>
    <row r="60" spans="2:53" x14ac:dyDescent="0.2">
      <c r="B60" s="34">
        <v>42</v>
      </c>
      <c r="C60" s="72">
        <v>1.1774782728064843</v>
      </c>
      <c r="D60" s="77">
        <v>1.3209435168017627</v>
      </c>
      <c r="E60" s="78">
        <v>1.4587140547354618</v>
      </c>
      <c r="F60" s="78">
        <v>1.5920160279871822</v>
      </c>
      <c r="G60" s="78">
        <v>1.5919987956612176</v>
      </c>
      <c r="H60" s="78">
        <v>1.591998783015155</v>
      </c>
      <c r="I60" s="78">
        <v>1.5920160074943308</v>
      </c>
      <c r="J60" s="78">
        <v>1.5920534306021226</v>
      </c>
      <c r="K60" s="78">
        <v>1.5920160279871822</v>
      </c>
      <c r="L60" s="78">
        <v>1.5919987956612176</v>
      </c>
      <c r="M60" s="78">
        <v>1.591998783015155</v>
      </c>
      <c r="N60" s="78">
        <v>1.5920160074943308</v>
      </c>
      <c r="O60" s="78">
        <v>1.5920534306021226</v>
      </c>
      <c r="P60" s="78">
        <v>1.5921171864464267</v>
      </c>
      <c r="Q60" s="78">
        <v>1.5922171239590142</v>
      </c>
      <c r="R60" s="78">
        <v>1.5923677297492289</v>
      </c>
      <c r="S60" s="78">
        <v>1.5925895087259547</v>
      </c>
      <c r="T60" s="78">
        <v>1.5929109277719624</v>
      </c>
      <c r="U60" s="78">
        <v>1.5933710792708515</v>
      </c>
      <c r="V60" s="78">
        <v>1.5940233018897723</v>
      </c>
      <c r="W60" s="78">
        <v>1.594940117064539</v>
      </c>
      <c r="X60" s="78">
        <v>1.5962200211330559</v>
      </c>
      <c r="Y60" s="78">
        <v>1.5979969468603261</v>
      </c>
      <c r="Z60" s="78">
        <v>1.6004536230617672</v>
      </c>
      <c r="AA60" s="78">
        <v>1.6038406920046584</v>
      </c>
      <c r="AB60" s="78">
        <v>1.6085044071256982</v>
      </c>
      <c r="AC60" s="78">
        <v>1.6149272103791046</v>
      </c>
      <c r="AD60" s="78">
        <v>1.6237877696245719</v>
      </c>
      <c r="AE60" s="78">
        <v>1.6360506128727108</v>
      </c>
      <c r="AF60" s="78">
        <v>1.6531011071515909</v>
      </c>
      <c r="AG60" s="78">
        <v>1.6769505195570131</v>
      </c>
      <c r="AH60" s="78">
        <v>1.7105506052983912</v>
      </c>
      <c r="AI60" s="78">
        <v>1.7582819460211612</v>
      </c>
      <c r="AJ60" s="78">
        <v>1.8267237729113679</v>
      </c>
      <c r="AK60" s="78">
        <v>1.9258937943368675</v>
      </c>
      <c r="AL60" s="78">
        <v>2.0713072175504359</v>
      </c>
      <c r="AM60" s="78">
        <v>2.2875490466585435</v>
      </c>
      <c r="AN60" s="78">
        <v>2.6148537416609421</v>
      </c>
      <c r="AO60" s="78">
        <v>3.1221906833686877</v>
      </c>
      <c r="AP60" s="78">
        <v>3.9358096876975019</v>
      </c>
      <c r="AQ60" s="79">
        <v>5.308631771953312</v>
      </c>
      <c r="AR60" s="92">
        <v>7.8124575968614351</v>
      </c>
      <c r="AS60" s="86">
        <v>9.0259922163235409</v>
      </c>
      <c r="AT60" s="86">
        <v>9.5751418557773746</v>
      </c>
      <c r="AU60" s="86">
        <v>9.8163996881855109</v>
      </c>
      <c r="AV60" s="86">
        <v>9.9209964523430401</v>
      </c>
      <c r="AW60" s="86">
        <v>9.9660325267736951</v>
      </c>
      <c r="AX60" s="86">
        <v>9.9852825569083219</v>
      </c>
      <c r="AY60" s="87">
        <v>9.993309158971968</v>
      </c>
      <c r="AZ60" s="72">
        <v>9.9962147232495084</v>
      </c>
      <c r="BA60" s="35">
        <v>42</v>
      </c>
    </row>
    <row r="61" spans="2:53" x14ac:dyDescent="0.2">
      <c r="B61" s="34">
        <v>43</v>
      </c>
      <c r="C61" s="72">
        <v>1.140432695625232</v>
      </c>
      <c r="D61" s="77">
        <v>1.2491149428760375</v>
      </c>
      <c r="E61" s="78">
        <v>1.3534042786009537</v>
      </c>
      <c r="F61" s="78">
        <v>1.4547119634744476</v>
      </c>
      <c r="G61" s="78">
        <v>1.4546899008428293</v>
      </c>
      <c r="H61" s="78">
        <v>1.4546899046385449</v>
      </c>
      <c r="I61" s="78">
        <v>1.4547119698118898</v>
      </c>
      <c r="J61" s="78">
        <v>1.4547596672802297</v>
      </c>
      <c r="K61" s="78">
        <v>1.4547119634744476</v>
      </c>
      <c r="L61" s="78">
        <v>1.4546899008428293</v>
      </c>
      <c r="M61" s="78">
        <v>1.4546899046385449</v>
      </c>
      <c r="N61" s="78">
        <v>1.4547119698118898</v>
      </c>
      <c r="O61" s="78">
        <v>1.4547596672802297</v>
      </c>
      <c r="P61" s="78">
        <v>1.4548404822045975</v>
      </c>
      <c r="Q61" s="78">
        <v>1.4549665239938747</v>
      </c>
      <c r="R61" s="78">
        <v>1.4551556764522209</v>
      </c>
      <c r="S61" s="78">
        <v>1.4554332807360846</v>
      </c>
      <c r="T61" s="78">
        <v>1.4558344782617518</v>
      </c>
      <c r="U61" s="78">
        <v>1.4564073956484123</v>
      </c>
      <c r="V61" s="78">
        <v>1.4572174386241261</v>
      </c>
      <c r="W61" s="78">
        <v>1.4583530897475543</v>
      </c>
      <c r="X61" s="78">
        <v>1.4599337963233099</v>
      </c>
      <c r="Y61" s="78">
        <v>1.4621208213521486</v>
      </c>
      <c r="Z61" s="78">
        <v>1.4651323587525549</v>
      </c>
      <c r="AA61" s="78">
        <v>1.469264854809156</v>
      </c>
      <c r="AB61" s="78">
        <v>1.4749234374522306</v>
      </c>
      <c r="AC61" s="78">
        <v>1.4826657978956388</v>
      </c>
      <c r="AD61" s="78">
        <v>1.4932660543657044</v>
      </c>
      <c r="AE61" s="78">
        <v>1.5078084742980544</v>
      </c>
      <c r="AF61" s="78">
        <v>1.5278261402714111</v>
      </c>
      <c r="AG61" s="78">
        <v>1.5555079366131472</v>
      </c>
      <c r="AH61" s="78">
        <v>1.5940108424283241</v>
      </c>
      <c r="AI61" s="78">
        <v>1.6479377732472031</v>
      </c>
      <c r="AJ61" s="78">
        <v>1.724083025594817</v>
      </c>
      <c r="AK61" s="78">
        <v>1.8326271474946907</v>
      </c>
      <c r="AL61" s="78">
        <v>1.9891253142716288</v>
      </c>
      <c r="AM61" s="78">
        <v>2.2179855301568661</v>
      </c>
      <c r="AN61" s="78">
        <v>2.5589493444725391</v>
      </c>
      <c r="AO61" s="78">
        <v>3.0801165916146296</v>
      </c>
      <c r="AP61" s="78">
        <v>3.9065301985648366</v>
      </c>
      <c r="AQ61" s="79">
        <v>5.2897437558018572</v>
      </c>
      <c r="AR61" s="92">
        <v>7.8002449595604411</v>
      </c>
      <c r="AS61" s="86">
        <v>9.0189948562484119</v>
      </c>
      <c r="AT61" s="86">
        <v>9.5713285896724525</v>
      </c>
      <c r="AU61" s="86">
        <v>9.8143700782808416</v>
      </c>
      <c r="AV61" s="86">
        <v>9.9199305884135214</v>
      </c>
      <c r="AW61" s="86">
        <v>9.9654767074680599</v>
      </c>
      <c r="AX61" s="86">
        <v>9.9849906101965651</v>
      </c>
      <c r="AY61" s="87">
        <v>9.993147015216767</v>
      </c>
      <c r="AZ61" s="72">
        <v>9.9961054817270725</v>
      </c>
      <c r="BA61" s="35">
        <v>43</v>
      </c>
    </row>
    <row r="62" spans="2:53" x14ac:dyDescent="0.2">
      <c r="B62" s="34">
        <v>44</v>
      </c>
      <c r="C62" s="72">
        <v>1.1153373930144694</v>
      </c>
      <c r="D62" s="77">
        <v>1.1981564770546447</v>
      </c>
      <c r="E62" s="78">
        <v>1.2762540837460088</v>
      </c>
      <c r="F62" s="78">
        <v>1.352031978936135</v>
      </c>
      <c r="G62" s="78">
        <v>1.3520049875684381</v>
      </c>
      <c r="H62" s="78">
        <v>1.3520050151216905</v>
      </c>
      <c r="I62" s="78">
        <v>1.3520320246842243</v>
      </c>
      <c r="J62" s="78">
        <v>1.3520902170980362</v>
      </c>
      <c r="K62" s="78">
        <v>1.352031978936135</v>
      </c>
      <c r="L62" s="78">
        <v>1.3520049875684381</v>
      </c>
      <c r="M62" s="78">
        <v>1.3520050151216905</v>
      </c>
      <c r="N62" s="78">
        <v>1.3520320246842243</v>
      </c>
      <c r="O62" s="78">
        <v>1.3520902170980362</v>
      </c>
      <c r="P62" s="78">
        <v>1.3521884702247535</v>
      </c>
      <c r="Q62" s="78">
        <v>1.352341204213205</v>
      </c>
      <c r="R62" s="78">
        <v>1.3525697500425646</v>
      </c>
      <c r="S62" s="78">
        <v>1.3529043274287178</v>
      </c>
      <c r="T62" s="78">
        <v>1.3533867746900774</v>
      </c>
      <c r="U62" s="78">
        <v>1.3540742300578947</v>
      </c>
      <c r="V62" s="78">
        <v>1.3550440512452688</v>
      </c>
      <c r="W62" s="78">
        <v>1.356400391170715</v>
      </c>
      <c r="X62" s="78">
        <v>1.3582830427162775</v>
      </c>
      <c r="Y62" s="78">
        <v>1.3608794543782237</v>
      </c>
      <c r="Z62" s="78">
        <v>1.3644412458413444</v>
      </c>
      <c r="AA62" s="78">
        <v>1.3693071828692294</v>
      </c>
      <c r="AB62" s="78">
        <v>1.3759355014932992</v>
      </c>
      <c r="AC62" s="78">
        <v>1.3849498508826661</v>
      </c>
      <c r="AD62" s="78">
        <v>1.397205187420423</v>
      </c>
      <c r="AE62" s="78">
        <v>1.4138830852365651</v>
      </c>
      <c r="AF62" s="78">
        <v>1.4366307922530555</v>
      </c>
      <c r="AG62" s="78">
        <v>1.4677661445940735</v>
      </c>
      <c r="AH62" s="78">
        <v>1.510583401378363</v>
      </c>
      <c r="AI62" s="78">
        <v>1.5698176313306682</v>
      </c>
      <c r="AJ62" s="78">
        <v>1.6523667347871223</v>
      </c>
      <c r="AK62" s="78">
        <v>1.7684506449924311</v>
      </c>
      <c r="AL62" s="78">
        <v>1.9335523970105979</v>
      </c>
      <c r="AM62" s="78">
        <v>2.1718443168378845</v>
      </c>
      <c r="AN62" s="78">
        <v>2.5226288599987834</v>
      </c>
      <c r="AO62" s="78">
        <v>3.0533625839122225</v>
      </c>
      <c r="AP62" s="78">
        <v>3.8883066717561769</v>
      </c>
      <c r="AQ62" s="79">
        <v>5.2782265777535198</v>
      </c>
      <c r="AR62" s="92">
        <v>7.7929301895493737</v>
      </c>
      <c r="AS62" s="86">
        <v>9.0148601061394693</v>
      </c>
      <c r="AT62" s="86">
        <v>9.569097035050941</v>
      </c>
      <c r="AU62" s="86">
        <v>9.8131887776776914</v>
      </c>
      <c r="AV62" s="86">
        <v>9.9193105003968149</v>
      </c>
      <c r="AW62" s="86">
        <v>9.9651512956289654</v>
      </c>
      <c r="AX62" s="86">
        <v>9.9848166461810948</v>
      </c>
      <c r="AY62" s="87">
        <v>9.9930469286503403</v>
      </c>
      <c r="AZ62" s="72">
        <v>9.9960351744087923</v>
      </c>
      <c r="BA62" s="35">
        <v>44</v>
      </c>
    </row>
    <row r="63" spans="2:53" x14ac:dyDescent="0.2">
      <c r="B63" s="34">
        <v>45</v>
      </c>
      <c r="C63" s="72">
        <v>1.1045801552811443</v>
      </c>
      <c r="D63" s="77">
        <v>1.1649175014424868</v>
      </c>
      <c r="E63" s="78">
        <v>1.2205411913752655</v>
      </c>
      <c r="F63" s="78">
        <v>1.2749300040151774</v>
      </c>
      <c r="G63" s="78">
        <v>1.2748981676315869</v>
      </c>
      <c r="H63" s="78">
        <v>1.2748982606430634</v>
      </c>
      <c r="I63" s="78">
        <v>1.2749301610354922</v>
      </c>
      <c r="J63" s="78">
        <v>1.2749986514949079</v>
      </c>
      <c r="K63" s="78">
        <v>1.2749300040151774</v>
      </c>
      <c r="L63" s="78">
        <v>1.2748981676315869</v>
      </c>
      <c r="M63" s="78">
        <v>1.2748982606430634</v>
      </c>
      <c r="N63" s="78">
        <v>1.2749301610354922</v>
      </c>
      <c r="O63" s="78">
        <v>1.2749986514949079</v>
      </c>
      <c r="P63" s="78">
        <v>1.2751139575738761</v>
      </c>
      <c r="Q63" s="78">
        <v>1.2752927449795275</v>
      </c>
      <c r="R63" s="78">
        <v>1.2755596818032193</v>
      </c>
      <c r="S63" s="78">
        <v>1.275949686369882</v>
      </c>
      <c r="T63" s="78">
        <v>1.2765110125547876</v>
      </c>
      <c r="U63" s="78">
        <v>1.27730938115119</v>
      </c>
      <c r="V63" s="78">
        <v>1.2784334542195162</v>
      </c>
      <c r="W63" s="78">
        <v>1.2800020807581372</v>
      </c>
      <c r="X63" s="78">
        <v>1.282173935606761</v>
      </c>
      <c r="Y63" s="78">
        <v>1.2851604578199416</v>
      </c>
      <c r="Z63" s="78">
        <v>1.2892434112191618</v>
      </c>
      <c r="AA63" s="78">
        <v>1.2947989985417718</v>
      </c>
      <c r="AB63" s="78">
        <v>1.3023313508151266</v>
      </c>
      <c r="AC63" s="78">
        <v>1.3125195226013966</v>
      </c>
      <c r="AD63" s="78">
        <v>1.3262840719671793</v>
      </c>
      <c r="AE63" s="78">
        <v>1.3448822618416674</v>
      </c>
      <c r="AF63" s="78">
        <v>1.3700455390698467</v>
      </c>
      <c r="AG63" s="78">
        <v>1.404180430164798</v>
      </c>
      <c r="AH63" s="78">
        <v>1.4506666459517323</v>
      </c>
      <c r="AI63" s="78">
        <v>1.514308620327063</v>
      </c>
      <c r="AJ63" s="78">
        <v>1.6020384780733894</v>
      </c>
      <c r="AK63" s="78">
        <v>1.7240501076204191</v>
      </c>
      <c r="AL63" s="78">
        <v>1.895711781425176</v>
      </c>
      <c r="AM63" s="78">
        <v>2.1409675381261759</v>
      </c>
      <c r="AN63" s="78">
        <v>2.498768730352952</v>
      </c>
      <c r="AO63" s="78">
        <v>3.0361187660154254</v>
      </c>
      <c r="AP63" s="78">
        <v>3.8767837934338352</v>
      </c>
      <c r="AQ63" s="79">
        <v>5.2710803940323343</v>
      </c>
      <c r="AR63" s="92">
        <v>7.7884702057437938</v>
      </c>
      <c r="AS63" s="86">
        <v>9.0123747422844218</v>
      </c>
      <c r="AT63" s="86">
        <v>9.5677708472195064</v>
      </c>
      <c r="AU63" s="86">
        <v>9.8124920339376533</v>
      </c>
      <c r="AV63" s="86">
        <v>9.9189451894420539</v>
      </c>
      <c r="AW63" s="86">
        <v>9.9649571620169723</v>
      </c>
      <c r="AX63" s="86">
        <v>9.9847081504075739</v>
      </c>
      <c r="AY63" s="87">
        <v>9.9929780275512332</v>
      </c>
      <c r="AZ63" s="72">
        <v>9.9959808828088832</v>
      </c>
      <c r="BA63" s="35">
        <v>45</v>
      </c>
    </row>
    <row r="64" spans="2:53" x14ac:dyDescent="0.2">
      <c r="B64" s="34">
        <v>46</v>
      </c>
      <c r="C64" s="72">
        <v>1.1210736381127235</v>
      </c>
      <c r="D64" s="77">
        <v>1.1473951369857667</v>
      </c>
      <c r="E64" s="78">
        <v>1.1812530234126024</v>
      </c>
      <c r="F64" s="78">
        <v>1.2173440930787731</v>
      </c>
      <c r="G64" s="78">
        <v>1.2173076949289732</v>
      </c>
      <c r="H64" s="78">
        <v>1.2173079889507146</v>
      </c>
      <c r="I64" s="78">
        <v>1.2173446051935126</v>
      </c>
      <c r="J64" s="78">
        <v>1.2174227832352555</v>
      </c>
      <c r="K64" s="78">
        <v>1.2173440930787731</v>
      </c>
      <c r="L64" s="78">
        <v>1.2173076949289732</v>
      </c>
      <c r="M64" s="78">
        <v>1.2173079889507146</v>
      </c>
      <c r="N64" s="78">
        <v>1.2173446051935126</v>
      </c>
      <c r="O64" s="78">
        <v>1.2174227832352555</v>
      </c>
      <c r="P64" s="78">
        <v>1.2175539771404864</v>
      </c>
      <c r="Q64" s="78">
        <v>1.217756929825657</v>
      </c>
      <c r="R64" s="78">
        <v>1.2180593851039871</v>
      </c>
      <c r="S64" s="78">
        <v>1.2185005666537658</v>
      </c>
      <c r="T64" s="78">
        <v>1.219134573725887</v>
      </c>
      <c r="U64" s="78">
        <v>1.2200349017461136</v>
      </c>
      <c r="V64" s="78">
        <v>1.2213003861073326</v>
      </c>
      <c r="W64" s="78">
        <v>1.2230629979499335</v>
      </c>
      <c r="X64" s="78">
        <v>1.2254981100110309</v>
      </c>
      <c r="Y64" s="78">
        <v>1.2288381262568624</v>
      </c>
      <c r="Z64" s="78">
        <v>1.2333907702169034</v>
      </c>
      <c r="AA64" s="78">
        <v>1.2395639101606448</v>
      </c>
      <c r="AB64" s="78">
        <v>1.2478996485209866</v>
      </c>
      <c r="AC64" s="78">
        <v>1.2591216490951711</v>
      </c>
      <c r="AD64" s="78">
        <v>1.2742015326279177</v>
      </c>
      <c r="AE64" s="78">
        <v>1.2944530072181724</v>
      </c>
      <c r="AF64" s="78">
        <v>1.321666874956134</v>
      </c>
      <c r="AG64" s="78">
        <v>1.3583074022647088</v>
      </c>
      <c r="AH64" s="78">
        <v>1.4078031362433849</v>
      </c>
      <c r="AI64" s="78">
        <v>1.4749878295783616</v>
      </c>
      <c r="AJ64" s="78">
        <v>1.5667894484973579</v>
      </c>
      <c r="AK64" s="78">
        <v>1.6933480708830804</v>
      </c>
      <c r="AL64" s="78">
        <v>1.8699131254390682</v>
      </c>
      <c r="AM64" s="78">
        <v>2.120235561321977</v>
      </c>
      <c r="AN64" s="78">
        <v>2.4830036408603506</v>
      </c>
      <c r="AO64" s="78">
        <v>3.0249122048222032</v>
      </c>
      <c r="AP64" s="78">
        <v>3.8694193943357824</v>
      </c>
      <c r="AQ64" s="79">
        <v>5.266589490410543</v>
      </c>
      <c r="AR64" s="92">
        <v>7.7857126220253523</v>
      </c>
      <c r="AS64" s="86">
        <v>9.0108592849734332</v>
      </c>
      <c r="AT64" s="86">
        <v>9.5669715532086315</v>
      </c>
      <c r="AU64" s="86">
        <v>9.8120750977142119</v>
      </c>
      <c r="AV64" s="86">
        <v>9.9187254492060717</v>
      </c>
      <c r="AW64" s="86">
        <v>9.9648352943767158</v>
      </c>
      <c r="AX64" s="86">
        <v>9.9846300506510701</v>
      </c>
      <c r="AY64" s="87">
        <v>9.9929136942404657</v>
      </c>
      <c r="AZ64" s="72">
        <v>9.9959165287994285</v>
      </c>
      <c r="BA64" s="35">
        <v>46</v>
      </c>
    </row>
    <row r="65" spans="2:53" x14ac:dyDescent="0.2">
      <c r="B65" s="34">
        <v>47</v>
      </c>
      <c r="C65" s="72">
        <v>1.1195882637418955</v>
      </c>
      <c r="D65" s="77">
        <v>1.1325439137336526</v>
      </c>
      <c r="E65" s="78">
        <v>1.1524179504521925</v>
      </c>
      <c r="F65" s="78">
        <v>1.1751598848893641</v>
      </c>
      <c r="G65" s="78">
        <v>1.1751195025774355</v>
      </c>
      <c r="H65" s="78">
        <v>1.1751204074627633</v>
      </c>
      <c r="I65" s="78">
        <v>1.1751615515693352</v>
      </c>
      <c r="J65" s="78">
        <v>1.1752484465089992</v>
      </c>
      <c r="K65" s="78">
        <v>1.1751598848893641</v>
      </c>
      <c r="L65" s="78">
        <v>1.1751195025774355</v>
      </c>
      <c r="M65" s="78">
        <v>1.1751204074627633</v>
      </c>
      <c r="N65" s="78">
        <v>1.1751615515693352</v>
      </c>
      <c r="O65" s="78">
        <v>1.1752484465089992</v>
      </c>
      <c r="P65" s="78">
        <v>1.1753936251747918</v>
      </c>
      <c r="Q65" s="78">
        <v>1.1756176678420134</v>
      </c>
      <c r="R65" s="78">
        <v>1.1759510039518093</v>
      </c>
      <c r="S65" s="78">
        <v>1.1764365790525668</v>
      </c>
      <c r="T65" s="78">
        <v>1.1771335104177869</v>
      </c>
      <c r="U65" s="78">
        <v>1.1781219287911455</v>
      </c>
      <c r="V65" s="78">
        <v>1.1795092999581487</v>
      </c>
      <c r="W65" s="78">
        <v>1.1814386495548168</v>
      </c>
      <c r="X65" s="78">
        <v>1.1840992982395029</v>
      </c>
      <c r="Y65" s="78">
        <v>1.1877409798473209</v>
      </c>
      <c r="Z65" s="78">
        <v>1.1926926003852654</v>
      </c>
      <c r="AA65" s="78">
        <v>1.1993874548696084</v>
      </c>
      <c r="AB65" s="78">
        <v>1.2083975331685952</v>
      </c>
      <c r="AC65" s="78">
        <v>1.2204807432977676</v>
      </c>
      <c r="AD65" s="78">
        <v>1.2366466743144844</v>
      </c>
      <c r="AE65" s="78">
        <v>1.2582492832835142</v>
      </c>
      <c r="AF65" s="78">
        <v>1.2871192969718848</v>
      </c>
      <c r="AG65" s="78">
        <v>1.3257564335161496</v>
      </c>
      <c r="AH65" s="78">
        <v>1.3776142075739821</v>
      </c>
      <c r="AI65" s="78">
        <v>1.4475329061281708</v>
      </c>
      <c r="AJ65" s="78">
        <v>1.5424191564732064</v>
      </c>
      <c r="AK65" s="78">
        <v>1.6723542102595386</v>
      </c>
      <c r="AL65" s="78">
        <v>1.8524838732026256</v>
      </c>
      <c r="AM65" s="78">
        <v>2.1064092881690804</v>
      </c>
      <c r="AN65" s="78">
        <v>2.4726312993124409</v>
      </c>
      <c r="AO65" s="78">
        <v>3.0176409012147731</v>
      </c>
      <c r="AP65" s="78">
        <v>3.8647080677465517</v>
      </c>
      <c r="AQ65" s="79">
        <v>5.2637576728146458</v>
      </c>
      <c r="AR65" s="92">
        <v>7.7839985427305018</v>
      </c>
      <c r="AS65" s="86">
        <v>9.0099290696984955</v>
      </c>
      <c r="AT65" s="86">
        <v>9.5664859258322323</v>
      </c>
      <c r="AU65" s="86">
        <v>9.811822410084071</v>
      </c>
      <c r="AV65" s="86">
        <v>9.9185885724882326</v>
      </c>
      <c r="AW65" s="86">
        <v>9.9647490777646777</v>
      </c>
      <c r="AX65" s="86">
        <v>9.9845539683175453</v>
      </c>
      <c r="AY65" s="87">
        <v>9.9928195401449695</v>
      </c>
      <c r="AZ65" s="72">
        <v>9.995793868774177</v>
      </c>
      <c r="BA65" s="35">
        <v>47</v>
      </c>
    </row>
    <row r="66" spans="2:53" x14ac:dyDescent="0.2">
      <c r="B66" s="34">
        <v>48</v>
      </c>
      <c r="C66" s="72">
        <v>1.1137769077236053</v>
      </c>
      <c r="D66" s="77">
        <v>1.1203193303831958</v>
      </c>
      <c r="E66" s="78">
        <v>1.1316916136747808</v>
      </c>
      <c r="F66" s="78">
        <v>1.1455885779743316</v>
      </c>
      <c r="G66" s="78">
        <v>1.145545713842127</v>
      </c>
      <c r="H66" s="78">
        <v>1.1455483944413409</v>
      </c>
      <c r="I66" s="78">
        <v>1.1455940418747228</v>
      </c>
      <c r="J66" s="78">
        <v>1.1456883865955738</v>
      </c>
      <c r="K66" s="78">
        <v>1.1455885779743316</v>
      </c>
      <c r="L66" s="78">
        <v>1.145545713842127</v>
      </c>
      <c r="M66" s="78">
        <v>1.1455483944413409</v>
      </c>
      <c r="N66" s="78">
        <v>1.1455940418747228</v>
      </c>
      <c r="O66" s="78">
        <v>1.1456883865955738</v>
      </c>
      <c r="P66" s="78">
        <v>1.1458449780133841</v>
      </c>
      <c r="Q66" s="78">
        <v>1.1460859732094062</v>
      </c>
      <c r="R66" s="78">
        <v>1.146443996693187</v>
      </c>
      <c r="S66" s="78">
        <v>1.1469649716327674</v>
      </c>
      <c r="T66" s="78">
        <v>1.1477119899615362</v>
      </c>
      <c r="U66" s="78">
        <v>1.1487704059343464</v>
      </c>
      <c r="V66" s="78">
        <v>1.1502544430927271</v>
      </c>
      <c r="W66" s="78">
        <v>1.152315732315091</v>
      </c>
      <c r="X66" s="78">
        <v>1.1551543758824168</v>
      </c>
      <c r="Y66" s="78">
        <v>1.1590333881006005</v>
      </c>
      <c r="Z66" s="78">
        <v>1.1642977341942422</v>
      </c>
      <c r="AA66" s="78">
        <v>1.171399728735937</v>
      </c>
      <c r="AB66" s="78">
        <v>1.1809333426002091</v>
      </c>
      <c r="AC66" s="78">
        <v>1.1936811309931079</v>
      </c>
      <c r="AD66" s="78">
        <v>1.2106792497035228</v>
      </c>
      <c r="AE66" s="78">
        <v>1.2333087512080798</v>
      </c>
      <c r="AF66" s="78">
        <v>1.2634257365543848</v>
      </c>
      <c r="AG66" s="78">
        <v>1.3035502737970508</v>
      </c>
      <c r="AH66" s="78">
        <v>1.3571467538636071</v>
      </c>
      <c r="AI66" s="78">
        <v>1.4290514101494052</v>
      </c>
      <c r="AJ66" s="78">
        <v>1.5261459650679163</v>
      </c>
      <c r="AK66" s="78">
        <v>1.6584606405844693</v>
      </c>
      <c r="AL66" s="78">
        <v>1.8410612159505841</v>
      </c>
      <c r="AM66" s="78">
        <v>2.0974415457755002</v>
      </c>
      <c r="AN66" s="78">
        <v>2.4659762982354994</v>
      </c>
      <c r="AO66" s="78">
        <v>3.0130271182487585</v>
      </c>
      <c r="AP66" s="78">
        <v>3.8617522985396251</v>
      </c>
      <c r="AQ66" s="79">
        <v>5.2620017268150914</v>
      </c>
      <c r="AR66" s="92">
        <v>7.782948161135324</v>
      </c>
      <c r="AS66" s="86">
        <v>9.0093648994706097</v>
      </c>
      <c r="AT66" s="86">
        <v>9.5661934508429365</v>
      </c>
      <c r="AU66" s="86">
        <v>9.8116689285139493</v>
      </c>
      <c r="AV66" s="86">
        <v>9.918498815174523</v>
      </c>
      <c r="AW66" s="86">
        <v>9.9646748701147452</v>
      </c>
      <c r="AX66" s="86">
        <v>9.984451241084713</v>
      </c>
      <c r="AY66" s="87">
        <v>9.9926354945602966</v>
      </c>
      <c r="AZ66" s="72">
        <v>9.9954924864294927</v>
      </c>
      <c r="BA66" s="35">
        <v>48</v>
      </c>
    </row>
    <row r="67" spans="2:53" x14ac:dyDescent="0.2">
      <c r="B67" s="34">
        <v>49</v>
      </c>
      <c r="C67" s="72">
        <v>1.1099355673078519</v>
      </c>
      <c r="D67" s="80">
        <v>1.1122472747161996</v>
      </c>
      <c r="E67" s="81">
        <v>1.1182449003596162</v>
      </c>
      <c r="F67" s="81">
        <v>1.1267855902013433</v>
      </c>
      <c r="G67" s="81">
        <v>1.1267460439629424</v>
      </c>
      <c r="H67" s="81">
        <v>1.1267534110246313</v>
      </c>
      <c r="I67" s="81">
        <v>1.1268037719499138</v>
      </c>
      <c r="J67" s="81">
        <v>1.1269039626781425</v>
      </c>
      <c r="K67" s="81">
        <v>1.1267855902013433</v>
      </c>
      <c r="L67" s="81">
        <v>1.1267460439629424</v>
      </c>
      <c r="M67" s="81">
        <v>1.1267534110246313</v>
      </c>
      <c r="N67" s="81">
        <v>1.1268037719499138</v>
      </c>
      <c r="O67" s="81">
        <v>1.1269039626781425</v>
      </c>
      <c r="P67" s="81">
        <v>1.1270687723399655</v>
      </c>
      <c r="Q67" s="81">
        <v>1.1273216831319839</v>
      </c>
      <c r="R67" s="81">
        <v>1.1276969343982099</v>
      </c>
      <c r="S67" s="81">
        <v>1.1282425469731905</v>
      </c>
      <c r="T67" s="81">
        <v>1.1290243720403548</v>
      </c>
      <c r="U67" s="81">
        <v>1.1301313666759025</v>
      </c>
      <c r="V67" s="81">
        <v>1.1316823945255388</v>
      </c>
      <c r="W67" s="81">
        <v>1.1338349685439106</v>
      </c>
      <c r="X67" s="81">
        <v>1.1367965219845646</v>
      </c>
      <c r="Y67" s="81">
        <v>1.1408390409237545</v>
      </c>
      <c r="Z67" s="81">
        <v>1.1463182522422453</v>
      </c>
      <c r="AA67" s="81">
        <v>1.1536990869295067</v>
      </c>
      <c r="AB67" s="81">
        <v>1.1635899090814368</v>
      </c>
      <c r="AC67" s="81">
        <v>1.1767891441557061</v>
      </c>
      <c r="AD67" s="81">
        <v>1.1943496735275523</v>
      </c>
      <c r="AE67" s="81">
        <v>1.2176690708024789</v>
      </c>
      <c r="AF67" s="81">
        <v>1.2486181395044058</v>
      </c>
      <c r="AG67" s="81">
        <v>1.2897275796989591</v>
      </c>
      <c r="AH67" s="81">
        <v>1.3444654605078254</v>
      </c>
      <c r="AI67" s="81">
        <v>1.4176613999178804</v>
      </c>
      <c r="AJ67" s="81">
        <v>1.516176850409517</v>
      </c>
      <c r="AK67" s="81">
        <v>1.6500054915417184</v>
      </c>
      <c r="AL67" s="81">
        <v>1.8341594898658307</v>
      </c>
      <c r="AM67" s="81">
        <v>2.0920642470462032</v>
      </c>
      <c r="AN67" s="81">
        <v>2.4620173151037728</v>
      </c>
      <c r="AO67" s="81">
        <v>3.0103046591767626</v>
      </c>
      <c r="AP67" s="81">
        <v>3.8600226073575268</v>
      </c>
      <c r="AQ67" s="82">
        <v>5.2609829937146708</v>
      </c>
      <c r="AR67" s="93">
        <v>7.7823440909294126</v>
      </c>
      <c r="AS67" s="88">
        <v>9.009042837943781</v>
      </c>
      <c r="AT67" s="88">
        <v>9.5660268918734968</v>
      </c>
      <c r="AU67" s="88">
        <v>9.8115793187423161</v>
      </c>
      <c r="AV67" s="88">
        <v>9.9184382065151162</v>
      </c>
      <c r="AW67" s="88">
        <v>9.9646015116703541</v>
      </c>
      <c r="AX67" s="88">
        <v>9.9842978788390457</v>
      </c>
      <c r="AY67" s="89">
        <v>9.9922597568563294</v>
      </c>
      <c r="AZ67" s="72">
        <v>9.99466922239586</v>
      </c>
      <c r="BA67" s="35">
        <v>49</v>
      </c>
    </row>
    <row r="68" spans="2:53" x14ac:dyDescent="0.2">
      <c r="B68" s="34">
        <v>50</v>
      </c>
      <c r="C68" s="73">
        <v>1.112199868168577</v>
      </c>
      <c r="D68" s="70">
        <v>1.1090983488817405</v>
      </c>
      <c r="E68" s="70">
        <v>1.1113183661473476</v>
      </c>
      <c r="F68" s="70">
        <v>1.1152858258756664</v>
      </c>
      <c r="G68" s="70">
        <v>1.1167394230396124</v>
      </c>
      <c r="H68" s="70">
        <v>1.1172873805963222</v>
      </c>
      <c r="I68" s="70">
        <v>1.117514686187796</v>
      </c>
      <c r="J68" s="70">
        <v>1.1176180892563559</v>
      </c>
      <c r="K68" s="70">
        <v>1.117610636470334</v>
      </c>
      <c r="L68" s="70">
        <v>1.1176011576750549</v>
      </c>
      <c r="M68" s="70">
        <v>1.1176180179305921</v>
      </c>
      <c r="N68" s="70">
        <v>1.1176726990204635</v>
      </c>
      <c r="O68" s="70">
        <v>1.1177764425736747</v>
      </c>
      <c r="P68" s="70">
        <v>1.1179456443895175</v>
      </c>
      <c r="Q68" s="70">
        <v>1.1182047284865813</v>
      </c>
      <c r="R68" s="70">
        <v>1.1185888373925037</v>
      </c>
      <c r="S68" s="70">
        <v>1.1191470883320311</v>
      </c>
      <c r="T68" s="70">
        <v>1.1199467490035342</v>
      </c>
      <c r="U68" s="70">
        <v>1.12107861516503</v>
      </c>
      <c r="V68" s="70">
        <v>1.1226639109236525</v>
      </c>
      <c r="W68" s="70">
        <v>1.1248631328745071</v>
      </c>
      <c r="X68" s="70">
        <v>1.127887420666321</v>
      </c>
      <c r="Y68" s="70">
        <v>1.1320132781507524</v>
      </c>
      <c r="Z68" s="70">
        <v>1.1376018241461181</v>
      </c>
      <c r="AA68" s="70">
        <v>1.1451242708275875</v>
      </c>
      <c r="AB68" s="70">
        <v>1.1551960898615006</v>
      </c>
      <c r="AC68" s="70">
        <v>1.1686234601847241</v>
      </c>
      <c r="AD68" s="70">
        <v>1.1864673159085573</v>
      </c>
      <c r="AE68" s="70">
        <v>1.2101330160951713</v>
      </c>
      <c r="AF68" s="70">
        <v>1.2414980465839507</v>
      </c>
      <c r="AG68" s="70">
        <v>1.2830975540420013</v>
      </c>
      <c r="AH68" s="70">
        <v>1.3384004118953681</v>
      </c>
      <c r="AI68" s="70">
        <v>1.4122318293301372</v>
      </c>
      <c r="AJ68" s="70">
        <v>1.5114421369097812</v>
      </c>
      <c r="AK68" s="70">
        <v>1.6460061316392487</v>
      </c>
      <c r="AL68" s="70">
        <v>1.8309092460884542</v>
      </c>
      <c r="AM68" s="70">
        <v>2.0895436858455576</v>
      </c>
      <c r="AN68" s="70">
        <v>2.4601705525444522</v>
      </c>
      <c r="AO68" s="70">
        <v>3.009040996758038</v>
      </c>
      <c r="AP68" s="70">
        <v>3.8592238186765391</v>
      </c>
      <c r="AQ68" s="70">
        <v>5.2605150176090127</v>
      </c>
      <c r="AR68" s="70">
        <v>7.7820680854930293</v>
      </c>
      <c r="AS68" s="70">
        <v>9.0088963014158185</v>
      </c>
      <c r="AT68" s="70">
        <v>9.5659509932466911</v>
      </c>
      <c r="AU68" s="70">
        <v>9.8115369739872147</v>
      </c>
      <c r="AV68" s="70">
        <v>9.9184038357224864</v>
      </c>
      <c r="AW68" s="70">
        <v>9.9645416521746846</v>
      </c>
      <c r="AX68" s="70">
        <v>9.9841216078461219</v>
      </c>
      <c r="AY68" s="70">
        <v>9.9916361220955014</v>
      </c>
      <c r="AZ68" s="90">
        <v>9.992259749244278</v>
      </c>
      <c r="BA68" s="35">
        <v>50</v>
      </c>
    </row>
    <row r="69" spans="2:53" x14ac:dyDescent="0.2">
      <c r="B69" s="36"/>
      <c r="C69" s="37">
        <v>1</v>
      </c>
      <c r="D69" s="37">
        <v>2</v>
      </c>
      <c r="E69" s="37">
        <v>3</v>
      </c>
      <c r="F69" s="37">
        <v>4</v>
      </c>
      <c r="G69" s="37">
        <v>5</v>
      </c>
      <c r="H69" s="37">
        <v>6</v>
      </c>
      <c r="I69" s="37">
        <v>7</v>
      </c>
      <c r="J69" s="37">
        <v>8</v>
      </c>
      <c r="K69" s="37">
        <v>9</v>
      </c>
      <c r="L69" s="37">
        <v>10</v>
      </c>
      <c r="M69" s="37">
        <v>11</v>
      </c>
      <c r="N69" s="37">
        <v>12</v>
      </c>
      <c r="O69" s="37">
        <v>13</v>
      </c>
      <c r="P69" s="37">
        <v>14</v>
      </c>
      <c r="Q69" s="37">
        <v>15</v>
      </c>
      <c r="R69" s="37">
        <v>16</v>
      </c>
      <c r="S69" s="37">
        <v>17</v>
      </c>
      <c r="T69" s="37">
        <v>18</v>
      </c>
      <c r="U69" s="37">
        <v>19</v>
      </c>
      <c r="V69" s="37">
        <v>20</v>
      </c>
      <c r="W69" s="37">
        <v>21</v>
      </c>
      <c r="X69" s="37">
        <v>22</v>
      </c>
      <c r="Y69" s="37">
        <v>23</v>
      </c>
      <c r="Z69" s="37">
        <v>24</v>
      </c>
      <c r="AA69" s="37">
        <v>25</v>
      </c>
      <c r="AB69" s="37">
        <v>26</v>
      </c>
      <c r="AC69" s="37">
        <v>27</v>
      </c>
      <c r="AD69" s="37">
        <v>28</v>
      </c>
      <c r="AE69" s="37">
        <v>29</v>
      </c>
      <c r="AF69" s="37">
        <v>30</v>
      </c>
      <c r="AG69" s="37">
        <v>31</v>
      </c>
      <c r="AH69" s="37">
        <v>32</v>
      </c>
      <c r="AI69" s="37">
        <v>33</v>
      </c>
      <c r="AJ69" s="37">
        <v>34</v>
      </c>
      <c r="AK69" s="37">
        <v>35</v>
      </c>
      <c r="AL69" s="37">
        <v>36</v>
      </c>
      <c r="AM69" s="37">
        <v>37</v>
      </c>
      <c r="AN69" s="37">
        <v>38</v>
      </c>
      <c r="AO69" s="37">
        <v>39</v>
      </c>
      <c r="AP69" s="37">
        <v>40</v>
      </c>
      <c r="AQ69" s="37">
        <v>41</v>
      </c>
      <c r="AR69" s="37">
        <v>42</v>
      </c>
      <c r="AS69" s="37">
        <v>43</v>
      </c>
      <c r="AT69" s="37">
        <v>44</v>
      </c>
      <c r="AU69" s="37">
        <v>45</v>
      </c>
      <c r="AV69" s="37">
        <v>46</v>
      </c>
      <c r="AW69" s="37">
        <v>47</v>
      </c>
      <c r="AX69" s="37">
        <v>48</v>
      </c>
      <c r="AY69" s="37">
        <v>49</v>
      </c>
      <c r="AZ69" s="37">
        <v>50</v>
      </c>
      <c r="BA69" s="38"/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A69"/>
  <sheetViews>
    <sheetView zoomScale="50" workbookViewId="0">
      <selection activeCell="C19" sqref="C19:AZ68"/>
    </sheetView>
  </sheetViews>
  <sheetFormatPr defaultRowHeight="13.2" x14ac:dyDescent="0.25"/>
  <cols>
    <col min="1" max="1" width="6.6640625" customWidth="1"/>
    <col min="2" max="52" width="6.6640625" style="1" customWidth="1"/>
    <col min="53" max="53" width="6.6640625" customWidth="1"/>
  </cols>
  <sheetData>
    <row r="1" spans="1:14" x14ac:dyDescent="0.25">
      <c r="A1" s="30" t="s">
        <v>12</v>
      </c>
      <c r="H1" s="69"/>
      <c r="I1" s="69"/>
      <c r="J1" s="69"/>
      <c r="K1" s="69"/>
      <c r="L1" s="69"/>
      <c r="M1" s="69"/>
      <c r="N1" s="69"/>
    </row>
    <row r="2" spans="1:14" x14ac:dyDescent="0.25">
      <c r="H2" s="69"/>
      <c r="I2" s="60" t="s">
        <v>16</v>
      </c>
      <c r="J2" s="61"/>
      <c r="K2" s="61"/>
      <c r="L2" s="61"/>
      <c r="M2" s="62"/>
      <c r="N2" s="69"/>
    </row>
    <row r="3" spans="1:14" x14ac:dyDescent="0.25">
      <c r="H3" s="69"/>
      <c r="I3" s="54"/>
      <c r="J3" s="55"/>
      <c r="K3" s="55"/>
      <c r="L3" s="55"/>
      <c r="M3" s="56"/>
      <c r="N3" s="69"/>
    </row>
    <row r="4" spans="1:14" x14ac:dyDescent="0.25">
      <c r="F4" s="50" t="s">
        <v>9</v>
      </c>
      <c r="H4" s="69"/>
      <c r="I4" s="54"/>
      <c r="J4" s="55"/>
      <c r="K4" s="55"/>
      <c r="L4" s="55"/>
      <c r="M4" s="56"/>
      <c r="N4" s="69"/>
    </row>
    <row r="5" spans="1:14" x14ac:dyDescent="0.25">
      <c r="C5" s="51" t="s">
        <v>17</v>
      </c>
      <c r="D5" s="52"/>
      <c r="E5" s="53"/>
      <c r="F5" s="103">
        <v>1.4999999999999999E-2</v>
      </c>
      <c r="H5" s="69"/>
      <c r="I5" s="54"/>
      <c r="J5" s="55"/>
      <c r="K5" s="55"/>
      <c r="L5" s="55"/>
      <c r="M5" s="56"/>
      <c r="N5" s="69"/>
    </row>
    <row r="6" spans="1:14" x14ac:dyDescent="0.25">
      <c r="C6" s="54" t="s">
        <v>18</v>
      </c>
      <c r="D6" s="55"/>
      <c r="E6" s="56"/>
      <c r="F6" s="104">
        <v>1.4999999999999999E-2</v>
      </c>
      <c r="H6" s="69"/>
      <c r="I6" s="54"/>
      <c r="J6" s="55"/>
      <c r="K6" s="55"/>
      <c r="L6" s="55"/>
      <c r="M6" s="56"/>
      <c r="N6" s="69"/>
    </row>
    <row r="7" spans="1:14" x14ac:dyDescent="0.25">
      <c r="C7" s="57" t="s">
        <v>19</v>
      </c>
      <c r="D7" s="58"/>
      <c r="E7" s="59"/>
      <c r="F7" s="104">
        <v>1E-3</v>
      </c>
      <c r="H7" s="69"/>
      <c r="I7" s="54"/>
      <c r="J7" s="55"/>
      <c r="K7" s="55"/>
      <c r="L7" s="55"/>
      <c r="M7" s="56"/>
      <c r="N7" s="69"/>
    </row>
    <row r="8" spans="1:14" x14ac:dyDescent="0.25">
      <c r="C8" s="13" t="s">
        <v>20</v>
      </c>
      <c r="D8" s="14"/>
      <c r="E8" s="15"/>
      <c r="F8" s="105">
        <v>1.4999999999999999E-2</v>
      </c>
      <c r="H8" s="69"/>
      <c r="I8" s="54"/>
      <c r="J8" s="55"/>
      <c r="K8" s="55"/>
      <c r="L8" s="55"/>
      <c r="M8" s="56"/>
      <c r="N8" s="69"/>
    </row>
    <row r="9" spans="1:14" x14ac:dyDescent="0.25">
      <c r="H9" s="69"/>
      <c r="I9" s="54"/>
      <c r="J9" s="55"/>
      <c r="K9" s="55"/>
      <c r="L9" s="55"/>
      <c r="M9" s="56"/>
      <c r="N9" s="69"/>
    </row>
    <row r="10" spans="1:14" x14ac:dyDescent="0.25">
      <c r="H10" s="69"/>
      <c r="I10" s="63"/>
      <c r="J10" s="64"/>
      <c r="K10" s="64"/>
      <c r="L10" s="64"/>
      <c r="M10" s="65"/>
      <c r="N10" s="69"/>
    </row>
    <row r="11" spans="1:14" x14ac:dyDescent="0.25">
      <c r="H11" s="69"/>
      <c r="I11" s="69"/>
      <c r="J11" s="69"/>
      <c r="K11" s="69"/>
      <c r="L11" s="69"/>
      <c r="M11" s="69"/>
      <c r="N11" s="69"/>
    </row>
    <row r="18" spans="2:53" x14ac:dyDescent="0.25">
      <c r="B18" s="31"/>
      <c r="C18" s="32">
        <v>1</v>
      </c>
      <c r="D18" s="32">
        <v>2</v>
      </c>
      <c r="E18" s="32">
        <v>3</v>
      </c>
      <c r="F18" s="32">
        <v>4</v>
      </c>
      <c r="G18" s="32">
        <v>5</v>
      </c>
      <c r="H18" s="32">
        <v>6</v>
      </c>
      <c r="I18" s="32">
        <v>7</v>
      </c>
      <c r="J18" s="32">
        <v>8</v>
      </c>
      <c r="K18" s="32">
        <v>9</v>
      </c>
      <c r="L18" s="32">
        <v>10</v>
      </c>
      <c r="M18" s="32">
        <v>11</v>
      </c>
      <c r="N18" s="32">
        <v>12</v>
      </c>
      <c r="O18" s="32">
        <v>13</v>
      </c>
      <c r="P18" s="32">
        <v>14</v>
      </c>
      <c r="Q18" s="32">
        <v>15</v>
      </c>
      <c r="R18" s="32">
        <v>16</v>
      </c>
      <c r="S18" s="32">
        <v>17</v>
      </c>
      <c r="T18" s="32">
        <v>18</v>
      </c>
      <c r="U18" s="32">
        <v>19</v>
      </c>
      <c r="V18" s="32">
        <v>20</v>
      </c>
      <c r="W18" s="32">
        <v>21</v>
      </c>
      <c r="X18" s="32">
        <v>22</v>
      </c>
      <c r="Y18" s="32">
        <v>23</v>
      </c>
      <c r="Z18" s="32">
        <v>24</v>
      </c>
      <c r="AA18" s="32">
        <v>25</v>
      </c>
      <c r="AB18" s="32">
        <v>26</v>
      </c>
      <c r="AC18" s="32">
        <v>27</v>
      </c>
      <c r="AD18" s="32">
        <v>28</v>
      </c>
      <c r="AE18" s="32">
        <v>29</v>
      </c>
      <c r="AF18" s="32">
        <v>30</v>
      </c>
      <c r="AG18" s="32">
        <v>31</v>
      </c>
      <c r="AH18" s="32">
        <v>32</v>
      </c>
      <c r="AI18" s="32">
        <v>33</v>
      </c>
      <c r="AJ18" s="32">
        <v>34</v>
      </c>
      <c r="AK18" s="32">
        <v>35</v>
      </c>
      <c r="AL18" s="32">
        <v>36</v>
      </c>
      <c r="AM18" s="32">
        <v>37</v>
      </c>
      <c r="AN18" s="32">
        <v>38</v>
      </c>
      <c r="AO18" s="32">
        <v>39</v>
      </c>
      <c r="AP18" s="32">
        <v>40</v>
      </c>
      <c r="AQ18" s="32">
        <v>41</v>
      </c>
      <c r="AR18" s="32">
        <v>42</v>
      </c>
      <c r="AS18" s="32">
        <v>43</v>
      </c>
      <c r="AT18" s="32">
        <v>44</v>
      </c>
      <c r="AU18" s="32">
        <v>45</v>
      </c>
      <c r="AV18" s="32">
        <v>46</v>
      </c>
      <c r="AW18" s="32">
        <v>47</v>
      </c>
      <c r="AX18" s="32">
        <v>48</v>
      </c>
      <c r="AY18" s="32">
        <v>49</v>
      </c>
      <c r="AZ18" s="32">
        <v>50</v>
      </c>
      <c r="BA18" s="33"/>
    </row>
    <row r="19" spans="2:53" x14ac:dyDescent="0.25">
      <c r="B19" s="34">
        <v>1</v>
      </c>
      <c r="C19" s="71">
        <f t="shared" ref="C19:M31" si="0">$F$5</f>
        <v>1.4999999999999999E-2</v>
      </c>
      <c r="D19" s="70">
        <f t="shared" si="0"/>
        <v>1.4999999999999999E-2</v>
      </c>
      <c r="E19" s="70">
        <f t="shared" si="0"/>
        <v>1.4999999999999999E-2</v>
      </c>
      <c r="F19" s="70">
        <f t="shared" si="0"/>
        <v>1.4999999999999999E-2</v>
      </c>
      <c r="G19" s="70">
        <f t="shared" si="0"/>
        <v>1.4999999999999999E-2</v>
      </c>
      <c r="H19" s="70">
        <f t="shared" si="0"/>
        <v>1.4999999999999999E-2</v>
      </c>
      <c r="I19" s="70">
        <f t="shared" si="0"/>
        <v>1.4999999999999999E-2</v>
      </c>
      <c r="J19" s="70">
        <f t="shared" si="0"/>
        <v>1.4999999999999999E-2</v>
      </c>
      <c r="K19" s="70">
        <f t="shared" si="0"/>
        <v>1.4999999999999999E-2</v>
      </c>
      <c r="L19" s="70">
        <f t="shared" si="0"/>
        <v>1.4999999999999999E-2</v>
      </c>
      <c r="M19" s="70">
        <f t="shared" si="0"/>
        <v>1.4999999999999999E-2</v>
      </c>
      <c r="N19" s="70">
        <f t="shared" ref="N19:W31" si="1">$F$5</f>
        <v>1.4999999999999999E-2</v>
      </c>
      <c r="O19" s="70">
        <f t="shared" si="1"/>
        <v>1.4999999999999999E-2</v>
      </c>
      <c r="P19" s="70">
        <f t="shared" si="1"/>
        <v>1.4999999999999999E-2</v>
      </c>
      <c r="Q19" s="70">
        <f t="shared" si="1"/>
        <v>1.4999999999999999E-2</v>
      </c>
      <c r="R19" s="70">
        <f t="shared" si="1"/>
        <v>1.4999999999999999E-2</v>
      </c>
      <c r="S19" s="70">
        <f t="shared" si="1"/>
        <v>1.4999999999999999E-2</v>
      </c>
      <c r="T19" s="70">
        <f t="shared" si="1"/>
        <v>1.4999999999999999E-2</v>
      </c>
      <c r="U19" s="70">
        <f t="shared" si="1"/>
        <v>1.4999999999999999E-2</v>
      </c>
      <c r="V19" s="70">
        <f t="shared" si="1"/>
        <v>1.4999999999999999E-2</v>
      </c>
      <c r="W19" s="70">
        <f t="shared" si="1"/>
        <v>1.4999999999999999E-2</v>
      </c>
      <c r="X19" s="70">
        <f t="shared" ref="X19:AG31" si="2">$F$5</f>
        <v>1.4999999999999999E-2</v>
      </c>
      <c r="Y19" s="70">
        <f t="shared" si="2"/>
        <v>1.4999999999999999E-2</v>
      </c>
      <c r="Z19" s="70">
        <f t="shared" si="2"/>
        <v>1.4999999999999999E-2</v>
      </c>
      <c r="AA19" s="70">
        <f t="shared" si="2"/>
        <v>1.4999999999999999E-2</v>
      </c>
      <c r="AB19" s="70">
        <f t="shared" si="2"/>
        <v>1.4999999999999999E-2</v>
      </c>
      <c r="AC19" s="70">
        <f t="shared" si="2"/>
        <v>1.4999999999999999E-2</v>
      </c>
      <c r="AD19" s="70">
        <f t="shared" si="2"/>
        <v>1.4999999999999999E-2</v>
      </c>
      <c r="AE19" s="70">
        <f t="shared" si="2"/>
        <v>1.4999999999999999E-2</v>
      </c>
      <c r="AF19" s="70">
        <f t="shared" si="2"/>
        <v>1.4999999999999999E-2</v>
      </c>
      <c r="AG19" s="70">
        <f t="shared" si="2"/>
        <v>1.4999999999999999E-2</v>
      </c>
      <c r="AH19" s="70">
        <f t="shared" ref="AH19:AP31" si="3">$F$5</f>
        <v>1.4999999999999999E-2</v>
      </c>
      <c r="AI19" s="70">
        <f t="shared" si="3"/>
        <v>1.4999999999999999E-2</v>
      </c>
      <c r="AJ19" s="70">
        <f t="shared" si="3"/>
        <v>1.4999999999999999E-2</v>
      </c>
      <c r="AK19" s="70">
        <f t="shared" si="3"/>
        <v>1.4999999999999999E-2</v>
      </c>
      <c r="AL19" s="70">
        <f t="shared" si="3"/>
        <v>1.4999999999999999E-2</v>
      </c>
      <c r="AM19" s="70">
        <f t="shared" si="3"/>
        <v>1.4999999999999999E-2</v>
      </c>
      <c r="AN19" s="70">
        <f t="shared" si="3"/>
        <v>1.4999999999999999E-2</v>
      </c>
      <c r="AO19" s="70">
        <f t="shared" si="3"/>
        <v>1.4999999999999999E-2</v>
      </c>
      <c r="AP19" s="70">
        <f t="shared" si="3"/>
        <v>1.4999999999999999E-2</v>
      </c>
      <c r="AQ19" s="70">
        <f t="shared" ref="AQ19:AQ31" si="4">$F$5</f>
        <v>1.4999999999999999E-2</v>
      </c>
      <c r="AR19" s="70">
        <f t="shared" ref="AR19:AZ28" si="5">$F$8</f>
        <v>1.4999999999999999E-2</v>
      </c>
      <c r="AS19" s="70">
        <f t="shared" si="5"/>
        <v>1.4999999999999999E-2</v>
      </c>
      <c r="AT19" s="70">
        <f t="shared" si="5"/>
        <v>1.4999999999999999E-2</v>
      </c>
      <c r="AU19" s="70">
        <f t="shared" si="5"/>
        <v>1.4999999999999999E-2</v>
      </c>
      <c r="AV19" s="70">
        <f t="shared" si="5"/>
        <v>1.4999999999999999E-2</v>
      </c>
      <c r="AW19" s="70">
        <f t="shared" si="5"/>
        <v>1.4999999999999999E-2</v>
      </c>
      <c r="AX19" s="70">
        <f t="shared" si="5"/>
        <v>1.4999999999999999E-2</v>
      </c>
      <c r="AY19" s="70">
        <f t="shared" si="5"/>
        <v>1.4999999999999999E-2</v>
      </c>
      <c r="AZ19" s="85">
        <f t="shared" si="5"/>
        <v>1.4999999999999999E-2</v>
      </c>
      <c r="BA19" s="35">
        <v>1</v>
      </c>
    </row>
    <row r="20" spans="2:53" x14ac:dyDescent="0.25">
      <c r="B20" s="34">
        <v>2</v>
      </c>
      <c r="C20" s="72">
        <f t="shared" ref="C20:C63" si="6">$F$5</f>
        <v>1.4999999999999999E-2</v>
      </c>
      <c r="D20" s="31">
        <f t="shared" si="0"/>
        <v>1.4999999999999999E-2</v>
      </c>
      <c r="E20" s="76">
        <f t="shared" si="0"/>
        <v>1.4999999999999999E-2</v>
      </c>
      <c r="F20" s="76">
        <f t="shared" si="0"/>
        <v>1.4999999999999999E-2</v>
      </c>
      <c r="G20" s="76">
        <f t="shared" si="0"/>
        <v>1.4999999999999999E-2</v>
      </c>
      <c r="H20" s="76">
        <f t="shared" si="0"/>
        <v>1.4999999999999999E-2</v>
      </c>
      <c r="I20" s="76">
        <f t="shared" si="0"/>
        <v>1.4999999999999999E-2</v>
      </c>
      <c r="J20" s="76">
        <f t="shared" si="0"/>
        <v>1.4999999999999999E-2</v>
      </c>
      <c r="K20" s="76">
        <f t="shared" si="0"/>
        <v>1.4999999999999999E-2</v>
      </c>
      <c r="L20" s="76">
        <f t="shared" si="0"/>
        <v>1.4999999999999999E-2</v>
      </c>
      <c r="M20" s="76">
        <f t="shared" si="0"/>
        <v>1.4999999999999999E-2</v>
      </c>
      <c r="N20" s="76">
        <f t="shared" si="1"/>
        <v>1.4999999999999999E-2</v>
      </c>
      <c r="O20" s="76">
        <f t="shared" si="1"/>
        <v>1.4999999999999999E-2</v>
      </c>
      <c r="P20" s="76">
        <f t="shared" si="1"/>
        <v>1.4999999999999999E-2</v>
      </c>
      <c r="Q20" s="76">
        <f t="shared" si="1"/>
        <v>1.4999999999999999E-2</v>
      </c>
      <c r="R20" s="76">
        <f t="shared" si="1"/>
        <v>1.4999999999999999E-2</v>
      </c>
      <c r="S20" s="76">
        <f t="shared" si="1"/>
        <v>1.4999999999999999E-2</v>
      </c>
      <c r="T20" s="76">
        <f t="shared" si="1"/>
        <v>1.4999999999999999E-2</v>
      </c>
      <c r="U20" s="76">
        <f t="shared" si="1"/>
        <v>1.4999999999999999E-2</v>
      </c>
      <c r="V20" s="76">
        <f t="shared" si="1"/>
        <v>1.4999999999999999E-2</v>
      </c>
      <c r="W20" s="76">
        <f t="shared" si="1"/>
        <v>1.4999999999999999E-2</v>
      </c>
      <c r="X20" s="76">
        <f t="shared" si="2"/>
        <v>1.4999999999999999E-2</v>
      </c>
      <c r="Y20" s="76">
        <f t="shared" si="2"/>
        <v>1.4999999999999999E-2</v>
      </c>
      <c r="Z20" s="76">
        <f t="shared" si="2"/>
        <v>1.4999999999999999E-2</v>
      </c>
      <c r="AA20" s="76">
        <f t="shared" si="2"/>
        <v>1.4999999999999999E-2</v>
      </c>
      <c r="AB20" s="76">
        <f t="shared" si="2"/>
        <v>1.4999999999999999E-2</v>
      </c>
      <c r="AC20" s="76">
        <f t="shared" si="2"/>
        <v>1.4999999999999999E-2</v>
      </c>
      <c r="AD20" s="76">
        <f t="shared" si="2"/>
        <v>1.4999999999999999E-2</v>
      </c>
      <c r="AE20" s="76">
        <f t="shared" si="2"/>
        <v>1.4999999999999999E-2</v>
      </c>
      <c r="AF20" s="76">
        <f t="shared" si="2"/>
        <v>1.4999999999999999E-2</v>
      </c>
      <c r="AG20" s="76">
        <f t="shared" si="2"/>
        <v>1.4999999999999999E-2</v>
      </c>
      <c r="AH20" s="76">
        <f t="shared" si="3"/>
        <v>1.4999999999999999E-2</v>
      </c>
      <c r="AI20" s="76">
        <f t="shared" si="3"/>
        <v>1.4999999999999999E-2</v>
      </c>
      <c r="AJ20" s="76">
        <f t="shared" si="3"/>
        <v>1.4999999999999999E-2</v>
      </c>
      <c r="AK20" s="76">
        <f t="shared" si="3"/>
        <v>1.4999999999999999E-2</v>
      </c>
      <c r="AL20" s="76">
        <f t="shared" si="3"/>
        <v>1.4999999999999999E-2</v>
      </c>
      <c r="AM20" s="76">
        <f t="shared" si="3"/>
        <v>1.4999999999999999E-2</v>
      </c>
      <c r="AN20" s="76">
        <f t="shared" si="3"/>
        <v>1.4999999999999999E-2</v>
      </c>
      <c r="AO20" s="76">
        <f t="shared" si="3"/>
        <v>1.4999999999999999E-2</v>
      </c>
      <c r="AP20" s="76">
        <f t="shared" si="3"/>
        <v>1.4999999999999999E-2</v>
      </c>
      <c r="AQ20" s="33">
        <f t="shared" si="4"/>
        <v>1.4999999999999999E-2</v>
      </c>
      <c r="AR20" s="91">
        <f t="shared" si="5"/>
        <v>1.4999999999999999E-2</v>
      </c>
      <c r="AS20" s="84">
        <f t="shared" si="5"/>
        <v>1.4999999999999999E-2</v>
      </c>
      <c r="AT20" s="84">
        <f t="shared" si="5"/>
        <v>1.4999999999999999E-2</v>
      </c>
      <c r="AU20" s="84">
        <f t="shared" si="5"/>
        <v>1.4999999999999999E-2</v>
      </c>
      <c r="AV20" s="84">
        <f t="shared" si="5"/>
        <v>1.4999999999999999E-2</v>
      </c>
      <c r="AW20" s="84">
        <f t="shared" si="5"/>
        <v>1.4999999999999999E-2</v>
      </c>
      <c r="AX20" s="84">
        <f t="shared" si="5"/>
        <v>1.4999999999999999E-2</v>
      </c>
      <c r="AY20" s="111">
        <f t="shared" si="5"/>
        <v>1.4999999999999999E-2</v>
      </c>
      <c r="AZ20" s="72">
        <f t="shared" ref="AZ20:AZ68" si="7">$F$8</f>
        <v>1.4999999999999999E-2</v>
      </c>
      <c r="BA20" s="35">
        <v>2</v>
      </c>
    </row>
    <row r="21" spans="2:53" x14ac:dyDescent="0.25">
      <c r="B21" s="34">
        <v>3</v>
      </c>
      <c r="C21" s="72">
        <f t="shared" si="6"/>
        <v>1.4999999999999999E-2</v>
      </c>
      <c r="D21" s="74">
        <f t="shared" si="0"/>
        <v>1.4999999999999999E-2</v>
      </c>
      <c r="E21" s="75">
        <f t="shared" si="0"/>
        <v>1.4999999999999999E-2</v>
      </c>
      <c r="F21" s="75">
        <f t="shared" si="0"/>
        <v>1.4999999999999999E-2</v>
      </c>
      <c r="G21" s="75">
        <f t="shared" si="0"/>
        <v>1.4999999999999999E-2</v>
      </c>
      <c r="H21" s="75">
        <f t="shared" si="0"/>
        <v>1.4999999999999999E-2</v>
      </c>
      <c r="I21" s="75">
        <f t="shared" si="0"/>
        <v>1.4999999999999999E-2</v>
      </c>
      <c r="J21" s="75">
        <f t="shared" si="0"/>
        <v>1.4999999999999999E-2</v>
      </c>
      <c r="K21" s="75">
        <f t="shared" si="0"/>
        <v>1.4999999999999999E-2</v>
      </c>
      <c r="L21" s="75">
        <f t="shared" si="0"/>
        <v>1.4999999999999999E-2</v>
      </c>
      <c r="M21" s="75">
        <f t="shared" si="0"/>
        <v>1.4999999999999999E-2</v>
      </c>
      <c r="N21" s="75">
        <f t="shared" si="1"/>
        <v>1.4999999999999999E-2</v>
      </c>
      <c r="O21" s="75">
        <f t="shared" si="1"/>
        <v>1.4999999999999999E-2</v>
      </c>
      <c r="P21" s="75">
        <f t="shared" si="1"/>
        <v>1.4999999999999999E-2</v>
      </c>
      <c r="Q21" s="75">
        <f t="shared" si="1"/>
        <v>1.4999999999999999E-2</v>
      </c>
      <c r="R21" s="75">
        <f t="shared" si="1"/>
        <v>1.4999999999999999E-2</v>
      </c>
      <c r="S21" s="75">
        <f t="shared" si="1"/>
        <v>1.4999999999999999E-2</v>
      </c>
      <c r="T21" s="75">
        <f t="shared" si="1"/>
        <v>1.4999999999999999E-2</v>
      </c>
      <c r="U21" s="75">
        <f t="shared" si="1"/>
        <v>1.4999999999999999E-2</v>
      </c>
      <c r="V21" s="75">
        <f t="shared" si="1"/>
        <v>1.4999999999999999E-2</v>
      </c>
      <c r="W21" s="75">
        <f t="shared" si="1"/>
        <v>1.4999999999999999E-2</v>
      </c>
      <c r="X21" s="75">
        <f t="shared" si="2"/>
        <v>1.4999999999999999E-2</v>
      </c>
      <c r="Y21" s="75">
        <f t="shared" si="2"/>
        <v>1.4999999999999999E-2</v>
      </c>
      <c r="Z21" s="75">
        <f t="shared" si="2"/>
        <v>1.4999999999999999E-2</v>
      </c>
      <c r="AA21" s="75">
        <f t="shared" si="2"/>
        <v>1.4999999999999999E-2</v>
      </c>
      <c r="AB21" s="75">
        <f t="shared" si="2"/>
        <v>1.4999999999999999E-2</v>
      </c>
      <c r="AC21" s="75">
        <f t="shared" si="2"/>
        <v>1.4999999999999999E-2</v>
      </c>
      <c r="AD21" s="75">
        <f t="shared" si="2"/>
        <v>1.4999999999999999E-2</v>
      </c>
      <c r="AE21" s="75">
        <f t="shared" si="2"/>
        <v>1.4999999999999999E-2</v>
      </c>
      <c r="AF21" s="75">
        <f t="shared" si="2"/>
        <v>1.4999999999999999E-2</v>
      </c>
      <c r="AG21" s="75">
        <f t="shared" si="2"/>
        <v>1.4999999999999999E-2</v>
      </c>
      <c r="AH21" s="75">
        <f t="shared" si="3"/>
        <v>1.4999999999999999E-2</v>
      </c>
      <c r="AI21" s="75">
        <f t="shared" si="3"/>
        <v>1.4999999999999999E-2</v>
      </c>
      <c r="AJ21" s="75">
        <f t="shared" si="3"/>
        <v>1.4999999999999999E-2</v>
      </c>
      <c r="AK21" s="75">
        <f t="shared" si="3"/>
        <v>1.4999999999999999E-2</v>
      </c>
      <c r="AL21" s="75">
        <f t="shared" si="3"/>
        <v>1.4999999999999999E-2</v>
      </c>
      <c r="AM21" s="75">
        <f t="shared" si="3"/>
        <v>1.4999999999999999E-2</v>
      </c>
      <c r="AN21" s="75">
        <f t="shared" si="3"/>
        <v>1.4999999999999999E-2</v>
      </c>
      <c r="AO21" s="75">
        <f t="shared" si="3"/>
        <v>1.4999999999999999E-2</v>
      </c>
      <c r="AP21" s="75">
        <f t="shared" si="3"/>
        <v>1.4999999999999999E-2</v>
      </c>
      <c r="AQ21" s="94">
        <f t="shared" si="4"/>
        <v>1.4999999999999999E-2</v>
      </c>
      <c r="AR21" s="92">
        <f t="shared" si="5"/>
        <v>1.4999999999999999E-2</v>
      </c>
      <c r="AS21" s="86">
        <f t="shared" si="5"/>
        <v>1.4999999999999999E-2</v>
      </c>
      <c r="AT21" s="86">
        <f t="shared" si="5"/>
        <v>1.4999999999999999E-2</v>
      </c>
      <c r="AU21" s="86">
        <f t="shared" si="5"/>
        <v>1.4999999999999999E-2</v>
      </c>
      <c r="AV21" s="86">
        <f t="shared" si="5"/>
        <v>1.4999999999999999E-2</v>
      </c>
      <c r="AW21" s="86">
        <f t="shared" si="5"/>
        <v>1.4999999999999999E-2</v>
      </c>
      <c r="AX21" s="86">
        <f t="shared" si="5"/>
        <v>1.4999999999999999E-2</v>
      </c>
      <c r="AY21" s="87">
        <f t="shared" si="5"/>
        <v>1.4999999999999999E-2</v>
      </c>
      <c r="AZ21" s="72">
        <f t="shared" si="7"/>
        <v>1.4999999999999999E-2</v>
      </c>
      <c r="BA21" s="35">
        <v>3</v>
      </c>
    </row>
    <row r="22" spans="2:53" x14ac:dyDescent="0.25">
      <c r="B22" s="34">
        <v>4</v>
      </c>
      <c r="C22" s="72">
        <f t="shared" si="6"/>
        <v>1.4999999999999999E-2</v>
      </c>
      <c r="D22" s="74">
        <f t="shared" si="0"/>
        <v>1.4999999999999999E-2</v>
      </c>
      <c r="E22" s="75">
        <f t="shared" si="0"/>
        <v>1.4999999999999999E-2</v>
      </c>
      <c r="F22" s="75">
        <f t="shared" si="0"/>
        <v>1.4999999999999999E-2</v>
      </c>
      <c r="G22" s="75">
        <f t="shared" si="0"/>
        <v>1.4999999999999999E-2</v>
      </c>
      <c r="H22" s="75">
        <f t="shared" si="0"/>
        <v>1.4999999999999999E-2</v>
      </c>
      <c r="I22" s="75">
        <f t="shared" si="0"/>
        <v>1.4999999999999999E-2</v>
      </c>
      <c r="J22" s="75">
        <f t="shared" si="0"/>
        <v>1.4999999999999999E-2</v>
      </c>
      <c r="K22" s="75">
        <f t="shared" si="0"/>
        <v>1.4999999999999999E-2</v>
      </c>
      <c r="L22" s="75">
        <f t="shared" si="0"/>
        <v>1.4999999999999999E-2</v>
      </c>
      <c r="M22" s="75">
        <f t="shared" si="0"/>
        <v>1.4999999999999999E-2</v>
      </c>
      <c r="N22" s="75">
        <f t="shared" si="1"/>
        <v>1.4999999999999999E-2</v>
      </c>
      <c r="O22" s="75">
        <f t="shared" si="1"/>
        <v>1.4999999999999999E-2</v>
      </c>
      <c r="P22" s="75">
        <f t="shared" si="1"/>
        <v>1.4999999999999999E-2</v>
      </c>
      <c r="Q22" s="75">
        <f t="shared" si="1"/>
        <v>1.4999999999999999E-2</v>
      </c>
      <c r="R22" s="75">
        <f t="shared" si="1"/>
        <v>1.4999999999999999E-2</v>
      </c>
      <c r="S22" s="75">
        <f t="shared" si="1"/>
        <v>1.4999999999999999E-2</v>
      </c>
      <c r="T22" s="75">
        <f t="shared" si="1"/>
        <v>1.4999999999999999E-2</v>
      </c>
      <c r="U22" s="75">
        <f t="shared" si="1"/>
        <v>1.4999999999999999E-2</v>
      </c>
      <c r="V22" s="75">
        <f t="shared" si="1"/>
        <v>1.4999999999999999E-2</v>
      </c>
      <c r="W22" s="75">
        <f t="shared" si="1"/>
        <v>1.4999999999999999E-2</v>
      </c>
      <c r="X22" s="75">
        <f t="shared" si="2"/>
        <v>1.4999999999999999E-2</v>
      </c>
      <c r="Y22" s="75">
        <f t="shared" si="2"/>
        <v>1.4999999999999999E-2</v>
      </c>
      <c r="Z22" s="75">
        <f t="shared" si="2"/>
        <v>1.4999999999999999E-2</v>
      </c>
      <c r="AA22" s="75">
        <f t="shared" si="2"/>
        <v>1.4999999999999999E-2</v>
      </c>
      <c r="AB22" s="75">
        <f t="shared" si="2"/>
        <v>1.4999999999999999E-2</v>
      </c>
      <c r="AC22" s="75">
        <f t="shared" si="2"/>
        <v>1.4999999999999999E-2</v>
      </c>
      <c r="AD22" s="75">
        <f t="shared" si="2"/>
        <v>1.4999999999999999E-2</v>
      </c>
      <c r="AE22" s="75">
        <f t="shared" si="2"/>
        <v>1.4999999999999999E-2</v>
      </c>
      <c r="AF22" s="75">
        <f t="shared" si="2"/>
        <v>1.4999999999999999E-2</v>
      </c>
      <c r="AG22" s="75">
        <f t="shared" si="2"/>
        <v>1.4999999999999999E-2</v>
      </c>
      <c r="AH22" s="75">
        <f t="shared" si="3"/>
        <v>1.4999999999999999E-2</v>
      </c>
      <c r="AI22" s="75">
        <f t="shared" si="3"/>
        <v>1.4999999999999999E-2</v>
      </c>
      <c r="AJ22" s="75">
        <f t="shared" si="3"/>
        <v>1.4999999999999999E-2</v>
      </c>
      <c r="AK22" s="75">
        <f t="shared" si="3"/>
        <v>1.4999999999999999E-2</v>
      </c>
      <c r="AL22" s="75">
        <f t="shared" si="3"/>
        <v>1.4999999999999999E-2</v>
      </c>
      <c r="AM22" s="75">
        <f t="shared" si="3"/>
        <v>1.4999999999999999E-2</v>
      </c>
      <c r="AN22" s="75">
        <f t="shared" si="3"/>
        <v>1.4999999999999999E-2</v>
      </c>
      <c r="AO22" s="75">
        <f t="shared" si="3"/>
        <v>1.4999999999999999E-2</v>
      </c>
      <c r="AP22" s="75">
        <f t="shared" si="3"/>
        <v>1.4999999999999999E-2</v>
      </c>
      <c r="AQ22" s="94">
        <f t="shared" si="4"/>
        <v>1.4999999999999999E-2</v>
      </c>
      <c r="AR22" s="92">
        <f t="shared" si="5"/>
        <v>1.4999999999999999E-2</v>
      </c>
      <c r="AS22" s="86">
        <f t="shared" si="5"/>
        <v>1.4999999999999999E-2</v>
      </c>
      <c r="AT22" s="86">
        <f t="shared" si="5"/>
        <v>1.4999999999999999E-2</v>
      </c>
      <c r="AU22" s="86">
        <f t="shared" si="5"/>
        <v>1.4999999999999999E-2</v>
      </c>
      <c r="AV22" s="86">
        <f t="shared" si="5"/>
        <v>1.4999999999999999E-2</v>
      </c>
      <c r="AW22" s="86">
        <f t="shared" si="5"/>
        <v>1.4999999999999999E-2</v>
      </c>
      <c r="AX22" s="86">
        <f t="shared" si="5"/>
        <v>1.4999999999999999E-2</v>
      </c>
      <c r="AY22" s="87">
        <f t="shared" si="5"/>
        <v>1.4999999999999999E-2</v>
      </c>
      <c r="AZ22" s="72">
        <f t="shared" si="7"/>
        <v>1.4999999999999999E-2</v>
      </c>
      <c r="BA22" s="35">
        <v>4</v>
      </c>
    </row>
    <row r="23" spans="2:53" x14ac:dyDescent="0.25">
      <c r="B23" s="34">
        <v>5</v>
      </c>
      <c r="C23" s="72">
        <f t="shared" si="6"/>
        <v>1.4999999999999999E-2</v>
      </c>
      <c r="D23" s="74">
        <f t="shared" si="0"/>
        <v>1.4999999999999999E-2</v>
      </c>
      <c r="E23" s="75">
        <f t="shared" si="0"/>
        <v>1.4999999999999999E-2</v>
      </c>
      <c r="F23" s="75">
        <f t="shared" si="0"/>
        <v>1.4999999999999999E-2</v>
      </c>
      <c r="G23" s="75">
        <f t="shared" si="0"/>
        <v>1.4999999999999999E-2</v>
      </c>
      <c r="H23" s="75">
        <f t="shared" si="0"/>
        <v>1.4999999999999999E-2</v>
      </c>
      <c r="I23" s="75">
        <f t="shared" si="0"/>
        <v>1.4999999999999999E-2</v>
      </c>
      <c r="J23" s="75">
        <f t="shared" si="0"/>
        <v>1.4999999999999999E-2</v>
      </c>
      <c r="K23" s="75">
        <f t="shared" si="0"/>
        <v>1.4999999999999999E-2</v>
      </c>
      <c r="L23" s="75">
        <f t="shared" si="0"/>
        <v>1.4999999999999999E-2</v>
      </c>
      <c r="M23" s="75">
        <f t="shared" si="0"/>
        <v>1.4999999999999999E-2</v>
      </c>
      <c r="N23" s="75">
        <f t="shared" si="1"/>
        <v>1.4999999999999999E-2</v>
      </c>
      <c r="O23" s="75">
        <f t="shared" si="1"/>
        <v>1.4999999999999999E-2</v>
      </c>
      <c r="P23" s="75">
        <f t="shared" si="1"/>
        <v>1.4999999999999999E-2</v>
      </c>
      <c r="Q23" s="75">
        <f t="shared" si="1"/>
        <v>1.4999999999999999E-2</v>
      </c>
      <c r="R23" s="75">
        <f t="shared" si="1"/>
        <v>1.4999999999999999E-2</v>
      </c>
      <c r="S23" s="75">
        <f t="shared" si="1"/>
        <v>1.4999999999999999E-2</v>
      </c>
      <c r="T23" s="75">
        <f t="shared" si="1"/>
        <v>1.4999999999999999E-2</v>
      </c>
      <c r="U23" s="75">
        <f t="shared" si="1"/>
        <v>1.4999999999999999E-2</v>
      </c>
      <c r="V23" s="75">
        <f t="shared" si="1"/>
        <v>1.4999999999999999E-2</v>
      </c>
      <c r="W23" s="75">
        <f t="shared" si="1"/>
        <v>1.4999999999999999E-2</v>
      </c>
      <c r="X23" s="75">
        <f t="shared" si="2"/>
        <v>1.4999999999999999E-2</v>
      </c>
      <c r="Y23" s="75">
        <f t="shared" si="2"/>
        <v>1.4999999999999999E-2</v>
      </c>
      <c r="Z23" s="75">
        <f t="shared" si="2"/>
        <v>1.4999999999999999E-2</v>
      </c>
      <c r="AA23" s="75">
        <f t="shared" si="2"/>
        <v>1.4999999999999999E-2</v>
      </c>
      <c r="AB23" s="75">
        <f t="shared" si="2"/>
        <v>1.4999999999999999E-2</v>
      </c>
      <c r="AC23" s="75">
        <f t="shared" si="2"/>
        <v>1.4999999999999999E-2</v>
      </c>
      <c r="AD23" s="75">
        <f t="shared" si="2"/>
        <v>1.4999999999999999E-2</v>
      </c>
      <c r="AE23" s="75">
        <f t="shared" si="2"/>
        <v>1.4999999999999999E-2</v>
      </c>
      <c r="AF23" s="75">
        <f t="shared" si="2"/>
        <v>1.4999999999999999E-2</v>
      </c>
      <c r="AG23" s="75">
        <f t="shared" si="2"/>
        <v>1.4999999999999999E-2</v>
      </c>
      <c r="AH23" s="75">
        <f t="shared" si="3"/>
        <v>1.4999999999999999E-2</v>
      </c>
      <c r="AI23" s="75">
        <f t="shared" si="3"/>
        <v>1.4999999999999999E-2</v>
      </c>
      <c r="AJ23" s="75">
        <f t="shared" si="3"/>
        <v>1.4999999999999999E-2</v>
      </c>
      <c r="AK23" s="75">
        <f t="shared" si="3"/>
        <v>1.4999999999999999E-2</v>
      </c>
      <c r="AL23" s="75">
        <f t="shared" si="3"/>
        <v>1.4999999999999999E-2</v>
      </c>
      <c r="AM23" s="75">
        <f t="shared" si="3"/>
        <v>1.4999999999999999E-2</v>
      </c>
      <c r="AN23" s="75">
        <f t="shared" si="3"/>
        <v>1.4999999999999999E-2</v>
      </c>
      <c r="AO23" s="75">
        <f t="shared" si="3"/>
        <v>1.4999999999999999E-2</v>
      </c>
      <c r="AP23" s="75">
        <f t="shared" si="3"/>
        <v>1.4999999999999999E-2</v>
      </c>
      <c r="AQ23" s="94">
        <f t="shared" si="4"/>
        <v>1.4999999999999999E-2</v>
      </c>
      <c r="AR23" s="92">
        <f t="shared" si="5"/>
        <v>1.4999999999999999E-2</v>
      </c>
      <c r="AS23" s="86">
        <f t="shared" si="5"/>
        <v>1.4999999999999999E-2</v>
      </c>
      <c r="AT23" s="86">
        <f t="shared" si="5"/>
        <v>1.4999999999999999E-2</v>
      </c>
      <c r="AU23" s="86">
        <f t="shared" si="5"/>
        <v>1.4999999999999999E-2</v>
      </c>
      <c r="AV23" s="86">
        <f t="shared" si="5"/>
        <v>1.4999999999999999E-2</v>
      </c>
      <c r="AW23" s="86">
        <f t="shared" si="5"/>
        <v>1.4999999999999999E-2</v>
      </c>
      <c r="AX23" s="86">
        <f t="shared" si="5"/>
        <v>1.4999999999999999E-2</v>
      </c>
      <c r="AY23" s="87">
        <f t="shared" si="5"/>
        <v>1.4999999999999999E-2</v>
      </c>
      <c r="AZ23" s="72">
        <f t="shared" si="7"/>
        <v>1.4999999999999999E-2</v>
      </c>
      <c r="BA23" s="35">
        <v>5</v>
      </c>
    </row>
    <row r="24" spans="2:53" x14ac:dyDescent="0.25">
      <c r="B24" s="34">
        <v>6</v>
      </c>
      <c r="C24" s="72">
        <f t="shared" si="6"/>
        <v>1.4999999999999999E-2</v>
      </c>
      <c r="D24" s="74">
        <f t="shared" si="0"/>
        <v>1.4999999999999999E-2</v>
      </c>
      <c r="E24" s="75">
        <f t="shared" si="0"/>
        <v>1.4999999999999999E-2</v>
      </c>
      <c r="F24" s="75">
        <f t="shared" si="0"/>
        <v>1.4999999999999999E-2</v>
      </c>
      <c r="G24" s="75">
        <f t="shared" si="0"/>
        <v>1.4999999999999999E-2</v>
      </c>
      <c r="H24" s="75">
        <f t="shared" si="0"/>
        <v>1.4999999999999999E-2</v>
      </c>
      <c r="I24" s="75">
        <f t="shared" si="0"/>
        <v>1.4999999999999999E-2</v>
      </c>
      <c r="J24" s="75">
        <f t="shared" si="0"/>
        <v>1.4999999999999999E-2</v>
      </c>
      <c r="K24" s="75">
        <f t="shared" si="0"/>
        <v>1.4999999999999999E-2</v>
      </c>
      <c r="L24" s="75">
        <f t="shared" si="0"/>
        <v>1.4999999999999999E-2</v>
      </c>
      <c r="M24" s="75">
        <f t="shared" si="0"/>
        <v>1.4999999999999999E-2</v>
      </c>
      <c r="N24" s="75">
        <f t="shared" si="1"/>
        <v>1.4999999999999999E-2</v>
      </c>
      <c r="O24" s="75">
        <f t="shared" si="1"/>
        <v>1.4999999999999999E-2</v>
      </c>
      <c r="P24" s="75">
        <f t="shared" si="1"/>
        <v>1.4999999999999999E-2</v>
      </c>
      <c r="Q24" s="75">
        <f t="shared" si="1"/>
        <v>1.4999999999999999E-2</v>
      </c>
      <c r="R24" s="75">
        <f t="shared" si="1"/>
        <v>1.4999999999999999E-2</v>
      </c>
      <c r="S24" s="75">
        <f t="shared" si="1"/>
        <v>1.4999999999999999E-2</v>
      </c>
      <c r="T24" s="75">
        <f t="shared" si="1"/>
        <v>1.4999999999999999E-2</v>
      </c>
      <c r="U24" s="75">
        <f t="shared" si="1"/>
        <v>1.4999999999999999E-2</v>
      </c>
      <c r="V24" s="75">
        <f t="shared" si="1"/>
        <v>1.4999999999999999E-2</v>
      </c>
      <c r="W24" s="75">
        <f t="shared" si="1"/>
        <v>1.4999999999999999E-2</v>
      </c>
      <c r="X24" s="75">
        <f t="shared" si="2"/>
        <v>1.4999999999999999E-2</v>
      </c>
      <c r="Y24" s="75">
        <f t="shared" si="2"/>
        <v>1.4999999999999999E-2</v>
      </c>
      <c r="Z24" s="75">
        <f t="shared" si="2"/>
        <v>1.4999999999999999E-2</v>
      </c>
      <c r="AA24" s="75">
        <f t="shared" si="2"/>
        <v>1.4999999999999999E-2</v>
      </c>
      <c r="AB24" s="75">
        <f t="shared" si="2"/>
        <v>1.4999999999999999E-2</v>
      </c>
      <c r="AC24" s="75">
        <f t="shared" si="2"/>
        <v>1.4999999999999999E-2</v>
      </c>
      <c r="AD24" s="75">
        <f t="shared" si="2"/>
        <v>1.4999999999999999E-2</v>
      </c>
      <c r="AE24" s="75">
        <f t="shared" si="2"/>
        <v>1.4999999999999999E-2</v>
      </c>
      <c r="AF24" s="75">
        <f t="shared" si="2"/>
        <v>1.4999999999999999E-2</v>
      </c>
      <c r="AG24" s="75">
        <f t="shared" si="2"/>
        <v>1.4999999999999999E-2</v>
      </c>
      <c r="AH24" s="75">
        <f t="shared" si="3"/>
        <v>1.4999999999999999E-2</v>
      </c>
      <c r="AI24" s="75">
        <f t="shared" si="3"/>
        <v>1.4999999999999999E-2</v>
      </c>
      <c r="AJ24" s="75">
        <f t="shared" si="3"/>
        <v>1.4999999999999999E-2</v>
      </c>
      <c r="AK24" s="75">
        <f t="shared" si="3"/>
        <v>1.4999999999999999E-2</v>
      </c>
      <c r="AL24" s="75">
        <f t="shared" si="3"/>
        <v>1.4999999999999999E-2</v>
      </c>
      <c r="AM24" s="75">
        <f t="shared" si="3"/>
        <v>1.4999999999999999E-2</v>
      </c>
      <c r="AN24" s="75">
        <f t="shared" si="3"/>
        <v>1.4999999999999999E-2</v>
      </c>
      <c r="AO24" s="75">
        <f t="shared" si="3"/>
        <v>1.4999999999999999E-2</v>
      </c>
      <c r="AP24" s="75">
        <f t="shared" si="3"/>
        <v>1.4999999999999999E-2</v>
      </c>
      <c r="AQ24" s="94">
        <f t="shared" si="4"/>
        <v>1.4999999999999999E-2</v>
      </c>
      <c r="AR24" s="92">
        <f t="shared" si="5"/>
        <v>1.4999999999999999E-2</v>
      </c>
      <c r="AS24" s="86">
        <f t="shared" si="5"/>
        <v>1.4999999999999999E-2</v>
      </c>
      <c r="AT24" s="86">
        <f t="shared" si="5"/>
        <v>1.4999999999999999E-2</v>
      </c>
      <c r="AU24" s="86">
        <f t="shared" si="5"/>
        <v>1.4999999999999999E-2</v>
      </c>
      <c r="AV24" s="86">
        <f t="shared" si="5"/>
        <v>1.4999999999999999E-2</v>
      </c>
      <c r="AW24" s="86">
        <f t="shared" si="5"/>
        <v>1.4999999999999999E-2</v>
      </c>
      <c r="AX24" s="86">
        <f t="shared" si="5"/>
        <v>1.4999999999999999E-2</v>
      </c>
      <c r="AY24" s="87">
        <f t="shared" si="5"/>
        <v>1.4999999999999999E-2</v>
      </c>
      <c r="AZ24" s="72">
        <f t="shared" si="7"/>
        <v>1.4999999999999999E-2</v>
      </c>
      <c r="BA24" s="35">
        <v>6</v>
      </c>
    </row>
    <row r="25" spans="2:53" x14ac:dyDescent="0.25">
      <c r="B25" s="34">
        <v>7</v>
      </c>
      <c r="C25" s="72">
        <f t="shared" si="6"/>
        <v>1.4999999999999999E-2</v>
      </c>
      <c r="D25" s="74">
        <f t="shared" si="0"/>
        <v>1.4999999999999999E-2</v>
      </c>
      <c r="E25" s="75">
        <f t="shared" si="0"/>
        <v>1.4999999999999999E-2</v>
      </c>
      <c r="F25" s="75">
        <f t="shared" si="0"/>
        <v>1.4999999999999999E-2</v>
      </c>
      <c r="G25" s="75">
        <f t="shared" si="0"/>
        <v>1.4999999999999999E-2</v>
      </c>
      <c r="H25" s="75">
        <f t="shared" si="0"/>
        <v>1.4999999999999999E-2</v>
      </c>
      <c r="I25" s="75">
        <f t="shared" si="0"/>
        <v>1.4999999999999999E-2</v>
      </c>
      <c r="J25" s="75">
        <f t="shared" si="0"/>
        <v>1.4999999999999999E-2</v>
      </c>
      <c r="K25" s="75">
        <f t="shared" si="0"/>
        <v>1.4999999999999999E-2</v>
      </c>
      <c r="L25" s="75">
        <f t="shared" si="0"/>
        <v>1.4999999999999999E-2</v>
      </c>
      <c r="M25" s="75">
        <f t="shared" si="0"/>
        <v>1.4999999999999999E-2</v>
      </c>
      <c r="N25" s="75">
        <f t="shared" si="1"/>
        <v>1.4999999999999999E-2</v>
      </c>
      <c r="O25" s="75">
        <f t="shared" si="1"/>
        <v>1.4999999999999999E-2</v>
      </c>
      <c r="P25" s="75">
        <f t="shared" si="1"/>
        <v>1.4999999999999999E-2</v>
      </c>
      <c r="Q25" s="75">
        <f t="shared" si="1"/>
        <v>1.4999999999999999E-2</v>
      </c>
      <c r="R25" s="75">
        <f t="shared" si="1"/>
        <v>1.4999999999999999E-2</v>
      </c>
      <c r="S25" s="75">
        <f t="shared" si="1"/>
        <v>1.4999999999999999E-2</v>
      </c>
      <c r="T25" s="75">
        <f t="shared" si="1"/>
        <v>1.4999999999999999E-2</v>
      </c>
      <c r="U25" s="75">
        <f t="shared" si="1"/>
        <v>1.4999999999999999E-2</v>
      </c>
      <c r="V25" s="75">
        <f t="shared" si="1"/>
        <v>1.4999999999999999E-2</v>
      </c>
      <c r="W25" s="75">
        <f t="shared" si="1"/>
        <v>1.4999999999999999E-2</v>
      </c>
      <c r="X25" s="75">
        <f t="shared" si="2"/>
        <v>1.4999999999999999E-2</v>
      </c>
      <c r="Y25" s="75">
        <f t="shared" si="2"/>
        <v>1.4999999999999999E-2</v>
      </c>
      <c r="Z25" s="75">
        <f t="shared" si="2"/>
        <v>1.4999999999999999E-2</v>
      </c>
      <c r="AA25" s="75">
        <f t="shared" si="2"/>
        <v>1.4999999999999999E-2</v>
      </c>
      <c r="AB25" s="75">
        <f t="shared" si="2"/>
        <v>1.4999999999999999E-2</v>
      </c>
      <c r="AC25" s="75">
        <f t="shared" si="2"/>
        <v>1.4999999999999999E-2</v>
      </c>
      <c r="AD25" s="75">
        <f t="shared" si="2"/>
        <v>1.4999999999999999E-2</v>
      </c>
      <c r="AE25" s="75">
        <f t="shared" si="2"/>
        <v>1.4999999999999999E-2</v>
      </c>
      <c r="AF25" s="75">
        <f t="shared" si="2"/>
        <v>1.4999999999999999E-2</v>
      </c>
      <c r="AG25" s="75">
        <f t="shared" si="2"/>
        <v>1.4999999999999999E-2</v>
      </c>
      <c r="AH25" s="75">
        <f t="shared" si="3"/>
        <v>1.4999999999999999E-2</v>
      </c>
      <c r="AI25" s="75">
        <f t="shared" si="3"/>
        <v>1.4999999999999999E-2</v>
      </c>
      <c r="AJ25" s="75">
        <f t="shared" si="3"/>
        <v>1.4999999999999999E-2</v>
      </c>
      <c r="AK25" s="75">
        <f t="shared" si="3"/>
        <v>1.4999999999999999E-2</v>
      </c>
      <c r="AL25" s="75">
        <f t="shared" si="3"/>
        <v>1.4999999999999999E-2</v>
      </c>
      <c r="AM25" s="75">
        <f t="shared" si="3"/>
        <v>1.4999999999999999E-2</v>
      </c>
      <c r="AN25" s="75">
        <f t="shared" si="3"/>
        <v>1.4999999999999999E-2</v>
      </c>
      <c r="AO25" s="75">
        <f t="shared" si="3"/>
        <v>1.4999999999999999E-2</v>
      </c>
      <c r="AP25" s="75">
        <f t="shared" si="3"/>
        <v>1.4999999999999999E-2</v>
      </c>
      <c r="AQ25" s="94">
        <f t="shared" si="4"/>
        <v>1.4999999999999999E-2</v>
      </c>
      <c r="AR25" s="92">
        <f t="shared" si="5"/>
        <v>1.4999999999999999E-2</v>
      </c>
      <c r="AS25" s="86">
        <f t="shared" si="5"/>
        <v>1.4999999999999999E-2</v>
      </c>
      <c r="AT25" s="86">
        <f t="shared" si="5"/>
        <v>1.4999999999999999E-2</v>
      </c>
      <c r="AU25" s="86">
        <f t="shared" si="5"/>
        <v>1.4999999999999999E-2</v>
      </c>
      <c r="AV25" s="86">
        <f t="shared" si="5"/>
        <v>1.4999999999999999E-2</v>
      </c>
      <c r="AW25" s="86">
        <f t="shared" si="5"/>
        <v>1.4999999999999999E-2</v>
      </c>
      <c r="AX25" s="86">
        <f t="shared" si="5"/>
        <v>1.4999999999999999E-2</v>
      </c>
      <c r="AY25" s="87">
        <f t="shared" si="5"/>
        <v>1.4999999999999999E-2</v>
      </c>
      <c r="AZ25" s="72">
        <f t="shared" si="7"/>
        <v>1.4999999999999999E-2</v>
      </c>
      <c r="BA25" s="35">
        <v>7</v>
      </c>
    </row>
    <row r="26" spans="2:53" x14ac:dyDescent="0.25">
      <c r="B26" s="34">
        <v>8</v>
      </c>
      <c r="C26" s="72">
        <f t="shared" si="6"/>
        <v>1.4999999999999999E-2</v>
      </c>
      <c r="D26" s="74">
        <f t="shared" si="0"/>
        <v>1.4999999999999999E-2</v>
      </c>
      <c r="E26" s="75">
        <f t="shared" si="0"/>
        <v>1.4999999999999999E-2</v>
      </c>
      <c r="F26" s="75">
        <f t="shared" si="0"/>
        <v>1.4999999999999999E-2</v>
      </c>
      <c r="G26" s="75">
        <f t="shared" si="0"/>
        <v>1.4999999999999999E-2</v>
      </c>
      <c r="H26" s="75">
        <f t="shared" si="0"/>
        <v>1.4999999999999999E-2</v>
      </c>
      <c r="I26" s="75">
        <f t="shared" si="0"/>
        <v>1.4999999999999999E-2</v>
      </c>
      <c r="J26" s="75">
        <f t="shared" si="0"/>
        <v>1.4999999999999999E-2</v>
      </c>
      <c r="K26" s="75">
        <f t="shared" si="0"/>
        <v>1.4999999999999999E-2</v>
      </c>
      <c r="L26" s="75">
        <f t="shared" si="0"/>
        <v>1.4999999999999999E-2</v>
      </c>
      <c r="M26" s="75">
        <f t="shared" si="0"/>
        <v>1.4999999999999999E-2</v>
      </c>
      <c r="N26" s="75">
        <f t="shared" si="1"/>
        <v>1.4999999999999999E-2</v>
      </c>
      <c r="O26" s="75">
        <f t="shared" si="1"/>
        <v>1.4999999999999999E-2</v>
      </c>
      <c r="P26" s="75">
        <f t="shared" si="1"/>
        <v>1.4999999999999999E-2</v>
      </c>
      <c r="Q26" s="75">
        <f t="shared" si="1"/>
        <v>1.4999999999999999E-2</v>
      </c>
      <c r="R26" s="75">
        <f t="shared" si="1"/>
        <v>1.4999999999999999E-2</v>
      </c>
      <c r="S26" s="75">
        <f t="shared" si="1"/>
        <v>1.4999999999999999E-2</v>
      </c>
      <c r="T26" s="75">
        <f t="shared" si="1"/>
        <v>1.4999999999999999E-2</v>
      </c>
      <c r="U26" s="75">
        <f t="shared" si="1"/>
        <v>1.4999999999999999E-2</v>
      </c>
      <c r="V26" s="75">
        <f t="shared" si="1"/>
        <v>1.4999999999999999E-2</v>
      </c>
      <c r="W26" s="75">
        <f t="shared" si="1"/>
        <v>1.4999999999999999E-2</v>
      </c>
      <c r="X26" s="75">
        <f t="shared" si="2"/>
        <v>1.4999999999999999E-2</v>
      </c>
      <c r="Y26" s="75">
        <f t="shared" si="2"/>
        <v>1.4999999999999999E-2</v>
      </c>
      <c r="Z26" s="75">
        <f t="shared" si="2"/>
        <v>1.4999999999999999E-2</v>
      </c>
      <c r="AA26" s="75">
        <f t="shared" si="2"/>
        <v>1.4999999999999999E-2</v>
      </c>
      <c r="AB26" s="75">
        <f t="shared" si="2"/>
        <v>1.4999999999999999E-2</v>
      </c>
      <c r="AC26" s="75">
        <f t="shared" si="2"/>
        <v>1.4999999999999999E-2</v>
      </c>
      <c r="AD26" s="75">
        <f t="shared" si="2"/>
        <v>1.4999999999999999E-2</v>
      </c>
      <c r="AE26" s="75">
        <f t="shared" si="2"/>
        <v>1.4999999999999999E-2</v>
      </c>
      <c r="AF26" s="75">
        <f t="shared" si="2"/>
        <v>1.4999999999999999E-2</v>
      </c>
      <c r="AG26" s="75">
        <f t="shared" si="2"/>
        <v>1.4999999999999999E-2</v>
      </c>
      <c r="AH26" s="75">
        <f t="shared" si="3"/>
        <v>1.4999999999999999E-2</v>
      </c>
      <c r="AI26" s="75">
        <f t="shared" si="3"/>
        <v>1.4999999999999999E-2</v>
      </c>
      <c r="AJ26" s="75">
        <f t="shared" si="3"/>
        <v>1.4999999999999999E-2</v>
      </c>
      <c r="AK26" s="75">
        <f t="shared" si="3"/>
        <v>1.4999999999999999E-2</v>
      </c>
      <c r="AL26" s="75">
        <f t="shared" si="3"/>
        <v>1.4999999999999999E-2</v>
      </c>
      <c r="AM26" s="75">
        <f t="shared" si="3"/>
        <v>1.4999999999999999E-2</v>
      </c>
      <c r="AN26" s="75">
        <f t="shared" si="3"/>
        <v>1.4999999999999999E-2</v>
      </c>
      <c r="AO26" s="75">
        <f t="shared" si="3"/>
        <v>1.4999999999999999E-2</v>
      </c>
      <c r="AP26" s="75">
        <f t="shared" si="3"/>
        <v>1.4999999999999999E-2</v>
      </c>
      <c r="AQ26" s="94">
        <f t="shared" si="4"/>
        <v>1.4999999999999999E-2</v>
      </c>
      <c r="AR26" s="92">
        <f t="shared" si="5"/>
        <v>1.4999999999999999E-2</v>
      </c>
      <c r="AS26" s="86">
        <f t="shared" si="5"/>
        <v>1.4999999999999999E-2</v>
      </c>
      <c r="AT26" s="86">
        <f t="shared" si="5"/>
        <v>1.4999999999999999E-2</v>
      </c>
      <c r="AU26" s="86">
        <f t="shared" si="5"/>
        <v>1.4999999999999999E-2</v>
      </c>
      <c r="AV26" s="86">
        <f t="shared" si="5"/>
        <v>1.4999999999999999E-2</v>
      </c>
      <c r="AW26" s="86">
        <f t="shared" si="5"/>
        <v>1.4999999999999999E-2</v>
      </c>
      <c r="AX26" s="86">
        <f t="shared" si="5"/>
        <v>1.4999999999999999E-2</v>
      </c>
      <c r="AY26" s="87">
        <f t="shared" si="5"/>
        <v>1.4999999999999999E-2</v>
      </c>
      <c r="AZ26" s="72">
        <f t="shared" si="7"/>
        <v>1.4999999999999999E-2</v>
      </c>
      <c r="BA26" s="35">
        <v>8</v>
      </c>
    </row>
    <row r="27" spans="2:53" x14ac:dyDescent="0.25">
      <c r="B27" s="34">
        <v>9</v>
      </c>
      <c r="C27" s="72">
        <f t="shared" si="6"/>
        <v>1.4999999999999999E-2</v>
      </c>
      <c r="D27" s="74">
        <f t="shared" si="0"/>
        <v>1.4999999999999999E-2</v>
      </c>
      <c r="E27" s="75">
        <f t="shared" si="0"/>
        <v>1.4999999999999999E-2</v>
      </c>
      <c r="F27" s="75">
        <f t="shared" si="0"/>
        <v>1.4999999999999999E-2</v>
      </c>
      <c r="G27" s="75">
        <f t="shared" si="0"/>
        <v>1.4999999999999999E-2</v>
      </c>
      <c r="H27" s="75">
        <f t="shared" si="0"/>
        <v>1.4999999999999999E-2</v>
      </c>
      <c r="I27" s="75">
        <f t="shared" si="0"/>
        <v>1.4999999999999999E-2</v>
      </c>
      <c r="J27" s="75">
        <f t="shared" si="0"/>
        <v>1.4999999999999999E-2</v>
      </c>
      <c r="K27" s="75">
        <f t="shared" si="0"/>
        <v>1.4999999999999999E-2</v>
      </c>
      <c r="L27" s="75">
        <f t="shared" si="0"/>
        <v>1.4999999999999999E-2</v>
      </c>
      <c r="M27" s="75">
        <f t="shared" si="0"/>
        <v>1.4999999999999999E-2</v>
      </c>
      <c r="N27" s="75">
        <f t="shared" si="1"/>
        <v>1.4999999999999999E-2</v>
      </c>
      <c r="O27" s="75">
        <f t="shared" si="1"/>
        <v>1.4999999999999999E-2</v>
      </c>
      <c r="P27" s="75">
        <f t="shared" si="1"/>
        <v>1.4999999999999999E-2</v>
      </c>
      <c r="Q27" s="75">
        <f t="shared" si="1"/>
        <v>1.4999999999999999E-2</v>
      </c>
      <c r="R27" s="75">
        <f t="shared" si="1"/>
        <v>1.4999999999999999E-2</v>
      </c>
      <c r="S27" s="75">
        <f t="shared" si="1"/>
        <v>1.4999999999999999E-2</v>
      </c>
      <c r="T27" s="75">
        <f t="shared" si="1"/>
        <v>1.4999999999999999E-2</v>
      </c>
      <c r="U27" s="75">
        <f t="shared" si="1"/>
        <v>1.4999999999999999E-2</v>
      </c>
      <c r="V27" s="75">
        <f t="shared" si="1"/>
        <v>1.4999999999999999E-2</v>
      </c>
      <c r="W27" s="75">
        <f t="shared" si="1"/>
        <v>1.4999999999999999E-2</v>
      </c>
      <c r="X27" s="75">
        <f t="shared" si="2"/>
        <v>1.4999999999999999E-2</v>
      </c>
      <c r="Y27" s="75">
        <f t="shared" si="2"/>
        <v>1.4999999999999999E-2</v>
      </c>
      <c r="Z27" s="75">
        <f t="shared" si="2"/>
        <v>1.4999999999999999E-2</v>
      </c>
      <c r="AA27" s="75">
        <f t="shared" si="2"/>
        <v>1.4999999999999999E-2</v>
      </c>
      <c r="AB27" s="75">
        <f t="shared" si="2"/>
        <v>1.4999999999999999E-2</v>
      </c>
      <c r="AC27" s="75">
        <f t="shared" si="2"/>
        <v>1.4999999999999999E-2</v>
      </c>
      <c r="AD27" s="75">
        <f t="shared" si="2"/>
        <v>1.4999999999999999E-2</v>
      </c>
      <c r="AE27" s="75">
        <f t="shared" si="2"/>
        <v>1.4999999999999999E-2</v>
      </c>
      <c r="AF27" s="75">
        <f t="shared" si="2"/>
        <v>1.4999999999999999E-2</v>
      </c>
      <c r="AG27" s="75">
        <f t="shared" si="2"/>
        <v>1.4999999999999999E-2</v>
      </c>
      <c r="AH27" s="75">
        <f t="shared" si="3"/>
        <v>1.4999999999999999E-2</v>
      </c>
      <c r="AI27" s="75">
        <f t="shared" si="3"/>
        <v>1.4999999999999999E-2</v>
      </c>
      <c r="AJ27" s="75">
        <f t="shared" si="3"/>
        <v>1.4999999999999999E-2</v>
      </c>
      <c r="AK27" s="75">
        <f t="shared" si="3"/>
        <v>1.4999999999999999E-2</v>
      </c>
      <c r="AL27" s="75">
        <f t="shared" si="3"/>
        <v>1.4999999999999999E-2</v>
      </c>
      <c r="AM27" s="75">
        <f t="shared" si="3"/>
        <v>1.4999999999999999E-2</v>
      </c>
      <c r="AN27" s="75">
        <f t="shared" si="3"/>
        <v>1.4999999999999999E-2</v>
      </c>
      <c r="AO27" s="75">
        <f t="shared" si="3"/>
        <v>1.4999999999999999E-2</v>
      </c>
      <c r="AP27" s="75">
        <f t="shared" si="3"/>
        <v>1.4999999999999999E-2</v>
      </c>
      <c r="AQ27" s="94">
        <f t="shared" si="4"/>
        <v>1.4999999999999999E-2</v>
      </c>
      <c r="AR27" s="92">
        <f t="shared" si="5"/>
        <v>1.4999999999999999E-2</v>
      </c>
      <c r="AS27" s="86">
        <f t="shared" si="5"/>
        <v>1.4999999999999999E-2</v>
      </c>
      <c r="AT27" s="86">
        <f t="shared" si="5"/>
        <v>1.4999999999999999E-2</v>
      </c>
      <c r="AU27" s="86">
        <f t="shared" si="5"/>
        <v>1.4999999999999999E-2</v>
      </c>
      <c r="AV27" s="86">
        <f t="shared" si="5"/>
        <v>1.4999999999999999E-2</v>
      </c>
      <c r="AW27" s="86">
        <f t="shared" si="5"/>
        <v>1.4999999999999999E-2</v>
      </c>
      <c r="AX27" s="86">
        <f t="shared" si="5"/>
        <v>1.4999999999999999E-2</v>
      </c>
      <c r="AY27" s="87">
        <f t="shared" si="5"/>
        <v>1.4999999999999999E-2</v>
      </c>
      <c r="AZ27" s="72">
        <f t="shared" si="7"/>
        <v>1.4999999999999999E-2</v>
      </c>
      <c r="BA27" s="35">
        <v>9</v>
      </c>
    </row>
    <row r="28" spans="2:53" x14ac:dyDescent="0.25">
      <c r="B28" s="34">
        <v>10</v>
      </c>
      <c r="C28" s="72">
        <f t="shared" si="6"/>
        <v>1.4999999999999999E-2</v>
      </c>
      <c r="D28" s="74">
        <f t="shared" si="0"/>
        <v>1.4999999999999999E-2</v>
      </c>
      <c r="E28" s="75">
        <f t="shared" si="0"/>
        <v>1.4999999999999999E-2</v>
      </c>
      <c r="F28" s="75">
        <f t="shared" si="0"/>
        <v>1.4999999999999999E-2</v>
      </c>
      <c r="G28" s="75">
        <f t="shared" si="0"/>
        <v>1.4999999999999999E-2</v>
      </c>
      <c r="H28" s="75">
        <f t="shared" si="0"/>
        <v>1.4999999999999999E-2</v>
      </c>
      <c r="I28" s="75">
        <f t="shared" si="0"/>
        <v>1.4999999999999999E-2</v>
      </c>
      <c r="J28" s="75">
        <f t="shared" si="0"/>
        <v>1.4999999999999999E-2</v>
      </c>
      <c r="K28" s="75">
        <f t="shared" si="0"/>
        <v>1.4999999999999999E-2</v>
      </c>
      <c r="L28" s="75">
        <f t="shared" si="0"/>
        <v>1.4999999999999999E-2</v>
      </c>
      <c r="M28" s="75">
        <f t="shared" si="0"/>
        <v>1.4999999999999999E-2</v>
      </c>
      <c r="N28" s="75">
        <f t="shared" si="1"/>
        <v>1.4999999999999999E-2</v>
      </c>
      <c r="O28" s="75">
        <f t="shared" si="1"/>
        <v>1.4999999999999999E-2</v>
      </c>
      <c r="P28" s="75">
        <f t="shared" si="1"/>
        <v>1.4999999999999999E-2</v>
      </c>
      <c r="Q28" s="75">
        <f t="shared" si="1"/>
        <v>1.4999999999999999E-2</v>
      </c>
      <c r="R28" s="75">
        <f t="shared" si="1"/>
        <v>1.4999999999999999E-2</v>
      </c>
      <c r="S28" s="75">
        <f t="shared" si="1"/>
        <v>1.4999999999999999E-2</v>
      </c>
      <c r="T28" s="75">
        <f t="shared" si="1"/>
        <v>1.4999999999999999E-2</v>
      </c>
      <c r="U28" s="75">
        <f t="shared" si="1"/>
        <v>1.4999999999999999E-2</v>
      </c>
      <c r="V28" s="75">
        <f t="shared" si="1"/>
        <v>1.4999999999999999E-2</v>
      </c>
      <c r="W28" s="75">
        <f t="shared" si="1"/>
        <v>1.4999999999999999E-2</v>
      </c>
      <c r="X28" s="75">
        <f t="shared" si="2"/>
        <v>1.4999999999999999E-2</v>
      </c>
      <c r="Y28" s="75">
        <f t="shared" si="2"/>
        <v>1.4999999999999999E-2</v>
      </c>
      <c r="Z28" s="75">
        <f t="shared" si="2"/>
        <v>1.4999999999999999E-2</v>
      </c>
      <c r="AA28" s="75">
        <f t="shared" si="2"/>
        <v>1.4999999999999999E-2</v>
      </c>
      <c r="AB28" s="75">
        <f t="shared" si="2"/>
        <v>1.4999999999999999E-2</v>
      </c>
      <c r="AC28" s="75">
        <f t="shared" si="2"/>
        <v>1.4999999999999999E-2</v>
      </c>
      <c r="AD28" s="75">
        <f t="shared" si="2"/>
        <v>1.4999999999999999E-2</v>
      </c>
      <c r="AE28" s="75">
        <f t="shared" si="2"/>
        <v>1.4999999999999999E-2</v>
      </c>
      <c r="AF28" s="75">
        <f t="shared" si="2"/>
        <v>1.4999999999999999E-2</v>
      </c>
      <c r="AG28" s="75">
        <f t="shared" si="2"/>
        <v>1.4999999999999999E-2</v>
      </c>
      <c r="AH28" s="75">
        <f t="shared" si="3"/>
        <v>1.4999999999999999E-2</v>
      </c>
      <c r="AI28" s="75">
        <f t="shared" si="3"/>
        <v>1.4999999999999999E-2</v>
      </c>
      <c r="AJ28" s="75">
        <f t="shared" si="3"/>
        <v>1.4999999999999999E-2</v>
      </c>
      <c r="AK28" s="75">
        <f t="shared" si="3"/>
        <v>1.4999999999999999E-2</v>
      </c>
      <c r="AL28" s="75">
        <f t="shared" si="3"/>
        <v>1.4999999999999999E-2</v>
      </c>
      <c r="AM28" s="75">
        <f t="shared" si="3"/>
        <v>1.4999999999999999E-2</v>
      </c>
      <c r="AN28" s="75">
        <f t="shared" si="3"/>
        <v>1.4999999999999999E-2</v>
      </c>
      <c r="AO28" s="75">
        <f t="shared" si="3"/>
        <v>1.4999999999999999E-2</v>
      </c>
      <c r="AP28" s="75">
        <f t="shared" si="3"/>
        <v>1.4999999999999999E-2</v>
      </c>
      <c r="AQ28" s="94">
        <f t="shared" si="4"/>
        <v>1.4999999999999999E-2</v>
      </c>
      <c r="AR28" s="92">
        <f t="shared" si="5"/>
        <v>1.4999999999999999E-2</v>
      </c>
      <c r="AS28" s="86">
        <f t="shared" si="5"/>
        <v>1.4999999999999999E-2</v>
      </c>
      <c r="AT28" s="86">
        <f t="shared" si="5"/>
        <v>1.4999999999999999E-2</v>
      </c>
      <c r="AU28" s="86">
        <f t="shared" si="5"/>
        <v>1.4999999999999999E-2</v>
      </c>
      <c r="AV28" s="86">
        <f t="shared" si="5"/>
        <v>1.4999999999999999E-2</v>
      </c>
      <c r="AW28" s="86">
        <f t="shared" si="5"/>
        <v>1.4999999999999999E-2</v>
      </c>
      <c r="AX28" s="86">
        <f t="shared" si="5"/>
        <v>1.4999999999999999E-2</v>
      </c>
      <c r="AY28" s="87">
        <f t="shared" si="5"/>
        <v>1.4999999999999999E-2</v>
      </c>
      <c r="AZ28" s="72">
        <f t="shared" si="7"/>
        <v>1.4999999999999999E-2</v>
      </c>
      <c r="BA28" s="35">
        <v>10</v>
      </c>
    </row>
    <row r="29" spans="2:53" x14ac:dyDescent="0.25">
      <c r="B29" s="34">
        <v>11</v>
      </c>
      <c r="C29" s="72">
        <f t="shared" si="6"/>
        <v>1.4999999999999999E-2</v>
      </c>
      <c r="D29" s="74">
        <f t="shared" si="0"/>
        <v>1.4999999999999999E-2</v>
      </c>
      <c r="E29" s="75">
        <f t="shared" si="0"/>
        <v>1.4999999999999999E-2</v>
      </c>
      <c r="F29" s="75">
        <f t="shared" si="0"/>
        <v>1.4999999999999999E-2</v>
      </c>
      <c r="G29" s="75">
        <f t="shared" si="0"/>
        <v>1.4999999999999999E-2</v>
      </c>
      <c r="H29" s="75">
        <f t="shared" si="0"/>
        <v>1.4999999999999999E-2</v>
      </c>
      <c r="I29" s="75">
        <f t="shared" si="0"/>
        <v>1.4999999999999999E-2</v>
      </c>
      <c r="J29" s="75">
        <f t="shared" si="0"/>
        <v>1.4999999999999999E-2</v>
      </c>
      <c r="K29" s="75">
        <f t="shared" si="0"/>
        <v>1.4999999999999999E-2</v>
      </c>
      <c r="L29" s="75">
        <f t="shared" si="0"/>
        <v>1.4999999999999999E-2</v>
      </c>
      <c r="M29" s="75">
        <f t="shared" si="0"/>
        <v>1.4999999999999999E-2</v>
      </c>
      <c r="N29" s="75">
        <f t="shared" si="1"/>
        <v>1.4999999999999999E-2</v>
      </c>
      <c r="O29" s="75">
        <f t="shared" si="1"/>
        <v>1.4999999999999999E-2</v>
      </c>
      <c r="P29" s="75">
        <f t="shared" si="1"/>
        <v>1.4999999999999999E-2</v>
      </c>
      <c r="Q29" s="75">
        <f t="shared" si="1"/>
        <v>1.4999999999999999E-2</v>
      </c>
      <c r="R29" s="75">
        <f t="shared" si="1"/>
        <v>1.4999999999999999E-2</v>
      </c>
      <c r="S29" s="75">
        <f t="shared" si="1"/>
        <v>1.4999999999999999E-2</v>
      </c>
      <c r="T29" s="75">
        <f t="shared" si="1"/>
        <v>1.4999999999999999E-2</v>
      </c>
      <c r="U29" s="75">
        <f t="shared" si="1"/>
        <v>1.4999999999999999E-2</v>
      </c>
      <c r="V29" s="75">
        <f t="shared" si="1"/>
        <v>1.4999999999999999E-2</v>
      </c>
      <c r="W29" s="75">
        <f t="shared" si="1"/>
        <v>1.4999999999999999E-2</v>
      </c>
      <c r="X29" s="75">
        <f t="shared" si="2"/>
        <v>1.4999999999999999E-2</v>
      </c>
      <c r="Y29" s="75">
        <f t="shared" si="2"/>
        <v>1.4999999999999999E-2</v>
      </c>
      <c r="Z29" s="75">
        <f t="shared" si="2"/>
        <v>1.4999999999999999E-2</v>
      </c>
      <c r="AA29" s="75">
        <f t="shared" si="2"/>
        <v>1.4999999999999999E-2</v>
      </c>
      <c r="AB29" s="75">
        <f t="shared" si="2"/>
        <v>1.4999999999999999E-2</v>
      </c>
      <c r="AC29" s="75">
        <f t="shared" si="2"/>
        <v>1.4999999999999999E-2</v>
      </c>
      <c r="AD29" s="75">
        <f t="shared" si="2"/>
        <v>1.4999999999999999E-2</v>
      </c>
      <c r="AE29" s="75">
        <f t="shared" si="2"/>
        <v>1.4999999999999999E-2</v>
      </c>
      <c r="AF29" s="75">
        <f t="shared" si="2"/>
        <v>1.4999999999999999E-2</v>
      </c>
      <c r="AG29" s="75">
        <f t="shared" si="2"/>
        <v>1.4999999999999999E-2</v>
      </c>
      <c r="AH29" s="75">
        <f t="shared" si="3"/>
        <v>1.4999999999999999E-2</v>
      </c>
      <c r="AI29" s="75">
        <f t="shared" si="3"/>
        <v>1.4999999999999999E-2</v>
      </c>
      <c r="AJ29" s="75">
        <f t="shared" si="3"/>
        <v>1.4999999999999999E-2</v>
      </c>
      <c r="AK29" s="75">
        <f t="shared" si="3"/>
        <v>1.4999999999999999E-2</v>
      </c>
      <c r="AL29" s="75">
        <f t="shared" si="3"/>
        <v>1.4999999999999999E-2</v>
      </c>
      <c r="AM29" s="75">
        <f t="shared" si="3"/>
        <v>1.4999999999999999E-2</v>
      </c>
      <c r="AN29" s="75">
        <f t="shared" si="3"/>
        <v>1.4999999999999999E-2</v>
      </c>
      <c r="AO29" s="75">
        <f t="shared" si="3"/>
        <v>1.4999999999999999E-2</v>
      </c>
      <c r="AP29" s="75">
        <f t="shared" si="3"/>
        <v>1.4999999999999999E-2</v>
      </c>
      <c r="AQ29" s="94">
        <f t="shared" si="4"/>
        <v>1.4999999999999999E-2</v>
      </c>
      <c r="AR29" s="92">
        <f t="shared" ref="AR29:AY38" si="8">$F$8</f>
        <v>1.4999999999999999E-2</v>
      </c>
      <c r="AS29" s="86">
        <f t="shared" si="8"/>
        <v>1.4999999999999999E-2</v>
      </c>
      <c r="AT29" s="86">
        <f t="shared" si="8"/>
        <v>1.4999999999999999E-2</v>
      </c>
      <c r="AU29" s="86">
        <f t="shared" si="8"/>
        <v>1.4999999999999999E-2</v>
      </c>
      <c r="AV29" s="86">
        <f t="shared" si="8"/>
        <v>1.4999999999999999E-2</v>
      </c>
      <c r="AW29" s="86">
        <f t="shared" si="8"/>
        <v>1.4999999999999999E-2</v>
      </c>
      <c r="AX29" s="86">
        <f t="shared" si="8"/>
        <v>1.4999999999999999E-2</v>
      </c>
      <c r="AY29" s="87">
        <f t="shared" si="8"/>
        <v>1.4999999999999999E-2</v>
      </c>
      <c r="AZ29" s="72">
        <f t="shared" si="7"/>
        <v>1.4999999999999999E-2</v>
      </c>
      <c r="BA29" s="35">
        <v>11</v>
      </c>
    </row>
    <row r="30" spans="2:53" x14ac:dyDescent="0.25">
      <c r="B30" s="34">
        <v>12</v>
      </c>
      <c r="C30" s="72">
        <f t="shared" si="6"/>
        <v>1.4999999999999999E-2</v>
      </c>
      <c r="D30" s="74">
        <f t="shared" si="0"/>
        <v>1.4999999999999999E-2</v>
      </c>
      <c r="E30" s="75">
        <f t="shared" si="0"/>
        <v>1.4999999999999999E-2</v>
      </c>
      <c r="F30" s="75">
        <f t="shared" si="0"/>
        <v>1.4999999999999999E-2</v>
      </c>
      <c r="G30" s="75">
        <f t="shared" si="0"/>
        <v>1.4999999999999999E-2</v>
      </c>
      <c r="H30" s="75">
        <f t="shared" si="0"/>
        <v>1.4999999999999999E-2</v>
      </c>
      <c r="I30" s="75">
        <f t="shared" si="0"/>
        <v>1.4999999999999999E-2</v>
      </c>
      <c r="J30" s="75">
        <f t="shared" si="0"/>
        <v>1.4999999999999999E-2</v>
      </c>
      <c r="K30" s="75">
        <f t="shared" si="0"/>
        <v>1.4999999999999999E-2</v>
      </c>
      <c r="L30" s="75">
        <f t="shared" si="0"/>
        <v>1.4999999999999999E-2</v>
      </c>
      <c r="M30" s="75">
        <f t="shared" si="0"/>
        <v>1.4999999999999999E-2</v>
      </c>
      <c r="N30" s="75">
        <f t="shared" si="1"/>
        <v>1.4999999999999999E-2</v>
      </c>
      <c r="O30" s="75">
        <f t="shared" si="1"/>
        <v>1.4999999999999999E-2</v>
      </c>
      <c r="P30" s="75">
        <f t="shared" si="1"/>
        <v>1.4999999999999999E-2</v>
      </c>
      <c r="Q30" s="75">
        <f t="shared" si="1"/>
        <v>1.4999999999999999E-2</v>
      </c>
      <c r="R30" s="75">
        <f t="shared" si="1"/>
        <v>1.4999999999999999E-2</v>
      </c>
      <c r="S30" s="75">
        <f t="shared" si="1"/>
        <v>1.4999999999999999E-2</v>
      </c>
      <c r="T30" s="75">
        <f t="shared" si="1"/>
        <v>1.4999999999999999E-2</v>
      </c>
      <c r="U30" s="75">
        <f t="shared" si="1"/>
        <v>1.4999999999999999E-2</v>
      </c>
      <c r="V30" s="75">
        <f t="shared" si="1"/>
        <v>1.4999999999999999E-2</v>
      </c>
      <c r="W30" s="75">
        <f t="shared" si="1"/>
        <v>1.4999999999999999E-2</v>
      </c>
      <c r="X30" s="75">
        <f t="shared" si="2"/>
        <v>1.4999999999999999E-2</v>
      </c>
      <c r="Y30" s="75">
        <f t="shared" si="2"/>
        <v>1.4999999999999999E-2</v>
      </c>
      <c r="Z30" s="75">
        <f t="shared" si="2"/>
        <v>1.4999999999999999E-2</v>
      </c>
      <c r="AA30" s="75">
        <f t="shared" si="2"/>
        <v>1.4999999999999999E-2</v>
      </c>
      <c r="AB30" s="75">
        <f t="shared" si="2"/>
        <v>1.4999999999999999E-2</v>
      </c>
      <c r="AC30" s="75">
        <f t="shared" si="2"/>
        <v>1.4999999999999999E-2</v>
      </c>
      <c r="AD30" s="75">
        <f t="shared" si="2"/>
        <v>1.4999999999999999E-2</v>
      </c>
      <c r="AE30" s="75">
        <f t="shared" si="2"/>
        <v>1.4999999999999999E-2</v>
      </c>
      <c r="AF30" s="75">
        <f t="shared" si="2"/>
        <v>1.4999999999999999E-2</v>
      </c>
      <c r="AG30" s="75">
        <f t="shared" si="2"/>
        <v>1.4999999999999999E-2</v>
      </c>
      <c r="AH30" s="75">
        <f t="shared" si="3"/>
        <v>1.4999999999999999E-2</v>
      </c>
      <c r="AI30" s="75">
        <f t="shared" si="3"/>
        <v>1.4999999999999999E-2</v>
      </c>
      <c r="AJ30" s="75">
        <f t="shared" si="3"/>
        <v>1.4999999999999999E-2</v>
      </c>
      <c r="AK30" s="75">
        <f t="shared" si="3"/>
        <v>1.4999999999999999E-2</v>
      </c>
      <c r="AL30" s="75">
        <f t="shared" si="3"/>
        <v>1.4999999999999999E-2</v>
      </c>
      <c r="AM30" s="75">
        <f t="shared" si="3"/>
        <v>1.4999999999999999E-2</v>
      </c>
      <c r="AN30" s="75">
        <f t="shared" si="3"/>
        <v>1.4999999999999999E-2</v>
      </c>
      <c r="AO30" s="75">
        <f t="shared" si="3"/>
        <v>1.4999999999999999E-2</v>
      </c>
      <c r="AP30" s="75">
        <f t="shared" si="3"/>
        <v>1.4999999999999999E-2</v>
      </c>
      <c r="AQ30" s="94">
        <f t="shared" si="4"/>
        <v>1.4999999999999999E-2</v>
      </c>
      <c r="AR30" s="92">
        <f t="shared" si="8"/>
        <v>1.4999999999999999E-2</v>
      </c>
      <c r="AS30" s="86">
        <f t="shared" si="8"/>
        <v>1.4999999999999999E-2</v>
      </c>
      <c r="AT30" s="86">
        <f t="shared" si="8"/>
        <v>1.4999999999999999E-2</v>
      </c>
      <c r="AU30" s="86">
        <f t="shared" si="8"/>
        <v>1.4999999999999999E-2</v>
      </c>
      <c r="AV30" s="86">
        <f t="shared" si="8"/>
        <v>1.4999999999999999E-2</v>
      </c>
      <c r="AW30" s="86">
        <f t="shared" si="8"/>
        <v>1.4999999999999999E-2</v>
      </c>
      <c r="AX30" s="86">
        <f t="shared" si="8"/>
        <v>1.4999999999999999E-2</v>
      </c>
      <c r="AY30" s="87">
        <f t="shared" si="8"/>
        <v>1.4999999999999999E-2</v>
      </c>
      <c r="AZ30" s="72">
        <f t="shared" si="7"/>
        <v>1.4999999999999999E-2</v>
      </c>
      <c r="BA30" s="35">
        <v>12</v>
      </c>
    </row>
    <row r="31" spans="2:53" x14ac:dyDescent="0.25">
      <c r="B31" s="34">
        <v>13</v>
      </c>
      <c r="C31" s="72">
        <f t="shared" si="6"/>
        <v>1.4999999999999999E-2</v>
      </c>
      <c r="D31" s="74">
        <f t="shared" si="0"/>
        <v>1.4999999999999999E-2</v>
      </c>
      <c r="E31" s="75">
        <f t="shared" si="0"/>
        <v>1.4999999999999999E-2</v>
      </c>
      <c r="F31" s="75">
        <f t="shared" si="0"/>
        <v>1.4999999999999999E-2</v>
      </c>
      <c r="G31" s="75">
        <f t="shared" si="0"/>
        <v>1.4999999999999999E-2</v>
      </c>
      <c r="H31" s="75">
        <f t="shared" si="0"/>
        <v>1.4999999999999999E-2</v>
      </c>
      <c r="I31" s="75">
        <f t="shared" si="0"/>
        <v>1.4999999999999999E-2</v>
      </c>
      <c r="J31" s="75">
        <f t="shared" si="0"/>
        <v>1.4999999999999999E-2</v>
      </c>
      <c r="K31" s="75">
        <f t="shared" si="0"/>
        <v>1.4999999999999999E-2</v>
      </c>
      <c r="L31" s="75">
        <f t="shared" si="0"/>
        <v>1.4999999999999999E-2</v>
      </c>
      <c r="M31" s="75">
        <f t="shared" si="0"/>
        <v>1.4999999999999999E-2</v>
      </c>
      <c r="N31" s="75">
        <f t="shared" si="1"/>
        <v>1.4999999999999999E-2</v>
      </c>
      <c r="O31" s="75">
        <f t="shared" si="1"/>
        <v>1.4999999999999999E-2</v>
      </c>
      <c r="P31" s="75">
        <f t="shared" si="1"/>
        <v>1.4999999999999999E-2</v>
      </c>
      <c r="Q31" s="75">
        <f t="shared" si="1"/>
        <v>1.4999999999999999E-2</v>
      </c>
      <c r="R31" s="75">
        <f t="shared" si="1"/>
        <v>1.4999999999999999E-2</v>
      </c>
      <c r="S31" s="75">
        <f t="shared" si="1"/>
        <v>1.4999999999999999E-2</v>
      </c>
      <c r="T31" s="75">
        <f t="shared" si="1"/>
        <v>1.4999999999999999E-2</v>
      </c>
      <c r="U31" s="75">
        <f t="shared" si="1"/>
        <v>1.4999999999999999E-2</v>
      </c>
      <c r="V31" s="75">
        <f t="shared" si="1"/>
        <v>1.4999999999999999E-2</v>
      </c>
      <c r="W31" s="75">
        <f t="shared" si="1"/>
        <v>1.4999999999999999E-2</v>
      </c>
      <c r="X31" s="75">
        <f t="shared" si="2"/>
        <v>1.4999999999999999E-2</v>
      </c>
      <c r="Y31" s="75">
        <f t="shared" si="2"/>
        <v>1.4999999999999999E-2</v>
      </c>
      <c r="Z31" s="75">
        <f t="shared" si="2"/>
        <v>1.4999999999999999E-2</v>
      </c>
      <c r="AA31" s="75">
        <f t="shared" si="2"/>
        <v>1.4999999999999999E-2</v>
      </c>
      <c r="AB31" s="75">
        <f t="shared" si="2"/>
        <v>1.4999999999999999E-2</v>
      </c>
      <c r="AC31" s="75">
        <f t="shared" si="2"/>
        <v>1.4999999999999999E-2</v>
      </c>
      <c r="AD31" s="75">
        <f t="shared" si="2"/>
        <v>1.4999999999999999E-2</v>
      </c>
      <c r="AE31" s="75">
        <f t="shared" si="2"/>
        <v>1.4999999999999999E-2</v>
      </c>
      <c r="AF31" s="75">
        <f t="shared" si="2"/>
        <v>1.4999999999999999E-2</v>
      </c>
      <c r="AG31" s="75">
        <f t="shared" si="2"/>
        <v>1.4999999999999999E-2</v>
      </c>
      <c r="AH31" s="75">
        <f t="shared" si="3"/>
        <v>1.4999999999999999E-2</v>
      </c>
      <c r="AI31" s="75">
        <f t="shared" si="3"/>
        <v>1.4999999999999999E-2</v>
      </c>
      <c r="AJ31" s="75">
        <f t="shared" si="3"/>
        <v>1.4999999999999999E-2</v>
      </c>
      <c r="AK31" s="75">
        <f t="shared" si="3"/>
        <v>1.4999999999999999E-2</v>
      </c>
      <c r="AL31" s="75">
        <f t="shared" si="3"/>
        <v>1.4999999999999999E-2</v>
      </c>
      <c r="AM31" s="75">
        <f t="shared" si="3"/>
        <v>1.4999999999999999E-2</v>
      </c>
      <c r="AN31" s="75">
        <f t="shared" si="3"/>
        <v>1.4999999999999999E-2</v>
      </c>
      <c r="AO31" s="75">
        <f t="shared" si="3"/>
        <v>1.4999999999999999E-2</v>
      </c>
      <c r="AP31" s="75">
        <f t="shared" si="3"/>
        <v>1.4999999999999999E-2</v>
      </c>
      <c r="AQ31" s="94">
        <f t="shared" si="4"/>
        <v>1.4999999999999999E-2</v>
      </c>
      <c r="AR31" s="92">
        <f t="shared" si="8"/>
        <v>1.4999999999999999E-2</v>
      </c>
      <c r="AS31" s="86">
        <f t="shared" si="8"/>
        <v>1.4999999999999999E-2</v>
      </c>
      <c r="AT31" s="86">
        <f t="shared" si="8"/>
        <v>1.4999999999999999E-2</v>
      </c>
      <c r="AU31" s="86">
        <f t="shared" si="8"/>
        <v>1.4999999999999999E-2</v>
      </c>
      <c r="AV31" s="86">
        <f t="shared" si="8"/>
        <v>1.4999999999999999E-2</v>
      </c>
      <c r="AW31" s="86">
        <f t="shared" si="8"/>
        <v>1.4999999999999999E-2</v>
      </c>
      <c r="AX31" s="86">
        <f t="shared" si="8"/>
        <v>1.4999999999999999E-2</v>
      </c>
      <c r="AY31" s="87">
        <f t="shared" si="8"/>
        <v>1.4999999999999999E-2</v>
      </c>
      <c r="AZ31" s="72">
        <f t="shared" si="7"/>
        <v>1.4999999999999999E-2</v>
      </c>
      <c r="BA31" s="35">
        <v>13</v>
      </c>
    </row>
    <row r="32" spans="2:53" x14ac:dyDescent="0.25">
      <c r="B32" s="34">
        <v>14</v>
      </c>
      <c r="C32" s="72">
        <f t="shared" si="6"/>
        <v>1.4999999999999999E-2</v>
      </c>
      <c r="D32" s="74">
        <f t="shared" ref="D32:M37" si="9">$F$5</f>
        <v>1.4999999999999999E-2</v>
      </c>
      <c r="E32" s="75">
        <f t="shared" si="9"/>
        <v>1.4999999999999999E-2</v>
      </c>
      <c r="F32" s="75">
        <f t="shared" si="9"/>
        <v>1.4999999999999999E-2</v>
      </c>
      <c r="G32" s="75">
        <f t="shared" si="9"/>
        <v>1.4999999999999999E-2</v>
      </c>
      <c r="H32" s="75">
        <f t="shared" si="9"/>
        <v>1.4999999999999999E-2</v>
      </c>
      <c r="I32" s="75">
        <f t="shared" si="9"/>
        <v>1.4999999999999999E-2</v>
      </c>
      <c r="J32" s="75">
        <f t="shared" si="9"/>
        <v>1.4999999999999999E-2</v>
      </c>
      <c r="K32" s="75">
        <f t="shared" si="9"/>
        <v>1.4999999999999999E-2</v>
      </c>
      <c r="L32" s="75">
        <f t="shared" si="9"/>
        <v>1.4999999999999999E-2</v>
      </c>
      <c r="M32" s="75">
        <f t="shared" si="9"/>
        <v>1.4999999999999999E-2</v>
      </c>
      <c r="N32" s="75">
        <f t="shared" ref="N32:V37" si="10">$F$5</f>
        <v>1.4999999999999999E-2</v>
      </c>
      <c r="O32" s="75">
        <f t="shared" si="10"/>
        <v>1.4999999999999999E-2</v>
      </c>
      <c r="P32" s="75">
        <f t="shared" si="10"/>
        <v>1.4999999999999999E-2</v>
      </c>
      <c r="Q32" s="75">
        <f t="shared" si="10"/>
        <v>1.4999999999999999E-2</v>
      </c>
      <c r="R32" s="75">
        <f t="shared" si="10"/>
        <v>1.4999999999999999E-2</v>
      </c>
      <c r="S32" s="75">
        <f t="shared" si="10"/>
        <v>1.4999999999999999E-2</v>
      </c>
      <c r="T32" s="75">
        <f t="shared" si="10"/>
        <v>1.4999999999999999E-2</v>
      </c>
      <c r="U32" s="75">
        <f t="shared" si="10"/>
        <v>1.4999999999999999E-2</v>
      </c>
      <c r="V32" s="75">
        <f t="shared" si="10"/>
        <v>1.4999999999999999E-2</v>
      </c>
      <c r="W32" s="106">
        <f t="shared" ref="W32:AG41" si="11">$F$6</f>
        <v>1.4999999999999999E-2</v>
      </c>
      <c r="X32" s="107">
        <f t="shared" si="11"/>
        <v>1.4999999999999999E-2</v>
      </c>
      <c r="Y32" s="107">
        <f t="shared" si="11"/>
        <v>1.4999999999999999E-2</v>
      </c>
      <c r="Z32" s="107">
        <f t="shared" si="11"/>
        <v>1.4999999999999999E-2</v>
      </c>
      <c r="AA32" s="107">
        <f t="shared" si="11"/>
        <v>1.4999999999999999E-2</v>
      </c>
      <c r="AB32" s="107">
        <f t="shared" si="11"/>
        <v>1.4999999999999999E-2</v>
      </c>
      <c r="AC32" s="107">
        <f t="shared" si="11"/>
        <v>1.4999999999999999E-2</v>
      </c>
      <c r="AD32" s="107">
        <f t="shared" si="11"/>
        <v>1.4999999999999999E-2</v>
      </c>
      <c r="AE32" s="107">
        <f t="shared" si="11"/>
        <v>1.4999999999999999E-2</v>
      </c>
      <c r="AF32" s="107">
        <f t="shared" si="11"/>
        <v>1.4999999999999999E-2</v>
      </c>
      <c r="AG32" s="107">
        <f t="shared" si="11"/>
        <v>1.4999999999999999E-2</v>
      </c>
      <c r="AH32" s="107">
        <f t="shared" ref="AH32:AP41" si="12">$F$6</f>
        <v>1.4999999999999999E-2</v>
      </c>
      <c r="AI32" s="107">
        <f t="shared" si="12"/>
        <v>1.4999999999999999E-2</v>
      </c>
      <c r="AJ32" s="107">
        <f t="shared" si="12"/>
        <v>1.4999999999999999E-2</v>
      </c>
      <c r="AK32" s="107">
        <f t="shared" si="12"/>
        <v>1.4999999999999999E-2</v>
      </c>
      <c r="AL32" s="107">
        <f t="shared" si="12"/>
        <v>1.4999999999999999E-2</v>
      </c>
      <c r="AM32" s="107">
        <f t="shared" si="12"/>
        <v>1.4999999999999999E-2</v>
      </c>
      <c r="AN32" s="107">
        <f t="shared" si="12"/>
        <v>1.4999999999999999E-2</v>
      </c>
      <c r="AO32" s="107">
        <f t="shared" si="12"/>
        <v>1.4999999999999999E-2</v>
      </c>
      <c r="AP32" s="107">
        <f t="shared" si="12"/>
        <v>1.4999999999999999E-2</v>
      </c>
      <c r="AQ32" s="108">
        <f t="shared" ref="AQ32:AQ41" si="13">$F$6</f>
        <v>1.4999999999999999E-2</v>
      </c>
      <c r="AR32" s="92">
        <f t="shared" si="8"/>
        <v>1.4999999999999999E-2</v>
      </c>
      <c r="AS32" s="86">
        <f t="shared" si="8"/>
        <v>1.4999999999999999E-2</v>
      </c>
      <c r="AT32" s="86">
        <f t="shared" si="8"/>
        <v>1.4999999999999999E-2</v>
      </c>
      <c r="AU32" s="86">
        <f t="shared" si="8"/>
        <v>1.4999999999999999E-2</v>
      </c>
      <c r="AV32" s="86">
        <f t="shared" si="8"/>
        <v>1.4999999999999999E-2</v>
      </c>
      <c r="AW32" s="86">
        <f t="shared" si="8"/>
        <v>1.4999999999999999E-2</v>
      </c>
      <c r="AX32" s="86">
        <f t="shared" si="8"/>
        <v>1.4999999999999999E-2</v>
      </c>
      <c r="AY32" s="87">
        <f t="shared" si="8"/>
        <v>1.4999999999999999E-2</v>
      </c>
      <c r="AZ32" s="72">
        <f t="shared" si="7"/>
        <v>1.4999999999999999E-2</v>
      </c>
      <c r="BA32" s="35">
        <v>14</v>
      </c>
    </row>
    <row r="33" spans="2:53" x14ac:dyDescent="0.25">
      <c r="B33" s="34">
        <v>15</v>
      </c>
      <c r="C33" s="72">
        <f t="shared" si="6"/>
        <v>1.4999999999999999E-2</v>
      </c>
      <c r="D33" s="74">
        <f t="shared" si="9"/>
        <v>1.4999999999999999E-2</v>
      </c>
      <c r="E33" s="75">
        <f t="shared" si="9"/>
        <v>1.4999999999999999E-2</v>
      </c>
      <c r="F33" s="75">
        <f t="shared" si="9"/>
        <v>1.4999999999999999E-2</v>
      </c>
      <c r="G33" s="75">
        <f t="shared" si="9"/>
        <v>1.4999999999999999E-2</v>
      </c>
      <c r="H33" s="75">
        <f t="shared" si="9"/>
        <v>1.4999999999999999E-2</v>
      </c>
      <c r="I33" s="75">
        <f t="shared" si="9"/>
        <v>1.4999999999999999E-2</v>
      </c>
      <c r="J33" s="75">
        <f t="shared" si="9"/>
        <v>1.4999999999999999E-2</v>
      </c>
      <c r="K33" s="75">
        <f t="shared" si="9"/>
        <v>1.4999999999999999E-2</v>
      </c>
      <c r="L33" s="75">
        <f t="shared" si="9"/>
        <v>1.4999999999999999E-2</v>
      </c>
      <c r="M33" s="75">
        <f t="shared" si="9"/>
        <v>1.4999999999999999E-2</v>
      </c>
      <c r="N33" s="75">
        <f t="shared" si="10"/>
        <v>1.4999999999999999E-2</v>
      </c>
      <c r="O33" s="75">
        <f t="shared" si="10"/>
        <v>1.4999999999999999E-2</v>
      </c>
      <c r="P33" s="75">
        <f t="shared" si="10"/>
        <v>1.4999999999999999E-2</v>
      </c>
      <c r="Q33" s="75">
        <f t="shared" si="10"/>
        <v>1.4999999999999999E-2</v>
      </c>
      <c r="R33" s="75">
        <f t="shared" si="10"/>
        <v>1.4999999999999999E-2</v>
      </c>
      <c r="S33" s="75">
        <f t="shared" si="10"/>
        <v>1.4999999999999999E-2</v>
      </c>
      <c r="T33" s="75">
        <f t="shared" si="10"/>
        <v>1.4999999999999999E-2</v>
      </c>
      <c r="U33" s="75">
        <f t="shared" si="10"/>
        <v>1.4999999999999999E-2</v>
      </c>
      <c r="V33" s="75">
        <f t="shared" si="10"/>
        <v>1.4999999999999999E-2</v>
      </c>
      <c r="W33" s="109">
        <f t="shared" si="11"/>
        <v>1.4999999999999999E-2</v>
      </c>
      <c r="X33" s="83">
        <f t="shared" si="11"/>
        <v>1.4999999999999999E-2</v>
      </c>
      <c r="Y33" s="83">
        <f t="shared" si="11"/>
        <v>1.4999999999999999E-2</v>
      </c>
      <c r="Z33" s="83">
        <f t="shared" si="11"/>
        <v>1.4999999999999999E-2</v>
      </c>
      <c r="AA33" s="83">
        <f t="shared" si="11"/>
        <v>1.4999999999999999E-2</v>
      </c>
      <c r="AB33" s="83">
        <f t="shared" si="11"/>
        <v>1.4999999999999999E-2</v>
      </c>
      <c r="AC33" s="83">
        <f t="shared" si="11"/>
        <v>1.4999999999999999E-2</v>
      </c>
      <c r="AD33" s="83">
        <f t="shared" si="11"/>
        <v>1.4999999999999999E-2</v>
      </c>
      <c r="AE33" s="83">
        <f t="shared" si="11"/>
        <v>1.4999999999999999E-2</v>
      </c>
      <c r="AF33" s="83">
        <f t="shared" si="11"/>
        <v>1.4999999999999999E-2</v>
      </c>
      <c r="AG33" s="83">
        <f t="shared" si="11"/>
        <v>1.4999999999999999E-2</v>
      </c>
      <c r="AH33" s="83">
        <f t="shared" si="12"/>
        <v>1.4999999999999999E-2</v>
      </c>
      <c r="AI33" s="83">
        <f t="shared" si="12"/>
        <v>1.4999999999999999E-2</v>
      </c>
      <c r="AJ33" s="83">
        <f t="shared" si="12"/>
        <v>1.4999999999999999E-2</v>
      </c>
      <c r="AK33" s="83">
        <f t="shared" si="12"/>
        <v>1.4999999999999999E-2</v>
      </c>
      <c r="AL33" s="83">
        <f t="shared" si="12"/>
        <v>1.4999999999999999E-2</v>
      </c>
      <c r="AM33" s="83">
        <f t="shared" si="12"/>
        <v>1.4999999999999999E-2</v>
      </c>
      <c r="AN33" s="83">
        <f t="shared" si="12"/>
        <v>1.4999999999999999E-2</v>
      </c>
      <c r="AO33" s="83">
        <f t="shared" si="12"/>
        <v>1.4999999999999999E-2</v>
      </c>
      <c r="AP33" s="83">
        <f t="shared" si="12"/>
        <v>1.4999999999999999E-2</v>
      </c>
      <c r="AQ33" s="110">
        <f t="shared" si="13"/>
        <v>1.4999999999999999E-2</v>
      </c>
      <c r="AR33" s="92">
        <f t="shared" si="8"/>
        <v>1.4999999999999999E-2</v>
      </c>
      <c r="AS33" s="86">
        <f t="shared" si="8"/>
        <v>1.4999999999999999E-2</v>
      </c>
      <c r="AT33" s="86">
        <f t="shared" si="8"/>
        <v>1.4999999999999999E-2</v>
      </c>
      <c r="AU33" s="86">
        <f t="shared" si="8"/>
        <v>1.4999999999999999E-2</v>
      </c>
      <c r="AV33" s="86">
        <f t="shared" si="8"/>
        <v>1.4999999999999999E-2</v>
      </c>
      <c r="AW33" s="86">
        <f t="shared" si="8"/>
        <v>1.4999999999999999E-2</v>
      </c>
      <c r="AX33" s="86">
        <f t="shared" si="8"/>
        <v>1.4999999999999999E-2</v>
      </c>
      <c r="AY33" s="87">
        <f t="shared" si="8"/>
        <v>1.4999999999999999E-2</v>
      </c>
      <c r="AZ33" s="72">
        <f t="shared" si="7"/>
        <v>1.4999999999999999E-2</v>
      </c>
      <c r="BA33" s="35">
        <v>15</v>
      </c>
    </row>
    <row r="34" spans="2:53" x14ac:dyDescent="0.25">
      <c r="B34" s="34">
        <v>16</v>
      </c>
      <c r="C34" s="72">
        <f t="shared" si="6"/>
        <v>1.4999999999999999E-2</v>
      </c>
      <c r="D34" s="74">
        <f t="shared" si="9"/>
        <v>1.4999999999999999E-2</v>
      </c>
      <c r="E34" s="75">
        <f t="shared" si="9"/>
        <v>1.4999999999999999E-2</v>
      </c>
      <c r="F34" s="75">
        <f t="shared" si="9"/>
        <v>1.4999999999999999E-2</v>
      </c>
      <c r="G34" s="75">
        <f t="shared" si="9"/>
        <v>1.4999999999999999E-2</v>
      </c>
      <c r="H34" s="75">
        <f t="shared" si="9"/>
        <v>1.4999999999999999E-2</v>
      </c>
      <c r="I34" s="75">
        <f t="shared" si="9"/>
        <v>1.4999999999999999E-2</v>
      </c>
      <c r="J34" s="75">
        <f t="shared" si="9"/>
        <v>1.4999999999999999E-2</v>
      </c>
      <c r="K34" s="75">
        <f t="shared" si="9"/>
        <v>1.4999999999999999E-2</v>
      </c>
      <c r="L34" s="75">
        <f t="shared" si="9"/>
        <v>1.4999999999999999E-2</v>
      </c>
      <c r="M34" s="75">
        <f t="shared" si="9"/>
        <v>1.4999999999999999E-2</v>
      </c>
      <c r="N34" s="75">
        <f t="shared" si="10"/>
        <v>1.4999999999999999E-2</v>
      </c>
      <c r="O34" s="75">
        <f t="shared" si="10"/>
        <v>1.4999999999999999E-2</v>
      </c>
      <c r="P34" s="75">
        <f t="shared" si="10"/>
        <v>1.4999999999999999E-2</v>
      </c>
      <c r="Q34" s="75">
        <f t="shared" si="10"/>
        <v>1.4999999999999999E-2</v>
      </c>
      <c r="R34" s="75">
        <f t="shared" si="10"/>
        <v>1.4999999999999999E-2</v>
      </c>
      <c r="S34" s="75">
        <f t="shared" si="10"/>
        <v>1.4999999999999999E-2</v>
      </c>
      <c r="T34" s="75">
        <f t="shared" si="10"/>
        <v>1.4999999999999999E-2</v>
      </c>
      <c r="U34" s="75">
        <f t="shared" si="10"/>
        <v>1.4999999999999999E-2</v>
      </c>
      <c r="V34" s="75">
        <f t="shared" si="10"/>
        <v>1.4999999999999999E-2</v>
      </c>
      <c r="W34" s="109">
        <f t="shared" si="11"/>
        <v>1.4999999999999999E-2</v>
      </c>
      <c r="X34" s="83">
        <f t="shared" si="11"/>
        <v>1.4999999999999999E-2</v>
      </c>
      <c r="Y34" s="83">
        <f t="shared" si="11"/>
        <v>1.4999999999999999E-2</v>
      </c>
      <c r="Z34" s="83">
        <f t="shared" si="11"/>
        <v>1.4999999999999999E-2</v>
      </c>
      <c r="AA34" s="83">
        <f t="shared" si="11"/>
        <v>1.4999999999999999E-2</v>
      </c>
      <c r="AB34" s="150">
        <f t="shared" si="11"/>
        <v>1.4999999999999999E-2</v>
      </c>
      <c r="AC34" s="150">
        <f t="shared" si="11"/>
        <v>1.4999999999999999E-2</v>
      </c>
      <c r="AD34" s="150">
        <f t="shared" si="11"/>
        <v>1.4999999999999999E-2</v>
      </c>
      <c r="AE34" s="150">
        <f t="shared" si="11"/>
        <v>1.4999999999999999E-2</v>
      </c>
      <c r="AF34" s="83">
        <f t="shared" si="11"/>
        <v>1.4999999999999999E-2</v>
      </c>
      <c r="AG34" s="83">
        <f t="shared" si="11"/>
        <v>1.4999999999999999E-2</v>
      </c>
      <c r="AH34" s="83">
        <f t="shared" si="12"/>
        <v>1.4999999999999999E-2</v>
      </c>
      <c r="AI34" s="83">
        <f t="shared" si="12"/>
        <v>1.4999999999999999E-2</v>
      </c>
      <c r="AJ34" s="83">
        <f t="shared" si="12"/>
        <v>1.4999999999999999E-2</v>
      </c>
      <c r="AK34" s="83">
        <f t="shared" si="12"/>
        <v>1.4999999999999999E-2</v>
      </c>
      <c r="AL34" s="83">
        <f t="shared" si="12"/>
        <v>1.4999999999999999E-2</v>
      </c>
      <c r="AM34" s="83">
        <f t="shared" si="12"/>
        <v>1.4999999999999999E-2</v>
      </c>
      <c r="AN34" s="83">
        <f t="shared" si="12"/>
        <v>1.4999999999999999E-2</v>
      </c>
      <c r="AO34" s="83">
        <f t="shared" si="12"/>
        <v>1.4999999999999999E-2</v>
      </c>
      <c r="AP34" s="83">
        <f t="shared" si="12"/>
        <v>1.4999999999999999E-2</v>
      </c>
      <c r="AQ34" s="110">
        <f t="shared" si="13"/>
        <v>1.4999999999999999E-2</v>
      </c>
      <c r="AR34" s="92">
        <f t="shared" si="8"/>
        <v>1.4999999999999999E-2</v>
      </c>
      <c r="AS34" s="86">
        <f t="shared" si="8"/>
        <v>1.4999999999999999E-2</v>
      </c>
      <c r="AT34" s="86">
        <f t="shared" si="8"/>
        <v>1.4999999999999999E-2</v>
      </c>
      <c r="AU34" s="86">
        <f t="shared" si="8"/>
        <v>1.4999999999999999E-2</v>
      </c>
      <c r="AV34" s="86">
        <f t="shared" si="8"/>
        <v>1.4999999999999999E-2</v>
      </c>
      <c r="AW34" s="86">
        <f t="shared" si="8"/>
        <v>1.4999999999999999E-2</v>
      </c>
      <c r="AX34" s="86">
        <f t="shared" si="8"/>
        <v>1.4999999999999999E-2</v>
      </c>
      <c r="AY34" s="87">
        <f t="shared" si="8"/>
        <v>1.4999999999999999E-2</v>
      </c>
      <c r="AZ34" s="72">
        <f t="shared" si="7"/>
        <v>1.4999999999999999E-2</v>
      </c>
      <c r="BA34" s="35">
        <v>16</v>
      </c>
    </row>
    <row r="35" spans="2:53" x14ac:dyDescent="0.25">
      <c r="B35" s="34">
        <v>17</v>
      </c>
      <c r="C35" s="72">
        <f t="shared" si="6"/>
        <v>1.4999999999999999E-2</v>
      </c>
      <c r="D35" s="74">
        <f t="shared" si="9"/>
        <v>1.4999999999999999E-2</v>
      </c>
      <c r="E35" s="75">
        <f t="shared" si="9"/>
        <v>1.4999999999999999E-2</v>
      </c>
      <c r="F35" s="75">
        <f t="shared" si="9"/>
        <v>1.4999999999999999E-2</v>
      </c>
      <c r="G35" s="75">
        <f t="shared" si="9"/>
        <v>1.4999999999999999E-2</v>
      </c>
      <c r="H35" s="75">
        <f t="shared" si="9"/>
        <v>1.4999999999999999E-2</v>
      </c>
      <c r="I35" s="75">
        <f t="shared" si="9"/>
        <v>1.4999999999999999E-2</v>
      </c>
      <c r="J35" s="75">
        <f t="shared" si="9"/>
        <v>1.4999999999999999E-2</v>
      </c>
      <c r="K35" s="75">
        <f t="shared" si="9"/>
        <v>1.4999999999999999E-2</v>
      </c>
      <c r="L35" s="75">
        <f t="shared" si="9"/>
        <v>1.4999999999999999E-2</v>
      </c>
      <c r="M35" s="75">
        <f t="shared" si="9"/>
        <v>1.4999999999999999E-2</v>
      </c>
      <c r="N35" s="75">
        <f t="shared" si="10"/>
        <v>1.4999999999999999E-2</v>
      </c>
      <c r="O35" s="75">
        <f t="shared" si="10"/>
        <v>1.4999999999999999E-2</v>
      </c>
      <c r="P35" s="75">
        <f t="shared" si="10"/>
        <v>1.4999999999999999E-2</v>
      </c>
      <c r="Q35" s="75">
        <f t="shared" si="10"/>
        <v>1.4999999999999999E-2</v>
      </c>
      <c r="R35" s="75">
        <f t="shared" si="10"/>
        <v>1.4999999999999999E-2</v>
      </c>
      <c r="S35" s="75">
        <f t="shared" si="10"/>
        <v>1.4999999999999999E-2</v>
      </c>
      <c r="T35" s="75">
        <f t="shared" si="10"/>
        <v>1.4999999999999999E-2</v>
      </c>
      <c r="U35" s="75">
        <f t="shared" si="10"/>
        <v>1.4999999999999999E-2</v>
      </c>
      <c r="V35" s="75">
        <f t="shared" si="10"/>
        <v>1.4999999999999999E-2</v>
      </c>
      <c r="W35" s="109">
        <f t="shared" si="11"/>
        <v>1.4999999999999999E-2</v>
      </c>
      <c r="X35" s="83">
        <f t="shared" si="11"/>
        <v>1.4999999999999999E-2</v>
      </c>
      <c r="Y35" s="83">
        <f t="shared" si="11"/>
        <v>1.4999999999999999E-2</v>
      </c>
      <c r="Z35" s="83">
        <f t="shared" si="11"/>
        <v>1.4999999999999999E-2</v>
      </c>
      <c r="AA35" s="83">
        <f t="shared" si="11"/>
        <v>1.4999999999999999E-2</v>
      </c>
      <c r="AB35" s="150">
        <f t="shared" si="11"/>
        <v>1.4999999999999999E-2</v>
      </c>
      <c r="AC35" s="150">
        <f t="shared" si="11"/>
        <v>1.4999999999999999E-2</v>
      </c>
      <c r="AD35" s="150">
        <f t="shared" si="11"/>
        <v>1.4999999999999999E-2</v>
      </c>
      <c r="AE35" s="150">
        <f t="shared" si="11"/>
        <v>1.4999999999999999E-2</v>
      </c>
      <c r="AF35" s="83">
        <f t="shared" si="11"/>
        <v>1.4999999999999999E-2</v>
      </c>
      <c r="AG35" s="83">
        <f t="shared" si="11"/>
        <v>1.4999999999999999E-2</v>
      </c>
      <c r="AH35" s="83">
        <f t="shared" si="12"/>
        <v>1.4999999999999999E-2</v>
      </c>
      <c r="AI35" s="83">
        <f t="shared" si="12"/>
        <v>1.4999999999999999E-2</v>
      </c>
      <c r="AJ35" s="83">
        <f t="shared" si="12"/>
        <v>1.4999999999999999E-2</v>
      </c>
      <c r="AK35" s="83">
        <f t="shared" si="12"/>
        <v>1.4999999999999999E-2</v>
      </c>
      <c r="AL35" s="83">
        <f t="shared" si="12"/>
        <v>1.4999999999999999E-2</v>
      </c>
      <c r="AM35" s="83">
        <f t="shared" si="12"/>
        <v>1.4999999999999999E-2</v>
      </c>
      <c r="AN35" s="83">
        <f t="shared" si="12"/>
        <v>1.4999999999999999E-2</v>
      </c>
      <c r="AO35" s="83">
        <f t="shared" si="12"/>
        <v>1.4999999999999999E-2</v>
      </c>
      <c r="AP35" s="83">
        <f t="shared" si="12"/>
        <v>1.4999999999999999E-2</v>
      </c>
      <c r="AQ35" s="110">
        <f t="shared" si="13"/>
        <v>1.4999999999999999E-2</v>
      </c>
      <c r="AR35" s="92">
        <f t="shared" si="8"/>
        <v>1.4999999999999999E-2</v>
      </c>
      <c r="AS35" s="86">
        <f t="shared" si="8"/>
        <v>1.4999999999999999E-2</v>
      </c>
      <c r="AT35" s="86">
        <f t="shared" si="8"/>
        <v>1.4999999999999999E-2</v>
      </c>
      <c r="AU35" s="86">
        <f t="shared" si="8"/>
        <v>1.4999999999999999E-2</v>
      </c>
      <c r="AV35" s="86">
        <f t="shared" si="8"/>
        <v>1.4999999999999999E-2</v>
      </c>
      <c r="AW35" s="86">
        <f t="shared" si="8"/>
        <v>1.4999999999999999E-2</v>
      </c>
      <c r="AX35" s="86">
        <f t="shared" si="8"/>
        <v>1.4999999999999999E-2</v>
      </c>
      <c r="AY35" s="87">
        <f t="shared" si="8"/>
        <v>1.4999999999999999E-2</v>
      </c>
      <c r="AZ35" s="72">
        <f t="shared" si="7"/>
        <v>1.4999999999999999E-2</v>
      </c>
      <c r="BA35" s="35">
        <v>17</v>
      </c>
    </row>
    <row r="36" spans="2:53" x14ac:dyDescent="0.25">
      <c r="B36" s="34">
        <v>18</v>
      </c>
      <c r="C36" s="72">
        <f t="shared" si="6"/>
        <v>1.4999999999999999E-2</v>
      </c>
      <c r="D36" s="74">
        <f t="shared" si="9"/>
        <v>1.4999999999999999E-2</v>
      </c>
      <c r="E36" s="75">
        <f t="shared" si="9"/>
        <v>1.4999999999999999E-2</v>
      </c>
      <c r="F36" s="75">
        <f t="shared" si="9"/>
        <v>1.4999999999999999E-2</v>
      </c>
      <c r="G36" s="75">
        <f t="shared" si="9"/>
        <v>1.4999999999999999E-2</v>
      </c>
      <c r="H36" s="75">
        <f t="shared" si="9"/>
        <v>1.4999999999999999E-2</v>
      </c>
      <c r="I36" s="75">
        <f t="shared" si="9"/>
        <v>1.4999999999999999E-2</v>
      </c>
      <c r="J36" s="75">
        <f t="shared" si="9"/>
        <v>1.4999999999999999E-2</v>
      </c>
      <c r="K36" s="75">
        <f t="shared" si="9"/>
        <v>1.4999999999999999E-2</v>
      </c>
      <c r="L36" s="75">
        <f t="shared" si="9"/>
        <v>1.4999999999999999E-2</v>
      </c>
      <c r="M36" s="75">
        <f t="shared" si="9"/>
        <v>1.4999999999999999E-2</v>
      </c>
      <c r="N36" s="75">
        <f t="shared" si="10"/>
        <v>1.4999999999999999E-2</v>
      </c>
      <c r="O36" s="75">
        <f t="shared" si="10"/>
        <v>1.4999999999999999E-2</v>
      </c>
      <c r="P36" s="75">
        <f t="shared" si="10"/>
        <v>1.4999999999999999E-2</v>
      </c>
      <c r="Q36" s="75">
        <f t="shared" si="10"/>
        <v>1.4999999999999999E-2</v>
      </c>
      <c r="R36" s="75">
        <f t="shared" si="10"/>
        <v>1.4999999999999999E-2</v>
      </c>
      <c r="S36" s="75">
        <f t="shared" si="10"/>
        <v>1.4999999999999999E-2</v>
      </c>
      <c r="T36" s="75">
        <f t="shared" si="10"/>
        <v>1.4999999999999999E-2</v>
      </c>
      <c r="U36" s="75">
        <f t="shared" si="10"/>
        <v>1.4999999999999999E-2</v>
      </c>
      <c r="V36" s="75">
        <f t="shared" si="10"/>
        <v>1.4999999999999999E-2</v>
      </c>
      <c r="W36" s="109">
        <f t="shared" si="11"/>
        <v>1.4999999999999999E-2</v>
      </c>
      <c r="X36" s="83">
        <f t="shared" si="11"/>
        <v>1.4999999999999999E-2</v>
      </c>
      <c r="Y36" s="83">
        <f t="shared" si="11"/>
        <v>1.4999999999999999E-2</v>
      </c>
      <c r="Z36" s="83">
        <f t="shared" si="11"/>
        <v>1.4999999999999999E-2</v>
      </c>
      <c r="AA36" s="83">
        <f t="shared" si="11"/>
        <v>1.4999999999999999E-2</v>
      </c>
      <c r="AB36" s="150">
        <f t="shared" si="11"/>
        <v>1.4999999999999999E-2</v>
      </c>
      <c r="AC36" s="150">
        <f t="shared" si="11"/>
        <v>1.4999999999999999E-2</v>
      </c>
      <c r="AD36" s="150">
        <f t="shared" si="11"/>
        <v>1.4999999999999999E-2</v>
      </c>
      <c r="AE36" s="150">
        <f t="shared" si="11"/>
        <v>1.4999999999999999E-2</v>
      </c>
      <c r="AF36" s="83">
        <f t="shared" si="11"/>
        <v>1.4999999999999999E-2</v>
      </c>
      <c r="AG36" s="83">
        <f t="shared" si="11"/>
        <v>1.4999999999999999E-2</v>
      </c>
      <c r="AH36" s="83">
        <f t="shared" si="12"/>
        <v>1.4999999999999999E-2</v>
      </c>
      <c r="AI36" s="83">
        <f t="shared" si="12"/>
        <v>1.4999999999999999E-2</v>
      </c>
      <c r="AJ36" s="83">
        <f t="shared" si="12"/>
        <v>1.4999999999999999E-2</v>
      </c>
      <c r="AK36" s="83">
        <f t="shared" si="12"/>
        <v>1.4999999999999999E-2</v>
      </c>
      <c r="AL36" s="83">
        <f t="shared" si="12"/>
        <v>1.4999999999999999E-2</v>
      </c>
      <c r="AM36" s="83">
        <f t="shared" si="12"/>
        <v>1.4999999999999999E-2</v>
      </c>
      <c r="AN36" s="83">
        <f t="shared" si="12"/>
        <v>1.4999999999999999E-2</v>
      </c>
      <c r="AO36" s="83">
        <f t="shared" si="12"/>
        <v>1.4999999999999999E-2</v>
      </c>
      <c r="AP36" s="83">
        <f t="shared" si="12"/>
        <v>1.4999999999999999E-2</v>
      </c>
      <c r="AQ36" s="110">
        <f t="shared" si="13"/>
        <v>1.4999999999999999E-2</v>
      </c>
      <c r="AR36" s="92">
        <f t="shared" si="8"/>
        <v>1.4999999999999999E-2</v>
      </c>
      <c r="AS36" s="86">
        <f t="shared" si="8"/>
        <v>1.4999999999999999E-2</v>
      </c>
      <c r="AT36" s="86">
        <f t="shared" si="8"/>
        <v>1.4999999999999999E-2</v>
      </c>
      <c r="AU36" s="86">
        <f t="shared" si="8"/>
        <v>1.4999999999999999E-2</v>
      </c>
      <c r="AV36" s="86">
        <f t="shared" si="8"/>
        <v>1.4999999999999999E-2</v>
      </c>
      <c r="AW36" s="86">
        <f t="shared" si="8"/>
        <v>1.4999999999999999E-2</v>
      </c>
      <c r="AX36" s="86">
        <f t="shared" si="8"/>
        <v>1.4999999999999999E-2</v>
      </c>
      <c r="AY36" s="87">
        <f t="shared" si="8"/>
        <v>1.4999999999999999E-2</v>
      </c>
      <c r="AZ36" s="72">
        <f t="shared" si="7"/>
        <v>1.4999999999999999E-2</v>
      </c>
      <c r="BA36" s="35">
        <v>18</v>
      </c>
    </row>
    <row r="37" spans="2:53" x14ac:dyDescent="0.25">
      <c r="B37" s="34">
        <v>19</v>
      </c>
      <c r="C37" s="72">
        <f t="shared" si="6"/>
        <v>1.4999999999999999E-2</v>
      </c>
      <c r="D37" s="74">
        <f t="shared" si="9"/>
        <v>1.4999999999999999E-2</v>
      </c>
      <c r="E37" s="75">
        <f t="shared" si="9"/>
        <v>1.4999999999999999E-2</v>
      </c>
      <c r="F37" s="75">
        <f t="shared" si="9"/>
        <v>1.4999999999999999E-2</v>
      </c>
      <c r="G37" s="75">
        <f t="shared" si="9"/>
        <v>1.4999999999999999E-2</v>
      </c>
      <c r="H37" s="75">
        <f t="shared" si="9"/>
        <v>1.4999999999999999E-2</v>
      </c>
      <c r="I37" s="75">
        <f t="shared" si="9"/>
        <v>1.4999999999999999E-2</v>
      </c>
      <c r="J37" s="75">
        <f t="shared" si="9"/>
        <v>1.4999999999999999E-2</v>
      </c>
      <c r="K37" s="75">
        <f t="shared" si="9"/>
        <v>1.4999999999999999E-2</v>
      </c>
      <c r="L37" s="75">
        <f t="shared" si="9"/>
        <v>1.4999999999999999E-2</v>
      </c>
      <c r="M37" s="75">
        <f t="shared" si="9"/>
        <v>1.4999999999999999E-2</v>
      </c>
      <c r="N37" s="75">
        <f t="shared" si="10"/>
        <v>1.4999999999999999E-2</v>
      </c>
      <c r="O37" s="75">
        <f t="shared" si="10"/>
        <v>1.4999999999999999E-2</v>
      </c>
      <c r="P37" s="75">
        <f t="shared" si="10"/>
        <v>1.4999999999999999E-2</v>
      </c>
      <c r="Q37" s="75">
        <f t="shared" si="10"/>
        <v>1.4999999999999999E-2</v>
      </c>
      <c r="R37" s="75">
        <f t="shared" si="10"/>
        <v>1.4999999999999999E-2</v>
      </c>
      <c r="S37" s="75">
        <f t="shared" si="10"/>
        <v>1.4999999999999999E-2</v>
      </c>
      <c r="T37" s="75">
        <f t="shared" si="10"/>
        <v>1.4999999999999999E-2</v>
      </c>
      <c r="U37" s="75">
        <f t="shared" si="10"/>
        <v>1.4999999999999999E-2</v>
      </c>
      <c r="V37" s="75">
        <f t="shared" si="10"/>
        <v>1.4999999999999999E-2</v>
      </c>
      <c r="W37" s="109">
        <f t="shared" si="11"/>
        <v>1.4999999999999999E-2</v>
      </c>
      <c r="X37" s="83">
        <f t="shared" si="11"/>
        <v>1.4999999999999999E-2</v>
      </c>
      <c r="Y37" s="83">
        <f t="shared" si="11"/>
        <v>1.4999999999999999E-2</v>
      </c>
      <c r="Z37" s="83">
        <f t="shared" si="11"/>
        <v>1.4999999999999999E-2</v>
      </c>
      <c r="AA37" s="83">
        <f t="shared" si="11"/>
        <v>1.4999999999999999E-2</v>
      </c>
      <c r="AB37" s="150">
        <f t="shared" si="11"/>
        <v>1.4999999999999999E-2</v>
      </c>
      <c r="AC37" s="150">
        <f t="shared" si="11"/>
        <v>1.4999999999999999E-2</v>
      </c>
      <c r="AD37" s="150">
        <f t="shared" si="11"/>
        <v>1.4999999999999999E-2</v>
      </c>
      <c r="AE37" s="150">
        <f t="shared" si="11"/>
        <v>1.4999999999999999E-2</v>
      </c>
      <c r="AF37" s="83">
        <f t="shared" si="11"/>
        <v>1.4999999999999999E-2</v>
      </c>
      <c r="AG37" s="83">
        <f t="shared" si="11"/>
        <v>1.4999999999999999E-2</v>
      </c>
      <c r="AH37" s="83">
        <f t="shared" si="12"/>
        <v>1.4999999999999999E-2</v>
      </c>
      <c r="AI37" s="83">
        <f t="shared" si="12"/>
        <v>1.4999999999999999E-2</v>
      </c>
      <c r="AJ37" s="83">
        <f t="shared" si="12"/>
        <v>1.4999999999999999E-2</v>
      </c>
      <c r="AK37" s="83">
        <f t="shared" si="12"/>
        <v>1.4999999999999999E-2</v>
      </c>
      <c r="AL37" s="83">
        <f t="shared" si="12"/>
        <v>1.4999999999999999E-2</v>
      </c>
      <c r="AM37" s="83">
        <f t="shared" si="12"/>
        <v>1.4999999999999999E-2</v>
      </c>
      <c r="AN37" s="83">
        <f t="shared" si="12"/>
        <v>1.4999999999999999E-2</v>
      </c>
      <c r="AO37" s="83">
        <f t="shared" si="12"/>
        <v>1.4999999999999999E-2</v>
      </c>
      <c r="AP37" s="83">
        <f t="shared" si="12"/>
        <v>1.4999999999999999E-2</v>
      </c>
      <c r="AQ37" s="110">
        <f t="shared" si="13"/>
        <v>1.4999999999999999E-2</v>
      </c>
      <c r="AR37" s="92">
        <f t="shared" si="8"/>
        <v>1.4999999999999999E-2</v>
      </c>
      <c r="AS37" s="86">
        <f t="shared" si="8"/>
        <v>1.4999999999999999E-2</v>
      </c>
      <c r="AT37" s="86">
        <f t="shared" si="8"/>
        <v>1.4999999999999999E-2</v>
      </c>
      <c r="AU37" s="86">
        <f t="shared" si="8"/>
        <v>1.4999999999999999E-2</v>
      </c>
      <c r="AV37" s="86">
        <f t="shared" si="8"/>
        <v>1.4999999999999999E-2</v>
      </c>
      <c r="AW37" s="86">
        <f t="shared" si="8"/>
        <v>1.4999999999999999E-2</v>
      </c>
      <c r="AX37" s="86">
        <f t="shared" si="8"/>
        <v>1.4999999999999999E-2</v>
      </c>
      <c r="AY37" s="87">
        <f t="shared" si="8"/>
        <v>1.4999999999999999E-2</v>
      </c>
      <c r="AZ37" s="72">
        <f t="shared" si="7"/>
        <v>1.4999999999999999E-2</v>
      </c>
      <c r="BA37" s="35">
        <v>19</v>
      </c>
    </row>
    <row r="38" spans="2:53" x14ac:dyDescent="0.25">
      <c r="B38" s="34">
        <v>20</v>
      </c>
      <c r="C38" s="72">
        <f t="shared" si="6"/>
        <v>1.4999999999999999E-2</v>
      </c>
      <c r="D38" s="74">
        <f t="shared" ref="D38:K47" si="14">$F$5</f>
        <v>1.4999999999999999E-2</v>
      </c>
      <c r="E38" s="75">
        <f t="shared" si="14"/>
        <v>1.4999999999999999E-2</v>
      </c>
      <c r="F38" s="75">
        <f t="shared" si="14"/>
        <v>1.4999999999999999E-2</v>
      </c>
      <c r="G38" s="75">
        <f t="shared" si="14"/>
        <v>1.4999999999999999E-2</v>
      </c>
      <c r="H38" s="75">
        <f t="shared" si="14"/>
        <v>1.4999999999999999E-2</v>
      </c>
      <c r="I38" s="75">
        <f t="shared" si="14"/>
        <v>1.4999999999999999E-2</v>
      </c>
      <c r="J38" s="75">
        <f t="shared" si="14"/>
        <v>1.4999999999999999E-2</v>
      </c>
      <c r="K38" s="75">
        <f t="shared" si="14"/>
        <v>1.4999999999999999E-2</v>
      </c>
      <c r="L38" s="106">
        <f t="shared" ref="L38:W47" si="15">$F$6</f>
        <v>1.4999999999999999E-2</v>
      </c>
      <c r="M38" s="107">
        <f t="shared" si="15"/>
        <v>1.4999999999999999E-2</v>
      </c>
      <c r="N38" s="107">
        <f t="shared" si="15"/>
        <v>1.4999999999999999E-2</v>
      </c>
      <c r="O38" s="107">
        <f t="shared" si="15"/>
        <v>1.4999999999999999E-2</v>
      </c>
      <c r="P38" s="138">
        <f t="shared" si="15"/>
        <v>1.4999999999999999E-2</v>
      </c>
      <c r="Q38" s="138">
        <f t="shared" si="15"/>
        <v>1.4999999999999999E-2</v>
      </c>
      <c r="R38" s="138">
        <f t="shared" si="15"/>
        <v>1.4999999999999999E-2</v>
      </c>
      <c r="S38" s="138">
        <f t="shared" si="15"/>
        <v>1.4999999999999999E-2</v>
      </c>
      <c r="T38" s="107">
        <f t="shared" si="15"/>
        <v>1.4999999999999999E-2</v>
      </c>
      <c r="U38" s="107">
        <f t="shared" si="15"/>
        <v>1.4999999999999999E-2</v>
      </c>
      <c r="V38" s="107">
        <f t="shared" si="15"/>
        <v>1.4999999999999999E-2</v>
      </c>
      <c r="W38" s="83">
        <f t="shared" si="15"/>
        <v>1.4999999999999999E-2</v>
      </c>
      <c r="X38" s="83">
        <f t="shared" si="11"/>
        <v>1.4999999999999999E-2</v>
      </c>
      <c r="Y38" s="83">
        <f t="shared" si="11"/>
        <v>1.4999999999999999E-2</v>
      </c>
      <c r="Z38" s="83">
        <f t="shared" si="11"/>
        <v>1.4999999999999999E-2</v>
      </c>
      <c r="AA38" s="83">
        <f t="shared" si="11"/>
        <v>1.4999999999999999E-2</v>
      </c>
      <c r="AB38" s="83">
        <f t="shared" si="11"/>
        <v>1.4999999999999999E-2</v>
      </c>
      <c r="AC38" s="83">
        <f t="shared" si="11"/>
        <v>1.4999999999999999E-2</v>
      </c>
      <c r="AD38" s="83">
        <f t="shared" si="11"/>
        <v>1.4999999999999999E-2</v>
      </c>
      <c r="AE38" s="83">
        <f t="shared" si="11"/>
        <v>1.4999999999999999E-2</v>
      </c>
      <c r="AF38" s="83">
        <f t="shared" si="11"/>
        <v>1.4999999999999999E-2</v>
      </c>
      <c r="AG38" s="83">
        <f t="shared" si="11"/>
        <v>1.4999999999999999E-2</v>
      </c>
      <c r="AH38" s="83">
        <f t="shared" si="12"/>
        <v>1.4999999999999999E-2</v>
      </c>
      <c r="AI38" s="83">
        <f t="shared" si="12"/>
        <v>1.4999999999999999E-2</v>
      </c>
      <c r="AJ38" s="83">
        <f t="shared" si="12"/>
        <v>1.4999999999999999E-2</v>
      </c>
      <c r="AK38" s="83">
        <f t="shared" si="12"/>
        <v>1.4999999999999999E-2</v>
      </c>
      <c r="AL38" s="83">
        <f t="shared" si="12"/>
        <v>1.4999999999999999E-2</v>
      </c>
      <c r="AM38" s="83">
        <f t="shared" si="12"/>
        <v>1.4999999999999999E-2</v>
      </c>
      <c r="AN38" s="83">
        <f t="shared" si="12"/>
        <v>1.4999999999999999E-2</v>
      </c>
      <c r="AO38" s="83">
        <f t="shared" si="12"/>
        <v>1.4999999999999999E-2</v>
      </c>
      <c r="AP38" s="83">
        <f t="shared" si="12"/>
        <v>1.4999999999999999E-2</v>
      </c>
      <c r="AQ38" s="110">
        <f t="shared" si="13"/>
        <v>1.4999999999999999E-2</v>
      </c>
      <c r="AR38" s="92">
        <f t="shared" si="8"/>
        <v>1.4999999999999999E-2</v>
      </c>
      <c r="AS38" s="86">
        <f t="shared" si="8"/>
        <v>1.4999999999999999E-2</v>
      </c>
      <c r="AT38" s="86">
        <f t="shared" si="8"/>
        <v>1.4999999999999999E-2</v>
      </c>
      <c r="AU38" s="86">
        <f t="shared" si="8"/>
        <v>1.4999999999999999E-2</v>
      </c>
      <c r="AV38" s="86">
        <f t="shared" si="8"/>
        <v>1.4999999999999999E-2</v>
      </c>
      <c r="AW38" s="86">
        <f t="shared" si="8"/>
        <v>1.4999999999999999E-2</v>
      </c>
      <c r="AX38" s="86">
        <f t="shared" si="8"/>
        <v>1.4999999999999999E-2</v>
      </c>
      <c r="AY38" s="87">
        <f t="shared" si="8"/>
        <v>1.4999999999999999E-2</v>
      </c>
      <c r="AZ38" s="72">
        <f t="shared" si="7"/>
        <v>1.4999999999999999E-2</v>
      </c>
      <c r="BA38" s="35">
        <v>20</v>
      </c>
    </row>
    <row r="39" spans="2:53" x14ac:dyDescent="0.25">
      <c r="B39" s="34">
        <v>21</v>
      </c>
      <c r="C39" s="72">
        <f t="shared" si="6"/>
        <v>1.4999999999999999E-2</v>
      </c>
      <c r="D39" s="74">
        <f t="shared" si="14"/>
        <v>1.4999999999999999E-2</v>
      </c>
      <c r="E39" s="75">
        <f t="shared" si="14"/>
        <v>1.4999999999999999E-2</v>
      </c>
      <c r="F39" s="75">
        <f t="shared" si="14"/>
        <v>1.4999999999999999E-2</v>
      </c>
      <c r="G39" s="75">
        <f t="shared" si="14"/>
        <v>1.4999999999999999E-2</v>
      </c>
      <c r="H39" s="75">
        <f t="shared" si="14"/>
        <v>1.4999999999999999E-2</v>
      </c>
      <c r="I39" s="75">
        <f t="shared" si="14"/>
        <v>1.4999999999999999E-2</v>
      </c>
      <c r="J39" s="75">
        <f t="shared" si="14"/>
        <v>1.4999999999999999E-2</v>
      </c>
      <c r="K39" s="75">
        <f t="shared" si="14"/>
        <v>1.4999999999999999E-2</v>
      </c>
      <c r="L39" s="109">
        <f t="shared" si="15"/>
        <v>1.4999999999999999E-2</v>
      </c>
      <c r="M39" s="83">
        <f t="shared" si="15"/>
        <v>1.4999999999999999E-2</v>
      </c>
      <c r="N39" s="83">
        <f t="shared" si="15"/>
        <v>1.4999999999999999E-2</v>
      </c>
      <c r="O39" s="83">
        <f t="shared" si="15"/>
        <v>1.4999999999999999E-2</v>
      </c>
      <c r="P39" s="150">
        <f t="shared" si="15"/>
        <v>1.4999999999999999E-2</v>
      </c>
      <c r="Q39" s="150">
        <f t="shared" si="15"/>
        <v>1.4999999999999999E-2</v>
      </c>
      <c r="R39" s="150">
        <f t="shared" si="15"/>
        <v>1.4999999999999999E-2</v>
      </c>
      <c r="S39" s="150">
        <f t="shared" si="15"/>
        <v>1.4999999999999999E-2</v>
      </c>
      <c r="T39" s="83">
        <f t="shared" si="15"/>
        <v>1.4999999999999999E-2</v>
      </c>
      <c r="U39" s="83">
        <f t="shared" si="15"/>
        <v>1.4999999999999999E-2</v>
      </c>
      <c r="V39" s="83">
        <f t="shared" si="15"/>
        <v>1.4999999999999999E-2</v>
      </c>
      <c r="W39" s="83">
        <f t="shared" si="15"/>
        <v>1.4999999999999999E-2</v>
      </c>
      <c r="X39" s="83">
        <f t="shared" si="11"/>
        <v>1.4999999999999999E-2</v>
      </c>
      <c r="Y39" s="83">
        <f t="shared" si="11"/>
        <v>1.4999999999999999E-2</v>
      </c>
      <c r="Z39" s="83">
        <f t="shared" si="11"/>
        <v>1.4999999999999999E-2</v>
      </c>
      <c r="AA39" s="83">
        <f t="shared" si="11"/>
        <v>1.4999999999999999E-2</v>
      </c>
      <c r="AB39" s="83">
        <f t="shared" si="11"/>
        <v>1.4999999999999999E-2</v>
      </c>
      <c r="AC39" s="83">
        <f t="shared" si="11"/>
        <v>1.4999999999999999E-2</v>
      </c>
      <c r="AD39" s="83">
        <f t="shared" si="11"/>
        <v>1.4999999999999999E-2</v>
      </c>
      <c r="AE39" s="83">
        <f t="shared" si="11"/>
        <v>1.4999999999999999E-2</v>
      </c>
      <c r="AF39" s="83">
        <f t="shared" si="11"/>
        <v>1.4999999999999999E-2</v>
      </c>
      <c r="AG39" s="83">
        <f t="shared" si="11"/>
        <v>1.4999999999999999E-2</v>
      </c>
      <c r="AH39" s="83">
        <f t="shared" si="12"/>
        <v>1.4999999999999999E-2</v>
      </c>
      <c r="AI39" s="83">
        <f t="shared" si="12"/>
        <v>1.4999999999999999E-2</v>
      </c>
      <c r="AJ39" s="83">
        <f t="shared" si="12"/>
        <v>1.4999999999999999E-2</v>
      </c>
      <c r="AK39" s="83">
        <f t="shared" si="12"/>
        <v>1.4999999999999999E-2</v>
      </c>
      <c r="AL39" s="83">
        <f t="shared" si="12"/>
        <v>1.4999999999999999E-2</v>
      </c>
      <c r="AM39" s="83">
        <f t="shared" si="12"/>
        <v>1.4999999999999999E-2</v>
      </c>
      <c r="AN39" s="83">
        <f t="shared" si="12"/>
        <v>1.4999999999999999E-2</v>
      </c>
      <c r="AO39" s="83">
        <f t="shared" si="12"/>
        <v>1.4999999999999999E-2</v>
      </c>
      <c r="AP39" s="83">
        <f t="shared" si="12"/>
        <v>1.4999999999999999E-2</v>
      </c>
      <c r="AQ39" s="110">
        <f t="shared" si="13"/>
        <v>1.4999999999999999E-2</v>
      </c>
      <c r="AR39" s="92">
        <f t="shared" ref="AR39:AY48" si="16">$F$8</f>
        <v>1.4999999999999999E-2</v>
      </c>
      <c r="AS39" s="86">
        <f t="shared" si="16"/>
        <v>1.4999999999999999E-2</v>
      </c>
      <c r="AT39" s="86">
        <f t="shared" si="16"/>
        <v>1.4999999999999999E-2</v>
      </c>
      <c r="AU39" s="86">
        <f t="shared" si="16"/>
        <v>1.4999999999999999E-2</v>
      </c>
      <c r="AV39" s="86">
        <f t="shared" si="16"/>
        <v>1.4999999999999999E-2</v>
      </c>
      <c r="AW39" s="86">
        <f t="shared" si="16"/>
        <v>1.4999999999999999E-2</v>
      </c>
      <c r="AX39" s="86">
        <f t="shared" si="16"/>
        <v>1.4999999999999999E-2</v>
      </c>
      <c r="AY39" s="87">
        <f t="shared" si="16"/>
        <v>1.4999999999999999E-2</v>
      </c>
      <c r="AZ39" s="72">
        <f t="shared" si="7"/>
        <v>1.4999999999999999E-2</v>
      </c>
      <c r="BA39" s="35">
        <v>21</v>
      </c>
    </row>
    <row r="40" spans="2:53" x14ac:dyDescent="0.25">
      <c r="B40" s="34">
        <v>22</v>
      </c>
      <c r="C40" s="72">
        <f t="shared" si="6"/>
        <v>1.4999999999999999E-2</v>
      </c>
      <c r="D40" s="74">
        <f t="shared" si="14"/>
        <v>1.4999999999999999E-2</v>
      </c>
      <c r="E40" s="75">
        <f t="shared" si="14"/>
        <v>1.4999999999999999E-2</v>
      </c>
      <c r="F40" s="75">
        <f t="shared" si="14"/>
        <v>1.4999999999999999E-2</v>
      </c>
      <c r="G40" s="75">
        <f t="shared" si="14"/>
        <v>1.4999999999999999E-2</v>
      </c>
      <c r="H40" s="75">
        <f t="shared" si="14"/>
        <v>1.4999999999999999E-2</v>
      </c>
      <c r="I40" s="75">
        <f t="shared" si="14"/>
        <v>1.4999999999999999E-2</v>
      </c>
      <c r="J40" s="75">
        <f t="shared" si="14"/>
        <v>1.4999999999999999E-2</v>
      </c>
      <c r="K40" s="75">
        <f t="shared" si="14"/>
        <v>1.4999999999999999E-2</v>
      </c>
      <c r="L40" s="109">
        <f t="shared" si="15"/>
        <v>1.4999999999999999E-2</v>
      </c>
      <c r="M40" s="83">
        <f t="shared" si="15"/>
        <v>1.4999999999999999E-2</v>
      </c>
      <c r="N40" s="83">
        <f t="shared" si="15"/>
        <v>1.4999999999999999E-2</v>
      </c>
      <c r="O40" s="83">
        <f t="shared" si="15"/>
        <v>1.4999999999999999E-2</v>
      </c>
      <c r="P40" s="150">
        <f t="shared" si="15"/>
        <v>1.4999999999999999E-2</v>
      </c>
      <c r="Q40" s="150">
        <f t="shared" si="15"/>
        <v>1.4999999999999999E-2</v>
      </c>
      <c r="R40" s="150">
        <f t="shared" si="15"/>
        <v>1.4999999999999999E-2</v>
      </c>
      <c r="S40" s="150">
        <f t="shared" si="15"/>
        <v>1.4999999999999999E-2</v>
      </c>
      <c r="T40" s="83">
        <f t="shared" si="15"/>
        <v>1.4999999999999999E-2</v>
      </c>
      <c r="U40" s="83">
        <f t="shared" si="15"/>
        <v>1.4999999999999999E-2</v>
      </c>
      <c r="V40" s="83">
        <f t="shared" si="15"/>
        <v>1.4999999999999999E-2</v>
      </c>
      <c r="W40" s="83">
        <f t="shared" si="15"/>
        <v>1.4999999999999999E-2</v>
      </c>
      <c r="X40" s="83">
        <f t="shared" si="11"/>
        <v>1.4999999999999999E-2</v>
      </c>
      <c r="Y40" s="83">
        <f t="shared" si="11"/>
        <v>1.4999999999999999E-2</v>
      </c>
      <c r="Z40" s="83">
        <f t="shared" si="11"/>
        <v>1.4999999999999999E-2</v>
      </c>
      <c r="AA40" s="83">
        <f t="shared" si="11"/>
        <v>1.4999999999999999E-2</v>
      </c>
      <c r="AB40" s="83">
        <f t="shared" si="11"/>
        <v>1.4999999999999999E-2</v>
      </c>
      <c r="AC40" s="83">
        <f t="shared" si="11"/>
        <v>1.4999999999999999E-2</v>
      </c>
      <c r="AD40" s="83">
        <f t="shared" si="11"/>
        <v>1.4999999999999999E-2</v>
      </c>
      <c r="AE40" s="83">
        <f t="shared" si="11"/>
        <v>1.4999999999999999E-2</v>
      </c>
      <c r="AF40" s="83">
        <f t="shared" si="11"/>
        <v>1.4999999999999999E-2</v>
      </c>
      <c r="AG40" s="83">
        <f t="shared" si="11"/>
        <v>1.4999999999999999E-2</v>
      </c>
      <c r="AH40" s="83">
        <f t="shared" si="12"/>
        <v>1.4999999999999999E-2</v>
      </c>
      <c r="AI40" s="83">
        <f t="shared" si="12"/>
        <v>1.4999999999999999E-2</v>
      </c>
      <c r="AJ40" s="83">
        <f t="shared" si="12"/>
        <v>1.4999999999999999E-2</v>
      </c>
      <c r="AK40" s="83">
        <f t="shared" si="12"/>
        <v>1.4999999999999999E-2</v>
      </c>
      <c r="AL40" s="83">
        <f t="shared" si="12"/>
        <v>1.4999999999999999E-2</v>
      </c>
      <c r="AM40" s="83">
        <f t="shared" si="12"/>
        <v>1.4999999999999999E-2</v>
      </c>
      <c r="AN40" s="83">
        <f t="shared" si="12"/>
        <v>1.4999999999999999E-2</v>
      </c>
      <c r="AO40" s="83">
        <f t="shared" si="12"/>
        <v>1.4999999999999999E-2</v>
      </c>
      <c r="AP40" s="83">
        <f t="shared" si="12"/>
        <v>1.4999999999999999E-2</v>
      </c>
      <c r="AQ40" s="83">
        <f t="shared" si="13"/>
        <v>1.4999999999999999E-2</v>
      </c>
      <c r="AR40" s="92">
        <f t="shared" si="16"/>
        <v>1.4999999999999999E-2</v>
      </c>
      <c r="AS40" s="86">
        <f t="shared" si="16"/>
        <v>1.4999999999999999E-2</v>
      </c>
      <c r="AT40" s="86">
        <f t="shared" si="16"/>
        <v>1.4999999999999999E-2</v>
      </c>
      <c r="AU40" s="86">
        <f t="shared" si="16"/>
        <v>1.4999999999999999E-2</v>
      </c>
      <c r="AV40" s="86">
        <f t="shared" si="16"/>
        <v>1.4999999999999999E-2</v>
      </c>
      <c r="AW40" s="86">
        <f t="shared" si="16"/>
        <v>1.4999999999999999E-2</v>
      </c>
      <c r="AX40" s="86">
        <f t="shared" si="16"/>
        <v>1.4999999999999999E-2</v>
      </c>
      <c r="AY40" s="87">
        <f t="shared" si="16"/>
        <v>1.4999999999999999E-2</v>
      </c>
      <c r="AZ40" s="72">
        <f t="shared" si="7"/>
        <v>1.4999999999999999E-2</v>
      </c>
      <c r="BA40" s="35">
        <v>22</v>
      </c>
    </row>
    <row r="41" spans="2:53" x14ac:dyDescent="0.25">
      <c r="B41" s="34">
        <v>23</v>
      </c>
      <c r="C41" s="72">
        <f t="shared" si="6"/>
        <v>1.4999999999999999E-2</v>
      </c>
      <c r="D41" s="74">
        <f t="shared" si="14"/>
        <v>1.4999999999999999E-2</v>
      </c>
      <c r="E41" s="75">
        <f t="shared" si="14"/>
        <v>1.4999999999999999E-2</v>
      </c>
      <c r="F41" s="75">
        <f t="shared" si="14"/>
        <v>1.4999999999999999E-2</v>
      </c>
      <c r="G41" s="75">
        <f t="shared" si="14"/>
        <v>1.4999999999999999E-2</v>
      </c>
      <c r="H41" s="75">
        <f t="shared" si="14"/>
        <v>1.4999999999999999E-2</v>
      </c>
      <c r="I41" s="75">
        <f t="shared" si="14"/>
        <v>1.4999999999999999E-2</v>
      </c>
      <c r="J41" s="75">
        <f t="shared" si="14"/>
        <v>1.4999999999999999E-2</v>
      </c>
      <c r="K41" s="75">
        <f t="shared" si="14"/>
        <v>1.4999999999999999E-2</v>
      </c>
      <c r="L41" s="109">
        <f t="shared" si="15"/>
        <v>1.4999999999999999E-2</v>
      </c>
      <c r="M41" s="83">
        <f t="shared" si="15"/>
        <v>1.4999999999999999E-2</v>
      </c>
      <c r="N41" s="83">
        <f t="shared" si="15"/>
        <v>1.4999999999999999E-2</v>
      </c>
      <c r="O41" s="83">
        <f t="shared" si="15"/>
        <v>1.4999999999999999E-2</v>
      </c>
      <c r="P41" s="150">
        <f t="shared" si="15"/>
        <v>1.4999999999999999E-2</v>
      </c>
      <c r="Q41" s="150">
        <f t="shared" si="15"/>
        <v>1.4999999999999999E-2</v>
      </c>
      <c r="R41" s="150">
        <f t="shared" si="15"/>
        <v>1.4999999999999999E-2</v>
      </c>
      <c r="S41" s="150">
        <f t="shared" si="15"/>
        <v>1.4999999999999999E-2</v>
      </c>
      <c r="T41" s="83">
        <f t="shared" si="15"/>
        <v>1.4999999999999999E-2</v>
      </c>
      <c r="U41" s="83">
        <f t="shared" si="15"/>
        <v>1.4999999999999999E-2</v>
      </c>
      <c r="V41" s="83">
        <f t="shared" si="15"/>
        <v>1.4999999999999999E-2</v>
      </c>
      <c r="W41" s="83">
        <f t="shared" si="15"/>
        <v>1.4999999999999999E-2</v>
      </c>
      <c r="X41" s="83">
        <f t="shared" si="11"/>
        <v>1.4999999999999999E-2</v>
      </c>
      <c r="Y41" s="83">
        <f t="shared" si="11"/>
        <v>1.4999999999999999E-2</v>
      </c>
      <c r="Z41" s="83">
        <f t="shared" si="11"/>
        <v>1.4999999999999999E-2</v>
      </c>
      <c r="AA41" s="83">
        <f t="shared" si="11"/>
        <v>1.4999999999999999E-2</v>
      </c>
      <c r="AB41" s="83">
        <f t="shared" si="11"/>
        <v>1.4999999999999999E-2</v>
      </c>
      <c r="AC41" s="83">
        <f t="shared" si="11"/>
        <v>1.4999999999999999E-2</v>
      </c>
      <c r="AD41" s="83">
        <f t="shared" si="11"/>
        <v>1.4999999999999999E-2</v>
      </c>
      <c r="AE41" s="83">
        <f t="shared" si="11"/>
        <v>1.4999999999999999E-2</v>
      </c>
      <c r="AF41" s="83">
        <f t="shared" si="11"/>
        <v>1.4999999999999999E-2</v>
      </c>
      <c r="AG41" s="83">
        <f t="shared" si="11"/>
        <v>1.4999999999999999E-2</v>
      </c>
      <c r="AH41" s="83">
        <f t="shared" si="12"/>
        <v>1.4999999999999999E-2</v>
      </c>
      <c r="AI41" s="83">
        <f t="shared" si="12"/>
        <v>1.4999999999999999E-2</v>
      </c>
      <c r="AJ41" s="83">
        <f t="shared" si="12"/>
        <v>1.4999999999999999E-2</v>
      </c>
      <c r="AK41" s="83">
        <f t="shared" si="12"/>
        <v>1.4999999999999999E-2</v>
      </c>
      <c r="AL41" s="83">
        <f t="shared" si="12"/>
        <v>1.4999999999999999E-2</v>
      </c>
      <c r="AM41" s="83">
        <f t="shared" si="12"/>
        <v>1.4999999999999999E-2</v>
      </c>
      <c r="AN41" s="83">
        <f t="shared" si="12"/>
        <v>1.4999999999999999E-2</v>
      </c>
      <c r="AO41" s="83">
        <f t="shared" si="12"/>
        <v>1.4999999999999999E-2</v>
      </c>
      <c r="AP41" s="83">
        <f t="shared" si="12"/>
        <v>1.4999999999999999E-2</v>
      </c>
      <c r="AQ41" s="83">
        <f t="shared" si="13"/>
        <v>1.4999999999999999E-2</v>
      </c>
      <c r="AR41" s="92">
        <f t="shared" si="16"/>
        <v>1.4999999999999999E-2</v>
      </c>
      <c r="AS41" s="86">
        <f t="shared" si="16"/>
        <v>1.4999999999999999E-2</v>
      </c>
      <c r="AT41" s="86">
        <f t="shared" si="16"/>
        <v>1.4999999999999999E-2</v>
      </c>
      <c r="AU41" s="86">
        <f t="shared" si="16"/>
        <v>1.4999999999999999E-2</v>
      </c>
      <c r="AV41" s="86">
        <f t="shared" si="16"/>
        <v>1.4999999999999999E-2</v>
      </c>
      <c r="AW41" s="86">
        <f t="shared" si="16"/>
        <v>1.4999999999999999E-2</v>
      </c>
      <c r="AX41" s="86">
        <f t="shared" si="16"/>
        <v>1.4999999999999999E-2</v>
      </c>
      <c r="AY41" s="87">
        <f t="shared" si="16"/>
        <v>1.4999999999999999E-2</v>
      </c>
      <c r="AZ41" s="72">
        <f t="shared" si="7"/>
        <v>1.4999999999999999E-2</v>
      </c>
      <c r="BA41" s="35">
        <v>23</v>
      </c>
    </row>
    <row r="42" spans="2:53" x14ac:dyDescent="0.25">
      <c r="B42" s="34">
        <v>24</v>
      </c>
      <c r="C42" s="72">
        <f t="shared" si="6"/>
        <v>1.4999999999999999E-2</v>
      </c>
      <c r="D42" s="74">
        <f t="shared" si="14"/>
        <v>1.4999999999999999E-2</v>
      </c>
      <c r="E42" s="75">
        <f t="shared" si="14"/>
        <v>1.4999999999999999E-2</v>
      </c>
      <c r="F42" s="75">
        <f t="shared" si="14"/>
        <v>1.4999999999999999E-2</v>
      </c>
      <c r="G42" s="75">
        <f t="shared" si="14"/>
        <v>1.4999999999999999E-2</v>
      </c>
      <c r="H42" s="75">
        <f t="shared" si="14"/>
        <v>1.4999999999999999E-2</v>
      </c>
      <c r="I42" s="75">
        <f t="shared" si="14"/>
        <v>1.4999999999999999E-2</v>
      </c>
      <c r="J42" s="75">
        <f t="shared" si="14"/>
        <v>1.4999999999999999E-2</v>
      </c>
      <c r="K42" s="75">
        <f t="shared" si="14"/>
        <v>1.4999999999999999E-2</v>
      </c>
      <c r="L42" s="109">
        <f t="shared" si="15"/>
        <v>1.4999999999999999E-2</v>
      </c>
      <c r="M42" s="83">
        <f t="shared" si="15"/>
        <v>1.4999999999999999E-2</v>
      </c>
      <c r="N42" s="83">
        <f t="shared" si="15"/>
        <v>1.4999999999999999E-2</v>
      </c>
      <c r="O42" s="83">
        <f t="shared" si="15"/>
        <v>1.4999999999999999E-2</v>
      </c>
      <c r="P42" s="83">
        <f t="shared" si="15"/>
        <v>1.4999999999999999E-2</v>
      </c>
      <c r="Q42" s="83">
        <f t="shared" si="15"/>
        <v>1.4999999999999999E-2</v>
      </c>
      <c r="R42" s="83">
        <f t="shared" si="15"/>
        <v>1.4999999999999999E-2</v>
      </c>
      <c r="S42" s="83">
        <f t="shared" si="15"/>
        <v>1.4999999999999999E-2</v>
      </c>
      <c r="T42" s="83">
        <f t="shared" si="15"/>
        <v>1.4999999999999999E-2</v>
      </c>
      <c r="U42" s="83">
        <f t="shared" si="15"/>
        <v>1.4999999999999999E-2</v>
      </c>
      <c r="V42" s="83">
        <f t="shared" si="15"/>
        <v>1.4999999999999999E-2</v>
      </c>
      <c r="W42" s="83">
        <f t="shared" si="15"/>
        <v>1.4999999999999999E-2</v>
      </c>
      <c r="X42" s="83">
        <f t="shared" ref="X42:AG50" si="17">$F$6</f>
        <v>1.4999999999999999E-2</v>
      </c>
      <c r="Y42" s="83">
        <f t="shared" si="17"/>
        <v>1.4999999999999999E-2</v>
      </c>
      <c r="Z42" s="83">
        <f t="shared" si="17"/>
        <v>1.4999999999999999E-2</v>
      </c>
      <c r="AA42" s="83">
        <f t="shared" si="17"/>
        <v>1.4999999999999999E-2</v>
      </c>
      <c r="AB42" s="83">
        <f t="shared" si="17"/>
        <v>1.4999999999999999E-2</v>
      </c>
      <c r="AC42" s="83">
        <f t="shared" si="17"/>
        <v>1.4999999999999999E-2</v>
      </c>
      <c r="AD42" s="83">
        <f t="shared" si="17"/>
        <v>1.4999999999999999E-2</v>
      </c>
      <c r="AE42" s="83">
        <f t="shared" si="17"/>
        <v>1.4999999999999999E-2</v>
      </c>
      <c r="AF42" s="83">
        <f t="shared" si="17"/>
        <v>1.4999999999999999E-2</v>
      </c>
      <c r="AG42" s="83">
        <f t="shared" si="17"/>
        <v>1.4999999999999999E-2</v>
      </c>
      <c r="AH42" s="83">
        <f t="shared" ref="AH42:AP50" si="18">$F$6</f>
        <v>1.4999999999999999E-2</v>
      </c>
      <c r="AI42" s="83">
        <f t="shared" si="18"/>
        <v>1.4999999999999999E-2</v>
      </c>
      <c r="AJ42" s="83">
        <f t="shared" si="18"/>
        <v>1.4999999999999999E-2</v>
      </c>
      <c r="AK42" s="83">
        <f t="shared" si="18"/>
        <v>1.4999999999999999E-2</v>
      </c>
      <c r="AL42" s="83">
        <f t="shared" si="18"/>
        <v>1.4999999999999999E-2</v>
      </c>
      <c r="AM42" s="83">
        <f t="shared" si="18"/>
        <v>1.4999999999999999E-2</v>
      </c>
      <c r="AN42" s="83">
        <f t="shared" si="18"/>
        <v>1.4999999999999999E-2</v>
      </c>
      <c r="AO42" s="83">
        <f t="shared" si="18"/>
        <v>1.4999999999999999E-2</v>
      </c>
      <c r="AP42" s="83">
        <f t="shared" si="18"/>
        <v>1.4999999999999999E-2</v>
      </c>
      <c r="AQ42" s="83">
        <f t="shared" ref="AQ42:AQ50" si="19">$F$6</f>
        <v>1.4999999999999999E-2</v>
      </c>
      <c r="AR42" s="92">
        <f t="shared" si="16"/>
        <v>1.4999999999999999E-2</v>
      </c>
      <c r="AS42" s="86">
        <f t="shared" si="16"/>
        <v>1.4999999999999999E-2</v>
      </c>
      <c r="AT42" s="86">
        <f t="shared" si="16"/>
        <v>1.4999999999999999E-2</v>
      </c>
      <c r="AU42" s="86">
        <f t="shared" si="16"/>
        <v>1.4999999999999999E-2</v>
      </c>
      <c r="AV42" s="86">
        <f t="shared" si="16"/>
        <v>1.4999999999999999E-2</v>
      </c>
      <c r="AW42" s="86">
        <f t="shared" si="16"/>
        <v>1.4999999999999999E-2</v>
      </c>
      <c r="AX42" s="86">
        <f t="shared" si="16"/>
        <v>1.4999999999999999E-2</v>
      </c>
      <c r="AY42" s="87">
        <f t="shared" si="16"/>
        <v>1.4999999999999999E-2</v>
      </c>
      <c r="AZ42" s="72">
        <f t="shared" si="7"/>
        <v>1.4999999999999999E-2</v>
      </c>
      <c r="BA42" s="35">
        <v>24</v>
      </c>
    </row>
    <row r="43" spans="2:53" x14ac:dyDescent="0.25">
      <c r="B43" s="34">
        <v>25</v>
      </c>
      <c r="C43" s="72">
        <f t="shared" si="6"/>
        <v>1.4999999999999999E-2</v>
      </c>
      <c r="D43" s="74">
        <f t="shared" si="14"/>
        <v>1.4999999999999999E-2</v>
      </c>
      <c r="E43" s="75">
        <f t="shared" si="14"/>
        <v>1.4999999999999999E-2</v>
      </c>
      <c r="F43" s="75">
        <f t="shared" si="14"/>
        <v>1.4999999999999999E-2</v>
      </c>
      <c r="G43" s="75">
        <f t="shared" si="14"/>
        <v>1.4999999999999999E-2</v>
      </c>
      <c r="H43" s="75">
        <f t="shared" si="14"/>
        <v>1.4999999999999999E-2</v>
      </c>
      <c r="I43" s="75">
        <f t="shared" si="14"/>
        <v>1.4999999999999999E-2</v>
      </c>
      <c r="J43" s="75">
        <f t="shared" si="14"/>
        <v>1.4999999999999999E-2</v>
      </c>
      <c r="K43" s="75">
        <f t="shared" si="14"/>
        <v>1.4999999999999999E-2</v>
      </c>
      <c r="L43" s="109">
        <f t="shared" si="15"/>
        <v>1.4999999999999999E-2</v>
      </c>
      <c r="M43" s="83">
        <f t="shared" si="15"/>
        <v>1.4999999999999999E-2</v>
      </c>
      <c r="N43" s="83">
        <f t="shared" si="15"/>
        <v>1.4999999999999999E-2</v>
      </c>
      <c r="O43" s="83">
        <f t="shared" si="15"/>
        <v>1.4999999999999999E-2</v>
      </c>
      <c r="P43" s="83">
        <f t="shared" si="15"/>
        <v>1.4999999999999999E-2</v>
      </c>
      <c r="Q43" s="83">
        <f t="shared" si="15"/>
        <v>1.4999999999999999E-2</v>
      </c>
      <c r="R43" s="83">
        <f t="shared" si="15"/>
        <v>1.4999999999999999E-2</v>
      </c>
      <c r="S43" s="83">
        <f t="shared" si="15"/>
        <v>1.4999999999999999E-2</v>
      </c>
      <c r="T43" s="83">
        <f t="shared" si="15"/>
        <v>1.4999999999999999E-2</v>
      </c>
      <c r="U43" s="83">
        <f t="shared" si="15"/>
        <v>1.4999999999999999E-2</v>
      </c>
      <c r="V43" s="83">
        <f t="shared" si="15"/>
        <v>1.4999999999999999E-2</v>
      </c>
      <c r="W43" s="83">
        <f t="shared" si="15"/>
        <v>1.4999999999999999E-2</v>
      </c>
      <c r="X43" s="83">
        <f t="shared" si="17"/>
        <v>1.4999999999999999E-2</v>
      </c>
      <c r="Y43" s="83">
        <f t="shared" si="17"/>
        <v>1.4999999999999999E-2</v>
      </c>
      <c r="Z43" s="83">
        <f t="shared" si="17"/>
        <v>1.4999999999999999E-2</v>
      </c>
      <c r="AA43" s="83">
        <f t="shared" si="17"/>
        <v>1.4999999999999999E-2</v>
      </c>
      <c r="AB43" s="83">
        <f t="shared" si="17"/>
        <v>1.4999999999999999E-2</v>
      </c>
      <c r="AC43" s="83">
        <f t="shared" si="17"/>
        <v>1.4999999999999999E-2</v>
      </c>
      <c r="AD43" s="83">
        <f t="shared" si="17"/>
        <v>1.4999999999999999E-2</v>
      </c>
      <c r="AE43" s="83">
        <f t="shared" si="17"/>
        <v>1.4999999999999999E-2</v>
      </c>
      <c r="AF43" s="83">
        <f t="shared" si="17"/>
        <v>1.4999999999999999E-2</v>
      </c>
      <c r="AG43" s="83">
        <f t="shared" si="17"/>
        <v>1.4999999999999999E-2</v>
      </c>
      <c r="AH43" s="83">
        <f t="shared" si="18"/>
        <v>1.4999999999999999E-2</v>
      </c>
      <c r="AI43" s="83">
        <f t="shared" si="18"/>
        <v>1.4999999999999999E-2</v>
      </c>
      <c r="AJ43" s="83">
        <f t="shared" si="18"/>
        <v>1.4999999999999999E-2</v>
      </c>
      <c r="AK43" s="83">
        <f t="shared" si="18"/>
        <v>1.4999999999999999E-2</v>
      </c>
      <c r="AL43" s="83">
        <f t="shared" si="18"/>
        <v>1.4999999999999999E-2</v>
      </c>
      <c r="AM43" s="83">
        <f t="shared" si="18"/>
        <v>1.4999999999999999E-2</v>
      </c>
      <c r="AN43" s="83">
        <f t="shared" si="18"/>
        <v>1.4999999999999999E-2</v>
      </c>
      <c r="AO43" s="83">
        <f t="shared" si="18"/>
        <v>1.4999999999999999E-2</v>
      </c>
      <c r="AP43" s="83">
        <f t="shared" si="18"/>
        <v>1.4999999999999999E-2</v>
      </c>
      <c r="AQ43" s="83">
        <f t="shared" si="19"/>
        <v>1.4999999999999999E-2</v>
      </c>
      <c r="AR43" s="92">
        <f t="shared" si="16"/>
        <v>1.4999999999999999E-2</v>
      </c>
      <c r="AS43" s="86">
        <f t="shared" si="16"/>
        <v>1.4999999999999999E-2</v>
      </c>
      <c r="AT43" s="86">
        <f t="shared" si="16"/>
        <v>1.4999999999999999E-2</v>
      </c>
      <c r="AU43" s="86">
        <f t="shared" si="16"/>
        <v>1.4999999999999999E-2</v>
      </c>
      <c r="AV43" s="86">
        <f t="shared" si="16"/>
        <v>1.4999999999999999E-2</v>
      </c>
      <c r="AW43" s="86">
        <f t="shared" si="16"/>
        <v>1.4999999999999999E-2</v>
      </c>
      <c r="AX43" s="86">
        <f t="shared" si="16"/>
        <v>1.4999999999999999E-2</v>
      </c>
      <c r="AY43" s="87">
        <f t="shared" si="16"/>
        <v>1.4999999999999999E-2</v>
      </c>
      <c r="AZ43" s="72">
        <f t="shared" si="7"/>
        <v>1.4999999999999999E-2</v>
      </c>
      <c r="BA43" s="35">
        <v>25</v>
      </c>
    </row>
    <row r="44" spans="2:53" x14ac:dyDescent="0.25">
      <c r="B44" s="34">
        <v>26</v>
      </c>
      <c r="C44" s="72">
        <f t="shared" si="6"/>
        <v>1.4999999999999999E-2</v>
      </c>
      <c r="D44" s="74">
        <f t="shared" si="14"/>
        <v>1.4999999999999999E-2</v>
      </c>
      <c r="E44" s="75">
        <f t="shared" si="14"/>
        <v>1.4999999999999999E-2</v>
      </c>
      <c r="F44" s="75">
        <f t="shared" si="14"/>
        <v>1.4999999999999999E-2</v>
      </c>
      <c r="G44" s="75">
        <f t="shared" si="14"/>
        <v>1.4999999999999999E-2</v>
      </c>
      <c r="H44" s="75">
        <f t="shared" si="14"/>
        <v>1.4999999999999999E-2</v>
      </c>
      <c r="I44" s="75">
        <f t="shared" si="14"/>
        <v>1.4999999999999999E-2</v>
      </c>
      <c r="J44" s="75">
        <f t="shared" si="14"/>
        <v>1.4999999999999999E-2</v>
      </c>
      <c r="K44" s="75">
        <f t="shared" si="14"/>
        <v>1.4999999999999999E-2</v>
      </c>
      <c r="L44" s="109">
        <f t="shared" si="15"/>
        <v>1.4999999999999999E-2</v>
      </c>
      <c r="M44" s="83">
        <f t="shared" si="15"/>
        <v>1.4999999999999999E-2</v>
      </c>
      <c r="N44" s="83">
        <f t="shared" si="15"/>
        <v>1.4999999999999999E-2</v>
      </c>
      <c r="O44" s="83">
        <f t="shared" si="15"/>
        <v>1.4999999999999999E-2</v>
      </c>
      <c r="P44" s="83">
        <f t="shared" si="15"/>
        <v>1.4999999999999999E-2</v>
      </c>
      <c r="Q44" s="83">
        <f t="shared" si="15"/>
        <v>1.4999999999999999E-2</v>
      </c>
      <c r="R44" s="83">
        <f t="shared" si="15"/>
        <v>1.4999999999999999E-2</v>
      </c>
      <c r="S44" s="83">
        <f t="shared" si="15"/>
        <v>1.4999999999999999E-2</v>
      </c>
      <c r="T44" s="83">
        <f t="shared" si="15"/>
        <v>1.4999999999999999E-2</v>
      </c>
      <c r="U44" s="83">
        <f t="shared" si="15"/>
        <v>1.4999999999999999E-2</v>
      </c>
      <c r="V44" s="83">
        <f t="shared" si="15"/>
        <v>1.4999999999999999E-2</v>
      </c>
      <c r="W44" s="83">
        <f t="shared" si="15"/>
        <v>1.4999999999999999E-2</v>
      </c>
      <c r="X44" s="83">
        <f t="shared" si="17"/>
        <v>1.4999999999999999E-2</v>
      </c>
      <c r="Y44" s="83">
        <f t="shared" si="17"/>
        <v>1.4999999999999999E-2</v>
      </c>
      <c r="Z44" s="83">
        <f t="shared" si="17"/>
        <v>1.4999999999999999E-2</v>
      </c>
      <c r="AA44" s="83">
        <f t="shared" si="17"/>
        <v>1.4999999999999999E-2</v>
      </c>
      <c r="AB44" s="83">
        <f t="shared" si="17"/>
        <v>1.4999999999999999E-2</v>
      </c>
      <c r="AC44" s="83">
        <f t="shared" si="17"/>
        <v>1.4999999999999999E-2</v>
      </c>
      <c r="AD44" s="83">
        <f t="shared" si="17"/>
        <v>1.4999999999999999E-2</v>
      </c>
      <c r="AE44" s="83">
        <f t="shared" si="17"/>
        <v>1.4999999999999999E-2</v>
      </c>
      <c r="AF44" s="83">
        <f t="shared" si="17"/>
        <v>1.4999999999999999E-2</v>
      </c>
      <c r="AG44" s="83">
        <f t="shared" si="17"/>
        <v>1.4999999999999999E-2</v>
      </c>
      <c r="AH44" s="83">
        <f t="shared" si="18"/>
        <v>1.4999999999999999E-2</v>
      </c>
      <c r="AI44" s="83">
        <f t="shared" si="18"/>
        <v>1.4999999999999999E-2</v>
      </c>
      <c r="AJ44" s="83">
        <f t="shared" si="18"/>
        <v>1.4999999999999999E-2</v>
      </c>
      <c r="AK44" s="83">
        <f t="shared" si="18"/>
        <v>1.4999999999999999E-2</v>
      </c>
      <c r="AL44" s="83">
        <f t="shared" si="18"/>
        <v>1.4999999999999999E-2</v>
      </c>
      <c r="AM44" s="83">
        <f t="shared" si="18"/>
        <v>1.4999999999999999E-2</v>
      </c>
      <c r="AN44" s="83">
        <f t="shared" si="18"/>
        <v>1.4999999999999999E-2</v>
      </c>
      <c r="AO44" s="83">
        <f t="shared" si="18"/>
        <v>1.4999999999999999E-2</v>
      </c>
      <c r="AP44" s="83">
        <f t="shared" si="18"/>
        <v>1.4999999999999999E-2</v>
      </c>
      <c r="AQ44" s="83">
        <f t="shared" si="19"/>
        <v>1.4999999999999999E-2</v>
      </c>
      <c r="AR44" s="92">
        <f t="shared" si="16"/>
        <v>1.4999999999999999E-2</v>
      </c>
      <c r="AS44" s="86">
        <f t="shared" si="16"/>
        <v>1.4999999999999999E-2</v>
      </c>
      <c r="AT44" s="86">
        <f t="shared" si="16"/>
        <v>1.4999999999999999E-2</v>
      </c>
      <c r="AU44" s="86">
        <f t="shared" si="16"/>
        <v>1.4999999999999999E-2</v>
      </c>
      <c r="AV44" s="86">
        <f t="shared" si="16"/>
        <v>1.4999999999999999E-2</v>
      </c>
      <c r="AW44" s="86">
        <f t="shared" si="16"/>
        <v>1.4999999999999999E-2</v>
      </c>
      <c r="AX44" s="86">
        <f t="shared" si="16"/>
        <v>1.4999999999999999E-2</v>
      </c>
      <c r="AY44" s="87">
        <f t="shared" si="16"/>
        <v>1.4999999999999999E-2</v>
      </c>
      <c r="AZ44" s="72">
        <f t="shared" si="7"/>
        <v>1.4999999999999999E-2</v>
      </c>
      <c r="BA44" s="35">
        <v>26</v>
      </c>
    </row>
    <row r="45" spans="2:53" x14ac:dyDescent="0.25">
      <c r="B45" s="34">
        <v>27</v>
      </c>
      <c r="C45" s="72">
        <f t="shared" si="6"/>
        <v>1.4999999999999999E-2</v>
      </c>
      <c r="D45" s="74">
        <f t="shared" si="14"/>
        <v>1.4999999999999999E-2</v>
      </c>
      <c r="E45" s="75">
        <f t="shared" si="14"/>
        <v>1.4999999999999999E-2</v>
      </c>
      <c r="F45" s="75">
        <f t="shared" si="14"/>
        <v>1.4999999999999999E-2</v>
      </c>
      <c r="G45" s="75">
        <f t="shared" si="14"/>
        <v>1.4999999999999999E-2</v>
      </c>
      <c r="H45" s="75">
        <f t="shared" si="14"/>
        <v>1.4999999999999999E-2</v>
      </c>
      <c r="I45" s="75">
        <f t="shared" si="14"/>
        <v>1.4999999999999999E-2</v>
      </c>
      <c r="J45" s="75">
        <f t="shared" si="14"/>
        <v>1.4999999999999999E-2</v>
      </c>
      <c r="K45" s="75">
        <f t="shared" si="14"/>
        <v>1.4999999999999999E-2</v>
      </c>
      <c r="L45" s="109">
        <f t="shared" si="15"/>
        <v>1.4999999999999999E-2</v>
      </c>
      <c r="M45" s="83">
        <f t="shared" si="15"/>
        <v>1.4999999999999999E-2</v>
      </c>
      <c r="N45" s="83">
        <f t="shared" si="15"/>
        <v>1.4999999999999999E-2</v>
      </c>
      <c r="O45" s="83">
        <f t="shared" si="15"/>
        <v>1.4999999999999999E-2</v>
      </c>
      <c r="P45" s="83">
        <f t="shared" si="15"/>
        <v>1.4999999999999999E-2</v>
      </c>
      <c r="Q45" s="83">
        <f t="shared" si="15"/>
        <v>1.4999999999999999E-2</v>
      </c>
      <c r="R45" s="83">
        <f t="shared" si="15"/>
        <v>1.4999999999999999E-2</v>
      </c>
      <c r="S45" s="83">
        <f t="shared" si="15"/>
        <v>1.4999999999999999E-2</v>
      </c>
      <c r="T45" s="83">
        <f t="shared" si="15"/>
        <v>1.4999999999999999E-2</v>
      </c>
      <c r="U45" s="83">
        <f t="shared" si="15"/>
        <v>1.4999999999999999E-2</v>
      </c>
      <c r="V45" s="83">
        <f t="shared" si="15"/>
        <v>1.4999999999999999E-2</v>
      </c>
      <c r="W45" s="83">
        <f t="shared" si="15"/>
        <v>1.4999999999999999E-2</v>
      </c>
      <c r="X45" s="83">
        <f t="shared" si="17"/>
        <v>1.4999999999999999E-2</v>
      </c>
      <c r="Y45" s="83">
        <f t="shared" si="17"/>
        <v>1.4999999999999999E-2</v>
      </c>
      <c r="Z45" s="83">
        <f t="shared" si="17"/>
        <v>1.4999999999999999E-2</v>
      </c>
      <c r="AA45" s="83">
        <f t="shared" si="17"/>
        <v>1.4999999999999999E-2</v>
      </c>
      <c r="AB45" s="83">
        <f t="shared" si="17"/>
        <v>1.4999999999999999E-2</v>
      </c>
      <c r="AC45" s="83">
        <f t="shared" si="17"/>
        <v>1.4999999999999999E-2</v>
      </c>
      <c r="AD45" s="83">
        <f t="shared" si="17"/>
        <v>1.4999999999999999E-2</v>
      </c>
      <c r="AE45" s="83">
        <f t="shared" si="17"/>
        <v>1.4999999999999999E-2</v>
      </c>
      <c r="AF45" s="83">
        <f t="shared" si="17"/>
        <v>1.4999999999999999E-2</v>
      </c>
      <c r="AG45" s="83">
        <f t="shared" si="17"/>
        <v>1.4999999999999999E-2</v>
      </c>
      <c r="AH45" s="83">
        <f t="shared" si="18"/>
        <v>1.4999999999999999E-2</v>
      </c>
      <c r="AI45" s="83">
        <f t="shared" si="18"/>
        <v>1.4999999999999999E-2</v>
      </c>
      <c r="AJ45" s="83">
        <f t="shared" si="18"/>
        <v>1.4999999999999999E-2</v>
      </c>
      <c r="AK45" s="83">
        <f t="shared" si="18"/>
        <v>1.4999999999999999E-2</v>
      </c>
      <c r="AL45" s="83">
        <f t="shared" si="18"/>
        <v>1.4999999999999999E-2</v>
      </c>
      <c r="AM45" s="83">
        <f t="shared" si="18"/>
        <v>1.4999999999999999E-2</v>
      </c>
      <c r="AN45" s="83">
        <f t="shared" si="18"/>
        <v>1.4999999999999999E-2</v>
      </c>
      <c r="AO45" s="83">
        <f t="shared" si="18"/>
        <v>1.4999999999999999E-2</v>
      </c>
      <c r="AP45" s="83">
        <f t="shared" si="18"/>
        <v>1.4999999999999999E-2</v>
      </c>
      <c r="AQ45" s="83">
        <f t="shared" si="19"/>
        <v>1.4999999999999999E-2</v>
      </c>
      <c r="AR45" s="92">
        <f t="shared" si="16"/>
        <v>1.4999999999999999E-2</v>
      </c>
      <c r="AS45" s="86">
        <f t="shared" si="16"/>
        <v>1.4999999999999999E-2</v>
      </c>
      <c r="AT45" s="86">
        <f t="shared" si="16"/>
        <v>1.4999999999999999E-2</v>
      </c>
      <c r="AU45" s="86">
        <f t="shared" si="16"/>
        <v>1.4999999999999999E-2</v>
      </c>
      <c r="AV45" s="86">
        <f t="shared" si="16"/>
        <v>1.4999999999999999E-2</v>
      </c>
      <c r="AW45" s="86">
        <f t="shared" si="16"/>
        <v>1.4999999999999999E-2</v>
      </c>
      <c r="AX45" s="86">
        <f t="shared" si="16"/>
        <v>1.4999999999999999E-2</v>
      </c>
      <c r="AY45" s="87">
        <f t="shared" si="16"/>
        <v>1.4999999999999999E-2</v>
      </c>
      <c r="AZ45" s="72">
        <f t="shared" si="7"/>
        <v>1.4999999999999999E-2</v>
      </c>
      <c r="BA45" s="35">
        <v>27</v>
      </c>
    </row>
    <row r="46" spans="2:53" x14ac:dyDescent="0.25">
      <c r="B46" s="34">
        <v>28</v>
      </c>
      <c r="C46" s="72">
        <f t="shared" si="6"/>
        <v>1.4999999999999999E-2</v>
      </c>
      <c r="D46" s="74">
        <f t="shared" si="14"/>
        <v>1.4999999999999999E-2</v>
      </c>
      <c r="E46" s="75">
        <f t="shared" si="14"/>
        <v>1.4999999999999999E-2</v>
      </c>
      <c r="F46" s="75">
        <f t="shared" si="14"/>
        <v>1.4999999999999999E-2</v>
      </c>
      <c r="G46" s="75">
        <f t="shared" si="14"/>
        <v>1.4999999999999999E-2</v>
      </c>
      <c r="H46" s="75">
        <f t="shared" si="14"/>
        <v>1.4999999999999999E-2</v>
      </c>
      <c r="I46" s="75">
        <f t="shared" si="14"/>
        <v>1.4999999999999999E-2</v>
      </c>
      <c r="J46" s="75">
        <f t="shared" si="14"/>
        <v>1.4999999999999999E-2</v>
      </c>
      <c r="K46" s="75">
        <f t="shared" si="14"/>
        <v>1.4999999999999999E-2</v>
      </c>
      <c r="L46" s="109">
        <f t="shared" si="15"/>
        <v>1.4999999999999999E-2</v>
      </c>
      <c r="M46" s="83">
        <f t="shared" si="15"/>
        <v>1.4999999999999999E-2</v>
      </c>
      <c r="N46" s="83">
        <f t="shared" si="15"/>
        <v>1.4999999999999999E-2</v>
      </c>
      <c r="O46" s="83">
        <f t="shared" si="15"/>
        <v>1.4999999999999999E-2</v>
      </c>
      <c r="P46" s="83">
        <f t="shared" si="15"/>
        <v>1.4999999999999999E-2</v>
      </c>
      <c r="Q46" s="83">
        <f t="shared" si="15"/>
        <v>1.4999999999999999E-2</v>
      </c>
      <c r="R46" s="83">
        <f t="shared" si="15"/>
        <v>1.4999999999999999E-2</v>
      </c>
      <c r="S46" s="83">
        <f t="shared" si="15"/>
        <v>1.4999999999999999E-2</v>
      </c>
      <c r="T46" s="83">
        <f t="shared" si="15"/>
        <v>1.4999999999999999E-2</v>
      </c>
      <c r="U46" s="83">
        <f t="shared" si="15"/>
        <v>1.4999999999999999E-2</v>
      </c>
      <c r="V46" s="83">
        <f t="shared" si="15"/>
        <v>1.4999999999999999E-2</v>
      </c>
      <c r="W46" s="83">
        <f t="shared" si="15"/>
        <v>1.4999999999999999E-2</v>
      </c>
      <c r="X46" s="83">
        <f t="shared" si="17"/>
        <v>1.4999999999999999E-2</v>
      </c>
      <c r="Y46" s="83">
        <f t="shared" si="17"/>
        <v>1.4999999999999999E-2</v>
      </c>
      <c r="Z46" s="83">
        <f t="shared" si="17"/>
        <v>1.4999999999999999E-2</v>
      </c>
      <c r="AA46" s="83">
        <f t="shared" si="17"/>
        <v>1.4999999999999999E-2</v>
      </c>
      <c r="AB46" s="83">
        <f t="shared" si="17"/>
        <v>1.4999999999999999E-2</v>
      </c>
      <c r="AC46" s="83">
        <f t="shared" si="17"/>
        <v>1.4999999999999999E-2</v>
      </c>
      <c r="AD46" s="83">
        <f t="shared" si="17"/>
        <v>1.4999999999999999E-2</v>
      </c>
      <c r="AE46" s="83">
        <f t="shared" si="17"/>
        <v>1.4999999999999999E-2</v>
      </c>
      <c r="AF46" s="83">
        <f t="shared" si="17"/>
        <v>1.4999999999999999E-2</v>
      </c>
      <c r="AG46" s="83">
        <f t="shared" si="17"/>
        <v>1.4999999999999999E-2</v>
      </c>
      <c r="AH46" s="83">
        <f t="shared" si="18"/>
        <v>1.4999999999999999E-2</v>
      </c>
      <c r="AI46" s="83">
        <f t="shared" si="18"/>
        <v>1.4999999999999999E-2</v>
      </c>
      <c r="AJ46" s="83">
        <f t="shared" si="18"/>
        <v>1.4999999999999999E-2</v>
      </c>
      <c r="AK46" s="83">
        <f t="shared" si="18"/>
        <v>1.4999999999999999E-2</v>
      </c>
      <c r="AL46" s="83">
        <f t="shared" si="18"/>
        <v>1.4999999999999999E-2</v>
      </c>
      <c r="AM46" s="83">
        <f t="shared" si="18"/>
        <v>1.4999999999999999E-2</v>
      </c>
      <c r="AN46" s="83">
        <f t="shared" si="18"/>
        <v>1.4999999999999999E-2</v>
      </c>
      <c r="AO46" s="83">
        <f t="shared" si="18"/>
        <v>1.4999999999999999E-2</v>
      </c>
      <c r="AP46" s="83">
        <f t="shared" si="18"/>
        <v>1.4999999999999999E-2</v>
      </c>
      <c r="AQ46" s="83">
        <f t="shared" si="19"/>
        <v>1.4999999999999999E-2</v>
      </c>
      <c r="AR46" s="92">
        <f t="shared" si="16"/>
        <v>1.4999999999999999E-2</v>
      </c>
      <c r="AS46" s="86">
        <f t="shared" si="16"/>
        <v>1.4999999999999999E-2</v>
      </c>
      <c r="AT46" s="86">
        <f t="shared" si="16"/>
        <v>1.4999999999999999E-2</v>
      </c>
      <c r="AU46" s="86">
        <f t="shared" si="16"/>
        <v>1.4999999999999999E-2</v>
      </c>
      <c r="AV46" s="86">
        <f t="shared" si="16"/>
        <v>1.4999999999999999E-2</v>
      </c>
      <c r="AW46" s="86">
        <f t="shared" si="16"/>
        <v>1.4999999999999999E-2</v>
      </c>
      <c r="AX46" s="86">
        <f t="shared" si="16"/>
        <v>1.4999999999999999E-2</v>
      </c>
      <c r="AY46" s="87">
        <f t="shared" si="16"/>
        <v>1.4999999999999999E-2</v>
      </c>
      <c r="AZ46" s="72">
        <f t="shared" si="7"/>
        <v>1.4999999999999999E-2</v>
      </c>
      <c r="BA46" s="35">
        <v>28</v>
      </c>
    </row>
    <row r="47" spans="2:53" x14ac:dyDescent="0.25">
      <c r="B47" s="34">
        <v>29</v>
      </c>
      <c r="C47" s="72">
        <f t="shared" si="6"/>
        <v>1.4999999999999999E-2</v>
      </c>
      <c r="D47" s="74">
        <f t="shared" si="14"/>
        <v>1.4999999999999999E-2</v>
      </c>
      <c r="E47" s="75">
        <f t="shared" si="14"/>
        <v>1.4999999999999999E-2</v>
      </c>
      <c r="F47" s="75">
        <f t="shared" si="14"/>
        <v>1.4999999999999999E-2</v>
      </c>
      <c r="G47" s="75">
        <f t="shared" si="14"/>
        <v>1.4999999999999999E-2</v>
      </c>
      <c r="H47" s="75">
        <f t="shared" si="14"/>
        <v>1.4999999999999999E-2</v>
      </c>
      <c r="I47" s="75">
        <f t="shared" si="14"/>
        <v>1.4999999999999999E-2</v>
      </c>
      <c r="J47" s="75">
        <f t="shared" si="14"/>
        <v>1.4999999999999999E-2</v>
      </c>
      <c r="K47" s="75">
        <f t="shared" si="14"/>
        <v>1.4999999999999999E-2</v>
      </c>
      <c r="L47" s="109">
        <f t="shared" si="15"/>
        <v>1.4999999999999999E-2</v>
      </c>
      <c r="M47" s="83">
        <f t="shared" si="15"/>
        <v>1.4999999999999999E-2</v>
      </c>
      <c r="N47" s="83">
        <f t="shared" si="15"/>
        <v>1.4999999999999999E-2</v>
      </c>
      <c r="O47" s="83">
        <f t="shared" si="15"/>
        <v>1.4999999999999999E-2</v>
      </c>
      <c r="P47" s="83">
        <f t="shared" si="15"/>
        <v>1.4999999999999999E-2</v>
      </c>
      <c r="Q47" s="83">
        <f t="shared" si="15"/>
        <v>1.4999999999999999E-2</v>
      </c>
      <c r="R47" s="83">
        <f t="shared" si="15"/>
        <v>1.4999999999999999E-2</v>
      </c>
      <c r="S47" s="83">
        <f t="shared" si="15"/>
        <v>1.4999999999999999E-2</v>
      </c>
      <c r="T47" s="83">
        <f t="shared" si="15"/>
        <v>1.4999999999999999E-2</v>
      </c>
      <c r="U47" s="83">
        <f t="shared" si="15"/>
        <v>1.4999999999999999E-2</v>
      </c>
      <c r="V47" s="83">
        <f t="shared" si="15"/>
        <v>1.4999999999999999E-2</v>
      </c>
      <c r="W47" s="83">
        <f t="shared" si="15"/>
        <v>1.4999999999999999E-2</v>
      </c>
      <c r="X47" s="83">
        <f t="shared" si="17"/>
        <v>1.4999999999999999E-2</v>
      </c>
      <c r="Y47" s="83">
        <f t="shared" si="17"/>
        <v>1.4999999999999999E-2</v>
      </c>
      <c r="Z47" s="83">
        <f t="shared" si="17"/>
        <v>1.4999999999999999E-2</v>
      </c>
      <c r="AA47" s="83">
        <f t="shared" si="17"/>
        <v>1.4999999999999999E-2</v>
      </c>
      <c r="AB47" s="83">
        <f t="shared" si="17"/>
        <v>1.4999999999999999E-2</v>
      </c>
      <c r="AC47" s="83">
        <f t="shared" si="17"/>
        <v>1.4999999999999999E-2</v>
      </c>
      <c r="AD47" s="83">
        <f t="shared" si="17"/>
        <v>1.4999999999999999E-2</v>
      </c>
      <c r="AE47" s="83">
        <f t="shared" si="17"/>
        <v>1.4999999999999999E-2</v>
      </c>
      <c r="AF47" s="83">
        <f t="shared" si="17"/>
        <v>1.4999999999999999E-2</v>
      </c>
      <c r="AG47" s="83">
        <f t="shared" si="17"/>
        <v>1.4999999999999999E-2</v>
      </c>
      <c r="AH47" s="83">
        <f t="shared" si="18"/>
        <v>1.4999999999999999E-2</v>
      </c>
      <c r="AI47" s="83">
        <f t="shared" si="18"/>
        <v>1.4999999999999999E-2</v>
      </c>
      <c r="AJ47" s="83">
        <f t="shared" si="18"/>
        <v>1.4999999999999999E-2</v>
      </c>
      <c r="AK47" s="83">
        <f t="shared" si="18"/>
        <v>1.4999999999999999E-2</v>
      </c>
      <c r="AL47" s="83">
        <f t="shared" si="18"/>
        <v>1.4999999999999999E-2</v>
      </c>
      <c r="AM47" s="83">
        <f t="shared" si="18"/>
        <v>1.4999999999999999E-2</v>
      </c>
      <c r="AN47" s="83">
        <f t="shared" si="18"/>
        <v>1.4999999999999999E-2</v>
      </c>
      <c r="AO47" s="83">
        <f t="shared" si="18"/>
        <v>1.4999999999999999E-2</v>
      </c>
      <c r="AP47" s="83">
        <f t="shared" si="18"/>
        <v>1.4999999999999999E-2</v>
      </c>
      <c r="AQ47" s="83">
        <f t="shared" si="19"/>
        <v>1.4999999999999999E-2</v>
      </c>
      <c r="AR47" s="92">
        <f t="shared" si="16"/>
        <v>1.4999999999999999E-2</v>
      </c>
      <c r="AS47" s="86">
        <f t="shared" si="16"/>
        <v>1.4999999999999999E-2</v>
      </c>
      <c r="AT47" s="86">
        <f t="shared" si="16"/>
        <v>1.4999999999999999E-2</v>
      </c>
      <c r="AU47" s="86">
        <f t="shared" si="16"/>
        <v>1.4999999999999999E-2</v>
      </c>
      <c r="AV47" s="86">
        <f t="shared" si="16"/>
        <v>1.4999999999999999E-2</v>
      </c>
      <c r="AW47" s="86">
        <f t="shared" si="16"/>
        <v>1.4999999999999999E-2</v>
      </c>
      <c r="AX47" s="86">
        <f t="shared" si="16"/>
        <v>1.4999999999999999E-2</v>
      </c>
      <c r="AY47" s="87">
        <f t="shared" si="16"/>
        <v>1.4999999999999999E-2</v>
      </c>
      <c r="AZ47" s="72">
        <f t="shared" si="7"/>
        <v>1.4999999999999999E-2</v>
      </c>
      <c r="BA47" s="35">
        <v>29</v>
      </c>
    </row>
    <row r="48" spans="2:53" x14ac:dyDescent="0.25">
      <c r="B48" s="34">
        <v>30</v>
      </c>
      <c r="C48" s="72">
        <f t="shared" si="6"/>
        <v>1.4999999999999999E-2</v>
      </c>
      <c r="D48" s="74">
        <f t="shared" ref="D48:K50" si="20">$F$5</f>
        <v>1.4999999999999999E-2</v>
      </c>
      <c r="E48" s="75">
        <f t="shared" si="20"/>
        <v>1.4999999999999999E-2</v>
      </c>
      <c r="F48" s="75">
        <f t="shared" si="20"/>
        <v>1.4999999999999999E-2</v>
      </c>
      <c r="G48" s="75">
        <f t="shared" si="20"/>
        <v>1.4999999999999999E-2</v>
      </c>
      <c r="H48" s="75">
        <f t="shared" si="20"/>
        <v>1.4999999999999999E-2</v>
      </c>
      <c r="I48" s="75">
        <f t="shared" si="20"/>
        <v>1.4999999999999999E-2</v>
      </c>
      <c r="J48" s="75">
        <f t="shared" si="20"/>
        <v>1.4999999999999999E-2</v>
      </c>
      <c r="K48" s="75">
        <f t="shared" si="20"/>
        <v>1.4999999999999999E-2</v>
      </c>
      <c r="L48" s="109">
        <f t="shared" ref="L48:W50" si="21">$F$6</f>
        <v>1.4999999999999999E-2</v>
      </c>
      <c r="M48" s="83">
        <f t="shared" si="21"/>
        <v>1.4999999999999999E-2</v>
      </c>
      <c r="N48" s="83">
        <f t="shared" si="21"/>
        <v>1.4999999999999999E-2</v>
      </c>
      <c r="O48" s="83">
        <f t="shared" si="21"/>
        <v>1.4999999999999999E-2</v>
      </c>
      <c r="P48" s="83">
        <f t="shared" si="21"/>
        <v>1.4999999999999999E-2</v>
      </c>
      <c r="Q48" s="83">
        <f t="shared" si="21"/>
        <v>1.4999999999999999E-2</v>
      </c>
      <c r="R48" s="83">
        <f t="shared" si="21"/>
        <v>1.4999999999999999E-2</v>
      </c>
      <c r="S48" s="83">
        <f t="shared" si="21"/>
        <v>1.4999999999999999E-2</v>
      </c>
      <c r="T48" s="83">
        <f t="shared" si="21"/>
        <v>1.4999999999999999E-2</v>
      </c>
      <c r="U48" s="83">
        <f t="shared" si="21"/>
        <v>1.4999999999999999E-2</v>
      </c>
      <c r="V48" s="83">
        <f t="shared" si="21"/>
        <v>1.4999999999999999E-2</v>
      </c>
      <c r="W48" s="83">
        <f t="shared" si="21"/>
        <v>1.4999999999999999E-2</v>
      </c>
      <c r="X48" s="83">
        <f t="shared" si="17"/>
        <v>1.4999999999999999E-2</v>
      </c>
      <c r="Y48" s="83">
        <f t="shared" si="17"/>
        <v>1.4999999999999999E-2</v>
      </c>
      <c r="Z48" s="83">
        <f t="shared" si="17"/>
        <v>1.4999999999999999E-2</v>
      </c>
      <c r="AA48" s="83">
        <f t="shared" si="17"/>
        <v>1.4999999999999999E-2</v>
      </c>
      <c r="AB48" s="83">
        <f t="shared" si="17"/>
        <v>1.4999999999999999E-2</v>
      </c>
      <c r="AC48" s="83">
        <f t="shared" si="17"/>
        <v>1.4999999999999999E-2</v>
      </c>
      <c r="AD48" s="83">
        <f t="shared" si="17"/>
        <v>1.4999999999999999E-2</v>
      </c>
      <c r="AE48" s="83">
        <f t="shared" si="17"/>
        <v>1.4999999999999999E-2</v>
      </c>
      <c r="AF48" s="83">
        <f t="shared" si="17"/>
        <v>1.4999999999999999E-2</v>
      </c>
      <c r="AG48" s="83">
        <f t="shared" si="17"/>
        <v>1.4999999999999999E-2</v>
      </c>
      <c r="AH48" s="83">
        <f t="shared" si="18"/>
        <v>1.4999999999999999E-2</v>
      </c>
      <c r="AI48" s="83">
        <f t="shared" si="18"/>
        <v>1.4999999999999999E-2</v>
      </c>
      <c r="AJ48" s="83">
        <f t="shared" si="18"/>
        <v>1.4999999999999999E-2</v>
      </c>
      <c r="AK48" s="83">
        <f t="shared" si="18"/>
        <v>1.4999999999999999E-2</v>
      </c>
      <c r="AL48" s="83">
        <f t="shared" si="18"/>
        <v>1.4999999999999999E-2</v>
      </c>
      <c r="AM48" s="83">
        <f t="shared" si="18"/>
        <v>1.4999999999999999E-2</v>
      </c>
      <c r="AN48" s="83">
        <f t="shared" si="18"/>
        <v>1.4999999999999999E-2</v>
      </c>
      <c r="AO48" s="83">
        <f t="shared" si="18"/>
        <v>1.4999999999999999E-2</v>
      </c>
      <c r="AP48" s="83">
        <f t="shared" si="18"/>
        <v>1.4999999999999999E-2</v>
      </c>
      <c r="AQ48" s="83">
        <f t="shared" si="19"/>
        <v>1.4999999999999999E-2</v>
      </c>
      <c r="AR48" s="92">
        <f t="shared" si="16"/>
        <v>1.4999999999999999E-2</v>
      </c>
      <c r="AS48" s="86">
        <f t="shared" si="16"/>
        <v>1.4999999999999999E-2</v>
      </c>
      <c r="AT48" s="86">
        <f t="shared" si="16"/>
        <v>1.4999999999999999E-2</v>
      </c>
      <c r="AU48" s="86">
        <f t="shared" si="16"/>
        <v>1.4999999999999999E-2</v>
      </c>
      <c r="AV48" s="86">
        <f t="shared" si="16"/>
        <v>1.4999999999999999E-2</v>
      </c>
      <c r="AW48" s="86">
        <f t="shared" si="16"/>
        <v>1.4999999999999999E-2</v>
      </c>
      <c r="AX48" s="86">
        <f t="shared" si="16"/>
        <v>1.4999999999999999E-2</v>
      </c>
      <c r="AY48" s="87">
        <f t="shared" si="16"/>
        <v>1.4999999999999999E-2</v>
      </c>
      <c r="AZ48" s="72">
        <f t="shared" si="7"/>
        <v>1.4999999999999999E-2</v>
      </c>
      <c r="BA48" s="35">
        <v>30</v>
      </c>
    </row>
    <row r="49" spans="2:53" x14ac:dyDescent="0.25">
      <c r="B49" s="34">
        <v>31</v>
      </c>
      <c r="C49" s="72">
        <f t="shared" si="6"/>
        <v>1.4999999999999999E-2</v>
      </c>
      <c r="D49" s="74">
        <f t="shared" si="20"/>
        <v>1.4999999999999999E-2</v>
      </c>
      <c r="E49" s="75">
        <f t="shared" si="20"/>
        <v>1.4999999999999999E-2</v>
      </c>
      <c r="F49" s="75">
        <f t="shared" si="20"/>
        <v>1.4999999999999999E-2</v>
      </c>
      <c r="G49" s="75">
        <f t="shared" si="20"/>
        <v>1.4999999999999999E-2</v>
      </c>
      <c r="H49" s="75">
        <f t="shared" si="20"/>
        <v>1.4999999999999999E-2</v>
      </c>
      <c r="I49" s="75">
        <f t="shared" si="20"/>
        <v>1.4999999999999999E-2</v>
      </c>
      <c r="J49" s="75">
        <f t="shared" si="20"/>
        <v>1.4999999999999999E-2</v>
      </c>
      <c r="K49" s="75">
        <f t="shared" si="20"/>
        <v>1.4999999999999999E-2</v>
      </c>
      <c r="L49" s="109">
        <f t="shared" si="21"/>
        <v>1.4999999999999999E-2</v>
      </c>
      <c r="M49" s="83">
        <f t="shared" si="21"/>
        <v>1.4999999999999999E-2</v>
      </c>
      <c r="N49" s="83">
        <f t="shared" si="21"/>
        <v>1.4999999999999999E-2</v>
      </c>
      <c r="O49" s="83">
        <f t="shared" si="21"/>
        <v>1.4999999999999999E-2</v>
      </c>
      <c r="P49" s="83">
        <f t="shared" si="21"/>
        <v>1.4999999999999999E-2</v>
      </c>
      <c r="Q49" s="83">
        <f t="shared" si="21"/>
        <v>1.4999999999999999E-2</v>
      </c>
      <c r="R49" s="83">
        <f t="shared" si="21"/>
        <v>1.4999999999999999E-2</v>
      </c>
      <c r="S49" s="83">
        <f t="shared" si="21"/>
        <v>1.4999999999999999E-2</v>
      </c>
      <c r="T49" s="83">
        <f t="shared" si="21"/>
        <v>1.4999999999999999E-2</v>
      </c>
      <c r="U49" s="83">
        <f t="shared" si="21"/>
        <v>1.4999999999999999E-2</v>
      </c>
      <c r="V49" s="83">
        <f t="shared" si="21"/>
        <v>1.4999999999999999E-2</v>
      </c>
      <c r="W49" s="83">
        <f t="shared" si="21"/>
        <v>1.4999999999999999E-2</v>
      </c>
      <c r="X49" s="83">
        <f t="shared" si="17"/>
        <v>1.4999999999999999E-2</v>
      </c>
      <c r="Y49" s="83">
        <f t="shared" si="17"/>
        <v>1.4999999999999999E-2</v>
      </c>
      <c r="Z49" s="83">
        <f t="shared" si="17"/>
        <v>1.4999999999999999E-2</v>
      </c>
      <c r="AA49" s="83">
        <f t="shared" si="17"/>
        <v>1.4999999999999999E-2</v>
      </c>
      <c r="AB49" s="83">
        <f t="shared" si="17"/>
        <v>1.4999999999999999E-2</v>
      </c>
      <c r="AC49" s="83">
        <f t="shared" si="17"/>
        <v>1.4999999999999999E-2</v>
      </c>
      <c r="AD49" s="83">
        <f t="shared" si="17"/>
        <v>1.4999999999999999E-2</v>
      </c>
      <c r="AE49" s="83">
        <f t="shared" si="17"/>
        <v>1.4999999999999999E-2</v>
      </c>
      <c r="AF49" s="83">
        <f t="shared" si="17"/>
        <v>1.4999999999999999E-2</v>
      </c>
      <c r="AG49" s="83">
        <f t="shared" si="17"/>
        <v>1.4999999999999999E-2</v>
      </c>
      <c r="AH49" s="83">
        <f t="shared" si="18"/>
        <v>1.4999999999999999E-2</v>
      </c>
      <c r="AI49" s="83">
        <f t="shared" si="18"/>
        <v>1.4999999999999999E-2</v>
      </c>
      <c r="AJ49" s="83">
        <f t="shared" si="18"/>
        <v>1.4999999999999999E-2</v>
      </c>
      <c r="AK49" s="83">
        <f t="shared" si="18"/>
        <v>1.4999999999999999E-2</v>
      </c>
      <c r="AL49" s="83">
        <f t="shared" si="18"/>
        <v>1.4999999999999999E-2</v>
      </c>
      <c r="AM49" s="83">
        <f t="shared" si="18"/>
        <v>1.4999999999999999E-2</v>
      </c>
      <c r="AN49" s="83">
        <f t="shared" si="18"/>
        <v>1.4999999999999999E-2</v>
      </c>
      <c r="AO49" s="83">
        <f t="shared" si="18"/>
        <v>1.4999999999999999E-2</v>
      </c>
      <c r="AP49" s="83">
        <f t="shared" si="18"/>
        <v>1.4999999999999999E-2</v>
      </c>
      <c r="AQ49" s="83">
        <f t="shared" si="19"/>
        <v>1.4999999999999999E-2</v>
      </c>
      <c r="AR49" s="92">
        <f t="shared" ref="AR49:AY58" si="22">$F$8</f>
        <v>1.4999999999999999E-2</v>
      </c>
      <c r="AS49" s="86">
        <f t="shared" si="22"/>
        <v>1.4999999999999999E-2</v>
      </c>
      <c r="AT49" s="86">
        <f t="shared" si="22"/>
        <v>1.4999999999999999E-2</v>
      </c>
      <c r="AU49" s="86">
        <f t="shared" si="22"/>
        <v>1.4999999999999999E-2</v>
      </c>
      <c r="AV49" s="86">
        <f t="shared" si="22"/>
        <v>1.4999999999999999E-2</v>
      </c>
      <c r="AW49" s="86">
        <f t="shared" si="22"/>
        <v>1.4999999999999999E-2</v>
      </c>
      <c r="AX49" s="86">
        <f t="shared" si="22"/>
        <v>1.4999999999999999E-2</v>
      </c>
      <c r="AY49" s="87">
        <f t="shared" si="22"/>
        <v>1.4999999999999999E-2</v>
      </c>
      <c r="AZ49" s="72">
        <f t="shared" si="7"/>
        <v>1.4999999999999999E-2</v>
      </c>
      <c r="BA49" s="35">
        <v>31</v>
      </c>
    </row>
    <row r="50" spans="2:53" x14ac:dyDescent="0.25">
      <c r="B50" s="34">
        <v>32</v>
      </c>
      <c r="C50" s="72">
        <f t="shared" si="6"/>
        <v>1.4999999999999999E-2</v>
      </c>
      <c r="D50" s="74">
        <f t="shared" si="20"/>
        <v>1.4999999999999999E-2</v>
      </c>
      <c r="E50" s="75">
        <f t="shared" si="20"/>
        <v>1.4999999999999999E-2</v>
      </c>
      <c r="F50" s="75">
        <f t="shared" si="20"/>
        <v>1.4999999999999999E-2</v>
      </c>
      <c r="G50" s="75">
        <f t="shared" si="20"/>
        <v>1.4999999999999999E-2</v>
      </c>
      <c r="H50" s="75">
        <f t="shared" si="20"/>
        <v>1.4999999999999999E-2</v>
      </c>
      <c r="I50" s="75">
        <f t="shared" si="20"/>
        <v>1.4999999999999999E-2</v>
      </c>
      <c r="J50" s="75">
        <f t="shared" si="20"/>
        <v>1.4999999999999999E-2</v>
      </c>
      <c r="K50" s="75">
        <f t="shared" si="20"/>
        <v>1.4999999999999999E-2</v>
      </c>
      <c r="L50" s="109">
        <f t="shared" si="21"/>
        <v>1.4999999999999999E-2</v>
      </c>
      <c r="M50" s="83">
        <f t="shared" si="21"/>
        <v>1.4999999999999999E-2</v>
      </c>
      <c r="N50" s="83">
        <f t="shared" si="21"/>
        <v>1.4999999999999999E-2</v>
      </c>
      <c r="O50" s="83">
        <f t="shared" si="21"/>
        <v>1.4999999999999999E-2</v>
      </c>
      <c r="P50" s="83">
        <f t="shared" si="21"/>
        <v>1.4999999999999999E-2</v>
      </c>
      <c r="Q50" s="83">
        <f t="shared" si="21"/>
        <v>1.4999999999999999E-2</v>
      </c>
      <c r="R50" s="83">
        <f t="shared" si="21"/>
        <v>1.4999999999999999E-2</v>
      </c>
      <c r="S50" s="83">
        <f t="shared" si="21"/>
        <v>1.4999999999999999E-2</v>
      </c>
      <c r="T50" s="83">
        <f t="shared" si="21"/>
        <v>1.4999999999999999E-2</v>
      </c>
      <c r="U50" s="83">
        <f t="shared" si="21"/>
        <v>1.4999999999999999E-2</v>
      </c>
      <c r="V50" s="83">
        <f t="shared" si="21"/>
        <v>1.4999999999999999E-2</v>
      </c>
      <c r="W50" s="83">
        <f t="shared" si="21"/>
        <v>1.4999999999999999E-2</v>
      </c>
      <c r="X50" s="83">
        <f t="shared" si="17"/>
        <v>1.4999999999999999E-2</v>
      </c>
      <c r="Y50" s="83">
        <f t="shared" si="17"/>
        <v>1.4999999999999999E-2</v>
      </c>
      <c r="Z50" s="83">
        <f t="shared" si="17"/>
        <v>1.4999999999999999E-2</v>
      </c>
      <c r="AA50" s="83">
        <f t="shared" si="17"/>
        <v>1.4999999999999999E-2</v>
      </c>
      <c r="AB50" s="83">
        <f t="shared" si="17"/>
        <v>1.4999999999999999E-2</v>
      </c>
      <c r="AC50" s="83">
        <f t="shared" si="17"/>
        <v>1.4999999999999999E-2</v>
      </c>
      <c r="AD50" s="83">
        <f t="shared" si="17"/>
        <v>1.4999999999999999E-2</v>
      </c>
      <c r="AE50" s="83">
        <f t="shared" si="17"/>
        <v>1.4999999999999999E-2</v>
      </c>
      <c r="AF50" s="83">
        <f t="shared" si="17"/>
        <v>1.4999999999999999E-2</v>
      </c>
      <c r="AG50" s="83">
        <f t="shared" si="17"/>
        <v>1.4999999999999999E-2</v>
      </c>
      <c r="AH50" s="83">
        <f t="shared" si="18"/>
        <v>1.4999999999999999E-2</v>
      </c>
      <c r="AI50" s="83">
        <f t="shared" si="18"/>
        <v>1.4999999999999999E-2</v>
      </c>
      <c r="AJ50" s="83">
        <f t="shared" si="18"/>
        <v>1.4999999999999999E-2</v>
      </c>
      <c r="AK50" s="83">
        <f t="shared" si="18"/>
        <v>1.4999999999999999E-2</v>
      </c>
      <c r="AL50" s="83">
        <f t="shared" si="18"/>
        <v>1.4999999999999999E-2</v>
      </c>
      <c r="AM50" s="83">
        <f t="shared" si="18"/>
        <v>1.4999999999999999E-2</v>
      </c>
      <c r="AN50" s="83">
        <f t="shared" si="18"/>
        <v>1.4999999999999999E-2</v>
      </c>
      <c r="AO50" s="83">
        <f t="shared" si="18"/>
        <v>1.4999999999999999E-2</v>
      </c>
      <c r="AP50" s="83">
        <f t="shared" si="18"/>
        <v>1.4999999999999999E-2</v>
      </c>
      <c r="AQ50" s="83">
        <f t="shared" si="19"/>
        <v>1.4999999999999999E-2</v>
      </c>
      <c r="AR50" s="92">
        <f t="shared" si="22"/>
        <v>1.4999999999999999E-2</v>
      </c>
      <c r="AS50" s="86">
        <f t="shared" si="22"/>
        <v>1.4999999999999999E-2</v>
      </c>
      <c r="AT50" s="86">
        <f t="shared" si="22"/>
        <v>1.4999999999999999E-2</v>
      </c>
      <c r="AU50" s="86">
        <f t="shared" si="22"/>
        <v>1.4999999999999999E-2</v>
      </c>
      <c r="AV50" s="86">
        <f t="shared" si="22"/>
        <v>1.4999999999999999E-2</v>
      </c>
      <c r="AW50" s="86">
        <f t="shared" si="22"/>
        <v>1.4999999999999999E-2</v>
      </c>
      <c r="AX50" s="86">
        <f t="shared" si="22"/>
        <v>1.4999999999999999E-2</v>
      </c>
      <c r="AY50" s="87">
        <f t="shared" si="22"/>
        <v>1.4999999999999999E-2</v>
      </c>
      <c r="AZ50" s="72">
        <f t="shared" si="7"/>
        <v>1.4999999999999999E-2</v>
      </c>
      <c r="BA50" s="35">
        <v>32</v>
      </c>
    </row>
    <row r="51" spans="2:53" x14ac:dyDescent="0.25">
      <c r="B51" s="34">
        <v>33</v>
      </c>
      <c r="C51" s="72">
        <f t="shared" si="6"/>
        <v>1.4999999999999999E-2</v>
      </c>
      <c r="D51" s="95">
        <f t="shared" ref="D51:S55" si="23">$F$7</f>
        <v>1E-3</v>
      </c>
      <c r="E51" s="96">
        <f t="shared" si="23"/>
        <v>1E-3</v>
      </c>
      <c r="F51" s="96">
        <f t="shared" si="23"/>
        <v>1E-3</v>
      </c>
      <c r="G51" s="96">
        <f t="shared" si="23"/>
        <v>1E-3</v>
      </c>
      <c r="H51" s="96">
        <f t="shared" si="23"/>
        <v>1E-3</v>
      </c>
      <c r="I51" s="96">
        <f t="shared" si="23"/>
        <v>1E-3</v>
      </c>
      <c r="J51" s="96">
        <f t="shared" si="23"/>
        <v>1E-3</v>
      </c>
      <c r="K51" s="96">
        <f t="shared" si="23"/>
        <v>1E-3</v>
      </c>
      <c r="L51" s="96">
        <f t="shared" si="23"/>
        <v>1E-3</v>
      </c>
      <c r="M51" s="96">
        <f t="shared" si="23"/>
        <v>1E-3</v>
      </c>
      <c r="N51" s="96">
        <f t="shared" si="23"/>
        <v>1E-3</v>
      </c>
      <c r="O51" s="96">
        <f t="shared" si="23"/>
        <v>1E-3</v>
      </c>
      <c r="P51" s="96">
        <f t="shared" si="23"/>
        <v>1E-3</v>
      </c>
      <c r="Q51" s="96">
        <f t="shared" si="23"/>
        <v>1E-3</v>
      </c>
      <c r="R51" s="96">
        <f t="shared" si="23"/>
        <v>1E-3</v>
      </c>
      <c r="S51" s="96">
        <f t="shared" si="23"/>
        <v>1E-3</v>
      </c>
      <c r="T51" s="96">
        <f t="shared" ref="T51:AI55" si="24">$F$7</f>
        <v>1E-3</v>
      </c>
      <c r="U51" s="96">
        <f t="shared" si="24"/>
        <v>1E-3</v>
      </c>
      <c r="V51" s="96">
        <f t="shared" si="24"/>
        <v>1E-3</v>
      </c>
      <c r="W51" s="96">
        <f t="shared" si="24"/>
        <v>1E-3</v>
      </c>
      <c r="X51" s="96">
        <f t="shared" si="24"/>
        <v>1E-3</v>
      </c>
      <c r="Y51" s="96">
        <f t="shared" si="24"/>
        <v>1E-3</v>
      </c>
      <c r="Z51" s="96">
        <f t="shared" si="24"/>
        <v>1E-3</v>
      </c>
      <c r="AA51" s="96">
        <f t="shared" si="24"/>
        <v>1E-3</v>
      </c>
      <c r="AB51" s="96">
        <f t="shared" si="24"/>
        <v>1E-3</v>
      </c>
      <c r="AC51" s="96">
        <f t="shared" si="24"/>
        <v>1E-3</v>
      </c>
      <c r="AD51" s="96">
        <f t="shared" si="24"/>
        <v>1E-3</v>
      </c>
      <c r="AE51" s="96">
        <f t="shared" si="24"/>
        <v>1E-3</v>
      </c>
      <c r="AF51" s="96">
        <f t="shared" si="24"/>
        <v>1E-3</v>
      </c>
      <c r="AG51" s="96">
        <f t="shared" si="24"/>
        <v>1E-3</v>
      </c>
      <c r="AH51" s="96">
        <f t="shared" si="24"/>
        <v>1E-3</v>
      </c>
      <c r="AI51" s="96">
        <f t="shared" si="24"/>
        <v>1E-3</v>
      </c>
      <c r="AJ51" s="96">
        <f t="shared" ref="AH51:AQ55" si="25">$F$7</f>
        <v>1E-3</v>
      </c>
      <c r="AK51" s="96">
        <f t="shared" si="25"/>
        <v>1E-3</v>
      </c>
      <c r="AL51" s="96">
        <f t="shared" si="25"/>
        <v>1E-3</v>
      </c>
      <c r="AM51" s="96">
        <f t="shared" si="25"/>
        <v>1E-3</v>
      </c>
      <c r="AN51" s="96">
        <f t="shared" si="25"/>
        <v>1E-3</v>
      </c>
      <c r="AO51" s="96">
        <f t="shared" si="25"/>
        <v>1E-3</v>
      </c>
      <c r="AP51" s="96">
        <f t="shared" si="25"/>
        <v>1E-3</v>
      </c>
      <c r="AQ51" s="97">
        <f t="shared" si="25"/>
        <v>1E-3</v>
      </c>
      <c r="AR51" s="92">
        <f t="shared" si="22"/>
        <v>1.4999999999999999E-2</v>
      </c>
      <c r="AS51" s="86">
        <f t="shared" si="22"/>
        <v>1.4999999999999999E-2</v>
      </c>
      <c r="AT51" s="86">
        <f t="shared" si="22"/>
        <v>1.4999999999999999E-2</v>
      </c>
      <c r="AU51" s="86">
        <f t="shared" si="22"/>
        <v>1.4999999999999999E-2</v>
      </c>
      <c r="AV51" s="86">
        <f t="shared" si="22"/>
        <v>1.4999999999999999E-2</v>
      </c>
      <c r="AW51" s="86">
        <f t="shared" si="22"/>
        <v>1.4999999999999999E-2</v>
      </c>
      <c r="AX51" s="86">
        <f t="shared" si="22"/>
        <v>1.4999999999999999E-2</v>
      </c>
      <c r="AY51" s="87">
        <f t="shared" si="22"/>
        <v>1.4999999999999999E-2</v>
      </c>
      <c r="AZ51" s="72">
        <f t="shared" si="7"/>
        <v>1.4999999999999999E-2</v>
      </c>
      <c r="BA51" s="35">
        <v>33</v>
      </c>
    </row>
    <row r="52" spans="2:53" x14ac:dyDescent="0.25">
      <c r="B52" s="34">
        <v>34</v>
      </c>
      <c r="C52" s="72">
        <f t="shared" si="6"/>
        <v>1.4999999999999999E-2</v>
      </c>
      <c r="D52" s="77">
        <f t="shared" si="23"/>
        <v>1E-3</v>
      </c>
      <c r="E52" s="78">
        <f t="shared" si="23"/>
        <v>1E-3</v>
      </c>
      <c r="F52" s="78">
        <f t="shared" si="23"/>
        <v>1E-3</v>
      </c>
      <c r="G52" s="78">
        <f t="shared" si="23"/>
        <v>1E-3</v>
      </c>
      <c r="H52" s="78">
        <f t="shared" si="23"/>
        <v>1E-3</v>
      </c>
      <c r="I52" s="78">
        <f t="shared" si="23"/>
        <v>1E-3</v>
      </c>
      <c r="J52" s="78">
        <f t="shared" si="23"/>
        <v>1E-3</v>
      </c>
      <c r="K52" s="78">
        <f t="shared" si="23"/>
        <v>1E-3</v>
      </c>
      <c r="L52" s="78">
        <f t="shared" si="23"/>
        <v>1E-3</v>
      </c>
      <c r="M52" s="78">
        <f t="shared" si="23"/>
        <v>1E-3</v>
      </c>
      <c r="N52" s="78">
        <f t="shared" si="23"/>
        <v>1E-3</v>
      </c>
      <c r="O52" s="78">
        <f t="shared" si="23"/>
        <v>1E-3</v>
      </c>
      <c r="P52" s="78">
        <f t="shared" si="23"/>
        <v>1E-3</v>
      </c>
      <c r="Q52" s="78">
        <f t="shared" si="23"/>
        <v>1E-3</v>
      </c>
      <c r="R52" s="78">
        <f t="shared" si="23"/>
        <v>1E-3</v>
      </c>
      <c r="S52" s="78">
        <f t="shared" si="23"/>
        <v>1E-3</v>
      </c>
      <c r="T52" s="78">
        <f t="shared" si="24"/>
        <v>1E-3</v>
      </c>
      <c r="U52" s="78">
        <f t="shared" si="24"/>
        <v>1E-3</v>
      </c>
      <c r="V52" s="78">
        <f t="shared" si="24"/>
        <v>1E-3</v>
      </c>
      <c r="W52" s="78">
        <f t="shared" si="24"/>
        <v>1E-3</v>
      </c>
      <c r="X52" s="78">
        <f t="shared" si="24"/>
        <v>1E-3</v>
      </c>
      <c r="Y52" s="78">
        <f t="shared" si="24"/>
        <v>1E-3</v>
      </c>
      <c r="Z52" s="78">
        <f t="shared" si="24"/>
        <v>1E-3</v>
      </c>
      <c r="AA52" s="78">
        <f t="shared" si="24"/>
        <v>1E-3</v>
      </c>
      <c r="AB52" s="78">
        <f t="shared" si="24"/>
        <v>1E-3</v>
      </c>
      <c r="AC52" s="78">
        <f t="shared" si="24"/>
        <v>1E-3</v>
      </c>
      <c r="AD52" s="78">
        <f t="shared" si="24"/>
        <v>1E-3</v>
      </c>
      <c r="AE52" s="78">
        <f t="shared" si="24"/>
        <v>1E-3</v>
      </c>
      <c r="AF52" s="78">
        <f t="shared" si="24"/>
        <v>1E-3</v>
      </c>
      <c r="AG52" s="78">
        <f t="shared" si="24"/>
        <v>1E-3</v>
      </c>
      <c r="AH52" s="78">
        <f t="shared" si="25"/>
        <v>1E-3</v>
      </c>
      <c r="AI52" s="78">
        <f t="shared" si="25"/>
        <v>1E-3</v>
      </c>
      <c r="AJ52" s="78">
        <f t="shared" si="25"/>
        <v>1E-3</v>
      </c>
      <c r="AK52" s="78">
        <f t="shared" si="25"/>
        <v>1E-3</v>
      </c>
      <c r="AL52" s="78">
        <f t="shared" si="25"/>
        <v>1E-3</v>
      </c>
      <c r="AM52" s="78">
        <f t="shared" si="25"/>
        <v>1E-3</v>
      </c>
      <c r="AN52" s="78">
        <f t="shared" si="25"/>
        <v>1E-3</v>
      </c>
      <c r="AO52" s="78">
        <f t="shared" si="25"/>
        <v>1E-3</v>
      </c>
      <c r="AP52" s="78">
        <f t="shared" si="25"/>
        <v>1E-3</v>
      </c>
      <c r="AQ52" s="79">
        <f t="shared" si="25"/>
        <v>1E-3</v>
      </c>
      <c r="AR52" s="92">
        <f t="shared" si="22"/>
        <v>1.4999999999999999E-2</v>
      </c>
      <c r="AS52" s="86">
        <f t="shared" si="22"/>
        <v>1.4999999999999999E-2</v>
      </c>
      <c r="AT52" s="86">
        <f t="shared" si="22"/>
        <v>1.4999999999999999E-2</v>
      </c>
      <c r="AU52" s="86">
        <f t="shared" si="22"/>
        <v>1.4999999999999999E-2</v>
      </c>
      <c r="AV52" s="86">
        <f t="shared" si="22"/>
        <v>1.4999999999999999E-2</v>
      </c>
      <c r="AW52" s="86">
        <f t="shared" si="22"/>
        <v>1.4999999999999999E-2</v>
      </c>
      <c r="AX52" s="86">
        <f t="shared" si="22"/>
        <v>1.4999999999999999E-2</v>
      </c>
      <c r="AY52" s="87">
        <f t="shared" si="22"/>
        <v>1.4999999999999999E-2</v>
      </c>
      <c r="AZ52" s="72">
        <f t="shared" si="7"/>
        <v>1.4999999999999999E-2</v>
      </c>
      <c r="BA52" s="35">
        <v>34</v>
      </c>
    </row>
    <row r="53" spans="2:53" x14ac:dyDescent="0.25">
      <c r="B53" s="34">
        <v>35</v>
      </c>
      <c r="C53" s="72">
        <f t="shared" si="6"/>
        <v>1.4999999999999999E-2</v>
      </c>
      <c r="D53" s="77">
        <f t="shared" si="23"/>
        <v>1E-3</v>
      </c>
      <c r="E53" s="78">
        <f t="shared" si="23"/>
        <v>1E-3</v>
      </c>
      <c r="F53" s="78">
        <f t="shared" si="23"/>
        <v>1E-3</v>
      </c>
      <c r="G53" s="78">
        <f t="shared" si="23"/>
        <v>1E-3</v>
      </c>
      <c r="H53" s="78">
        <f t="shared" si="23"/>
        <v>1E-3</v>
      </c>
      <c r="I53" s="78">
        <f t="shared" si="23"/>
        <v>1E-3</v>
      </c>
      <c r="J53" s="78">
        <f t="shared" si="23"/>
        <v>1E-3</v>
      </c>
      <c r="K53" s="78">
        <f t="shared" si="23"/>
        <v>1E-3</v>
      </c>
      <c r="L53" s="78">
        <f t="shared" si="23"/>
        <v>1E-3</v>
      </c>
      <c r="M53" s="78">
        <f t="shared" si="23"/>
        <v>1E-3</v>
      </c>
      <c r="N53" s="78">
        <f t="shared" si="23"/>
        <v>1E-3</v>
      </c>
      <c r="O53" s="78">
        <f t="shared" si="23"/>
        <v>1E-3</v>
      </c>
      <c r="P53" s="78">
        <f t="shared" si="23"/>
        <v>1E-3</v>
      </c>
      <c r="Q53" s="78">
        <f t="shared" si="23"/>
        <v>1E-3</v>
      </c>
      <c r="R53" s="78">
        <f t="shared" si="23"/>
        <v>1E-3</v>
      </c>
      <c r="S53" s="78">
        <f t="shared" si="23"/>
        <v>1E-3</v>
      </c>
      <c r="T53" s="78">
        <f t="shared" si="24"/>
        <v>1E-3</v>
      </c>
      <c r="U53" s="78">
        <f t="shared" si="24"/>
        <v>1E-3</v>
      </c>
      <c r="V53" s="78">
        <f t="shared" si="24"/>
        <v>1E-3</v>
      </c>
      <c r="W53" s="78">
        <f t="shared" si="24"/>
        <v>1E-3</v>
      </c>
      <c r="X53" s="78">
        <f t="shared" si="24"/>
        <v>1E-3</v>
      </c>
      <c r="Y53" s="78">
        <f t="shared" si="24"/>
        <v>1E-3</v>
      </c>
      <c r="Z53" s="78">
        <f t="shared" si="24"/>
        <v>1E-3</v>
      </c>
      <c r="AA53" s="78">
        <f t="shared" si="24"/>
        <v>1E-3</v>
      </c>
      <c r="AB53" s="78">
        <f t="shared" si="24"/>
        <v>1E-3</v>
      </c>
      <c r="AC53" s="78">
        <f t="shared" si="24"/>
        <v>1E-3</v>
      </c>
      <c r="AD53" s="78">
        <f t="shared" si="24"/>
        <v>1E-3</v>
      </c>
      <c r="AE53" s="78">
        <f t="shared" si="24"/>
        <v>1E-3</v>
      </c>
      <c r="AF53" s="78">
        <f t="shared" si="24"/>
        <v>1E-3</v>
      </c>
      <c r="AG53" s="78">
        <f t="shared" si="24"/>
        <v>1E-3</v>
      </c>
      <c r="AH53" s="78">
        <f t="shared" si="25"/>
        <v>1E-3</v>
      </c>
      <c r="AI53" s="78">
        <f t="shared" si="25"/>
        <v>1E-3</v>
      </c>
      <c r="AJ53" s="78">
        <f t="shared" si="25"/>
        <v>1E-3</v>
      </c>
      <c r="AK53" s="78">
        <f t="shared" si="25"/>
        <v>1E-3</v>
      </c>
      <c r="AL53" s="78">
        <f t="shared" si="25"/>
        <v>1E-3</v>
      </c>
      <c r="AM53" s="78">
        <f t="shared" si="25"/>
        <v>1E-3</v>
      </c>
      <c r="AN53" s="78">
        <f t="shared" si="25"/>
        <v>1E-3</v>
      </c>
      <c r="AO53" s="78">
        <f t="shared" si="25"/>
        <v>1E-3</v>
      </c>
      <c r="AP53" s="78">
        <f t="shared" si="25"/>
        <v>1E-3</v>
      </c>
      <c r="AQ53" s="79">
        <f t="shared" si="25"/>
        <v>1E-3</v>
      </c>
      <c r="AR53" s="92">
        <f t="shared" si="22"/>
        <v>1.4999999999999999E-2</v>
      </c>
      <c r="AS53" s="86">
        <f t="shared" si="22"/>
        <v>1.4999999999999999E-2</v>
      </c>
      <c r="AT53" s="86">
        <f t="shared" si="22"/>
        <v>1.4999999999999999E-2</v>
      </c>
      <c r="AU53" s="86">
        <f t="shared" si="22"/>
        <v>1.4999999999999999E-2</v>
      </c>
      <c r="AV53" s="86">
        <f t="shared" si="22"/>
        <v>1.4999999999999999E-2</v>
      </c>
      <c r="AW53" s="86">
        <f t="shared" si="22"/>
        <v>1.4999999999999999E-2</v>
      </c>
      <c r="AX53" s="86">
        <f t="shared" si="22"/>
        <v>1.4999999999999999E-2</v>
      </c>
      <c r="AY53" s="87">
        <f t="shared" si="22"/>
        <v>1.4999999999999999E-2</v>
      </c>
      <c r="AZ53" s="72">
        <f t="shared" si="7"/>
        <v>1.4999999999999999E-2</v>
      </c>
      <c r="BA53" s="35">
        <v>35</v>
      </c>
    </row>
    <row r="54" spans="2:53" x14ac:dyDescent="0.25">
      <c r="B54" s="34">
        <v>36</v>
      </c>
      <c r="C54" s="72">
        <f t="shared" si="6"/>
        <v>1.4999999999999999E-2</v>
      </c>
      <c r="D54" s="77">
        <f t="shared" si="23"/>
        <v>1E-3</v>
      </c>
      <c r="E54" s="78">
        <f t="shared" si="23"/>
        <v>1E-3</v>
      </c>
      <c r="F54" s="78">
        <f t="shared" si="23"/>
        <v>1E-3</v>
      </c>
      <c r="G54" s="78">
        <f t="shared" si="23"/>
        <v>1E-3</v>
      </c>
      <c r="H54" s="78">
        <f t="shared" si="23"/>
        <v>1E-3</v>
      </c>
      <c r="I54" s="78">
        <f t="shared" si="23"/>
        <v>1E-3</v>
      </c>
      <c r="J54" s="78">
        <f t="shared" si="23"/>
        <v>1E-3</v>
      </c>
      <c r="K54" s="78">
        <f t="shared" si="23"/>
        <v>1E-3</v>
      </c>
      <c r="L54" s="78">
        <f t="shared" si="23"/>
        <v>1E-3</v>
      </c>
      <c r="M54" s="78">
        <f t="shared" si="23"/>
        <v>1E-3</v>
      </c>
      <c r="N54" s="78">
        <f t="shared" si="23"/>
        <v>1E-3</v>
      </c>
      <c r="O54" s="78">
        <f t="shared" si="23"/>
        <v>1E-3</v>
      </c>
      <c r="P54" s="78">
        <f t="shared" si="23"/>
        <v>1E-3</v>
      </c>
      <c r="Q54" s="78">
        <f t="shared" si="23"/>
        <v>1E-3</v>
      </c>
      <c r="R54" s="78">
        <f t="shared" si="23"/>
        <v>1E-3</v>
      </c>
      <c r="S54" s="78">
        <f t="shared" si="23"/>
        <v>1E-3</v>
      </c>
      <c r="T54" s="78">
        <f t="shared" si="24"/>
        <v>1E-3</v>
      </c>
      <c r="U54" s="78">
        <f t="shared" si="24"/>
        <v>1E-3</v>
      </c>
      <c r="V54" s="78">
        <f t="shared" si="24"/>
        <v>1E-3</v>
      </c>
      <c r="W54" s="78">
        <f t="shared" si="24"/>
        <v>1E-3</v>
      </c>
      <c r="X54" s="78">
        <f t="shared" si="24"/>
        <v>1E-3</v>
      </c>
      <c r="Y54" s="78">
        <f t="shared" si="24"/>
        <v>1E-3</v>
      </c>
      <c r="Z54" s="78">
        <f t="shared" si="24"/>
        <v>1E-3</v>
      </c>
      <c r="AA54" s="78">
        <f t="shared" si="24"/>
        <v>1E-3</v>
      </c>
      <c r="AB54" s="78">
        <f t="shared" si="24"/>
        <v>1E-3</v>
      </c>
      <c r="AC54" s="78">
        <f t="shared" si="24"/>
        <v>1E-3</v>
      </c>
      <c r="AD54" s="78">
        <f t="shared" si="24"/>
        <v>1E-3</v>
      </c>
      <c r="AE54" s="78">
        <f t="shared" si="24"/>
        <v>1E-3</v>
      </c>
      <c r="AF54" s="78">
        <f t="shared" si="24"/>
        <v>1E-3</v>
      </c>
      <c r="AG54" s="78">
        <f t="shared" si="24"/>
        <v>1E-3</v>
      </c>
      <c r="AH54" s="78">
        <f t="shared" si="25"/>
        <v>1E-3</v>
      </c>
      <c r="AI54" s="78">
        <f t="shared" si="25"/>
        <v>1E-3</v>
      </c>
      <c r="AJ54" s="78">
        <f t="shared" si="25"/>
        <v>1E-3</v>
      </c>
      <c r="AK54" s="78">
        <f t="shared" si="25"/>
        <v>1E-3</v>
      </c>
      <c r="AL54" s="78">
        <f t="shared" si="25"/>
        <v>1E-3</v>
      </c>
      <c r="AM54" s="78">
        <f t="shared" si="25"/>
        <v>1E-3</v>
      </c>
      <c r="AN54" s="78">
        <f t="shared" si="25"/>
        <v>1E-3</v>
      </c>
      <c r="AO54" s="78">
        <f t="shared" si="25"/>
        <v>1E-3</v>
      </c>
      <c r="AP54" s="78">
        <f t="shared" si="25"/>
        <v>1E-3</v>
      </c>
      <c r="AQ54" s="79">
        <f t="shared" si="25"/>
        <v>1E-3</v>
      </c>
      <c r="AR54" s="92">
        <f t="shared" si="22"/>
        <v>1.4999999999999999E-2</v>
      </c>
      <c r="AS54" s="86">
        <f t="shared" si="22"/>
        <v>1.4999999999999999E-2</v>
      </c>
      <c r="AT54" s="86">
        <f t="shared" si="22"/>
        <v>1.4999999999999999E-2</v>
      </c>
      <c r="AU54" s="86">
        <f t="shared" si="22"/>
        <v>1.4999999999999999E-2</v>
      </c>
      <c r="AV54" s="86">
        <f t="shared" si="22"/>
        <v>1.4999999999999999E-2</v>
      </c>
      <c r="AW54" s="86">
        <f t="shared" si="22"/>
        <v>1.4999999999999999E-2</v>
      </c>
      <c r="AX54" s="86">
        <f t="shared" si="22"/>
        <v>1.4999999999999999E-2</v>
      </c>
      <c r="AY54" s="87">
        <f t="shared" si="22"/>
        <v>1.4999999999999999E-2</v>
      </c>
      <c r="AZ54" s="72">
        <f t="shared" si="7"/>
        <v>1.4999999999999999E-2</v>
      </c>
      <c r="BA54" s="35">
        <v>36</v>
      </c>
    </row>
    <row r="55" spans="2:53" x14ac:dyDescent="0.25">
      <c r="B55" s="34">
        <v>37</v>
      </c>
      <c r="C55" s="72">
        <f t="shared" si="6"/>
        <v>1.4999999999999999E-2</v>
      </c>
      <c r="D55" s="77">
        <f t="shared" si="23"/>
        <v>1E-3</v>
      </c>
      <c r="E55" s="78">
        <f t="shared" si="23"/>
        <v>1E-3</v>
      </c>
      <c r="F55" s="78">
        <f t="shared" si="23"/>
        <v>1E-3</v>
      </c>
      <c r="G55" s="78">
        <f t="shared" si="23"/>
        <v>1E-3</v>
      </c>
      <c r="H55" s="78">
        <f t="shared" si="23"/>
        <v>1E-3</v>
      </c>
      <c r="I55" s="78">
        <f t="shared" si="23"/>
        <v>1E-3</v>
      </c>
      <c r="J55" s="78">
        <f t="shared" si="23"/>
        <v>1E-3</v>
      </c>
      <c r="K55" s="78">
        <f t="shared" si="23"/>
        <v>1E-3</v>
      </c>
      <c r="L55" s="78">
        <f t="shared" si="23"/>
        <v>1E-3</v>
      </c>
      <c r="M55" s="78">
        <f t="shared" si="23"/>
        <v>1E-3</v>
      </c>
      <c r="N55" s="78">
        <f t="shared" si="23"/>
        <v>1E-3</v>
      </c>
      <c r="O55" s="78">
        <f t="shared" si="23"/>
        <v>1E-3</v>
      </c>
      <c r="P55" s="78">
        <f t="shared" si="23"/>
        <v>1E-3</v>
      </c>
      <c r="Q55" s="78">
        <f t="shared" si="23"/>
        <v>1E-3</v>
      </c>
      <c r="R55" s="78">
        <f t="shared" si="23"/>
        <v>1E-3</v>
      </c>
      <c r="S55" s="78">
        <f t="shared" si="23"/>
        <v>1E-3</v>
      </c>
      <c r="T55" s="78">
        <f t="shared" si="24"/>
        <v>1E-3</v>
      </c>
      <c r="U55" s="78">
        <f t="shared" si="24"/>
        <v>1E-3</v>
      </c>
      <c r="V55" s="78">
        <f t="shared" si="24"/>
        <v>1E-3</v>
      </c>
      <c r="W55" s="78">
        <f t="shared" si="24"/>
        <v>1E-3</v>
      </c>
      <c r="X55" s="78">
        <f t="shared" si="24"/>
        <v>1E-3</v>
      </c>
      <c r="Y55" s="78">
        <f t="shared" si="24"/>
        <v>1E-3</v>
      </c>
      <c r="Z55" s="78">
        <f t="shared" si="24"/>
        <v>1E-3</v>
      </c>
      <c r="AA55" s="78">
        <f t="shared" si="24"/>
        <v>1E-3</v>
      </c>
      <c r="AB55" s="78">
        <f t="shared" si="24"/>
        <v>1E-3</v>
      </c>
      <c r="AC55" s="78">
        <f t="shared" si="24"/>
        <v>1E-3</v>
      </c>
      <c r="AD55" s="78">
        <f t="shared" si="24"/>
        <v>1E-3</v>
      </c>
      <c r="AE55" s="78">
        <f t="shared" si="24"/>
        <v>1E-3</v>
      </c>
      <c r="AF55" s="78">
        <f t="shared" si="24"/>
        <v>1E-3</v>
      </c>
      <c r="AG55" s="78">
        <f t="shared" si="24"/>
        <v>1E-3</v>
      </c>
      <c r="AH55" s="78">
        <f t="shared" si="25"/>
        <v>1E-3</v>
      </c>
      <c r="AI55" s="78">
        <f t="shared" si="25"/>
        <v>1E-3</v>
      </c>
      <c r="AJ55" s="78">
        <f t="shared" si="25"/>
        <v>1E-3</v>
      </c>
      <c r="AK55" s="78">
        <f t="shared" si="25"/>
        <v>1E-3</v>
      </c>
      <c r="AL55" s="78">
        <f t="shared" si="25"/>
        <v>1E-3</v>
      </c>
      <c r="AM55" s="78">
        <f t="shared" si="25"/>
        <v>1E-3</v>
      </c>
      <c r="AN55" s="78">
        <f t="shared" si="25"/>
        <v>1E-3</v>
      </c>
      <c r="AO55" s="78">
        <f t="shared" si="25"/>
        <v>1E-3</v>
      </c>
      <c r="AP55" s="78">
        <f t="shared" si="25"/>
        <v>1E-3</v>
      </c>
      <c r="AQ55" s="79">
        <f t="shared" si="25"/>
        <v>1E-3</v>
      </c>
      <c r="AR55" s="92">
        <f t="shared" si="22"/>
        <v>1.4999999999999999E-2</v>
      </c>
      <c r="AS55" s="86">
        <f t="shared" si="22"/>
        <v>1.4999999999999999E-2</v>
      </c>
      <c r="AT55" s="86">
        <f t="shared" si="22"/>
        <v>1.4999999999999999E-2</v>
      </c>
      <c r="AU55" s="86">
        <f t="shared" si="22"/>
        <v>1.4999999999999999E-2</v>
      </c>
      <c r="AV55" s="86">
        <f t="shared" si="22"/>
        <v>1.4999999999999999E-2</v>
      </c>
      <c r="AW55" s="86">
        <f t="shared" si="22"/>
        <v>1.4999999999999999E-2</v>
      </c>
      <c r="AX55" s="86">
        <f t="shared" si="22"/>
        <v>1.4999999999999999E-2</v>
      </c>
      <c r="AY55" s="87">
        <f t="shared" si="22"/>
        <v>1.4999999999999999E-2</v>
      </c>
      <c r="AZ55" s="72">
        <f t="shared" si="7"/>
        <v>1.4999999999999999E-2</v>
      </c>
      <c r="BA55" s="35">
        <v>37</v>
      </c>
    </row>
    <row r="56" spans="2:53" x14ac:dyDescent="0.25">
      <c r="B56" s="34">
        <v>38</v>
      </c>
      <c r="C56" s="72">
        <f t="shared" si="6"/>
        <v>1.4999999999999999E-2</v>
      </c>
      <c r="D56" s="77">
        <f t="shared" ref="C56:M68" si="26">$F$7</f>
        <v>1E-3</v>
      </c>
      <c r="E56" s="78">
        <f t="shared" si="26"/>
        <v>1E-3</v>
      </c>
      <c r="F56" s="78">
        <f t="shared" si="26"/>
        <v>1E-3</v>
      </c>
      <c r="G56" s="78">
        <f t="shared" si="26"/>
        <v>1E-3</v>
      </c>
      <c r="H56" s="78">
        <f t="shared" si="26"/>
        <v>1E-3</v>
      </c>
      <c r="I56" s="78">
        <f t="shared" si="26"/>
        <v>1E-3</v>
      </c>
      <c r="J56" s="78">
        <f t="shared" si="26"/>
        <v>1E-3</v>
      </c>
      <c r="K56" s="78">
        <f t="shared" si="26"/>
        <v>1E-3</v>
      </c>
      <c r="L56" s="78">
        <f t="shared" si="26"/>
        <v>1E-3</v>
      </c>
      <c r="M56" s="78">
        <f t="shared" si="26"/>
        <v>1E-3</v>
      </c>
      <c r="N56" s="78">
        <f t="shared" ref="N56:W68" si="27">$F$7</f>
        <v>1E-3</v>
      </c>
      <c r="O56" s="78">
        <f t="shared" si="27"/>
        <v>1E-3</v>
      </c>
      <c r="P56" s="78">
        <f t="shared" si="27"/>
        <v>1E-3</v>
      </c>
      <c r="Q56" s="78">
        <f t="shared" si="27"/>
        <v>1E-3</v>
      </c>
      <c r="R56" s="78">
        <f t="shared" si="27"/>
        <v>1E-3</v>
      </c>
      <c r="S56" s="78">
        <f t="shared" si="27"/>
        <v>1E-3</v>
      </c>
      <c r="T56" s="78">
        <f t="shared" si="27"/>
        <v>1E-3</v>
      </c>
      <c r="U56" s="78">
        <f t="shared" si="27"/>
        <v>1E-3</v>
      </c>
      <c r="V56" s="78">
        <f t="shared" si="27"/>
        <v>1E-3</v>
      </c>
      <c r="W56" s="78">
        <f t="shared" si="27"/>
        <v>1E-3</v>
      </c>
      <c r="X56" s="78">
        <f t="shared" ref="X56:AG68" si="28">$F$7</f>
        <v>1E-3</v>
      </c>
      <c r="Y56" s="78">
        <f t="shared" si="28"/>
        <v>1E-3</v>
      </c>
      <c r="Z56" s="78">
        <f t="shared" si="28"/>
        <v>1E-3</v>
      </c>
      <c r="AA56" s="78">
        <f t="shared" si="28"/>
        <v>1E-3</v>
      </c>
      <c r="AB56" s="78">
        <f t="shared" si="28"/>
        <v>1E-3</v>
      </c>
      <c r="AC56" s="78">
        <f t="shared" si="28"/>
        <v>1E-3</v>
      </c>
      <c r="AD56" s="78">
        <f t="shared" si="28"/>
        <v>1E-3</v>
      </c>
      <c r="AE56" s="78">
        <f t="shared" si="28"/>
        <v>1E-3</v>
      </c>
      <c r="AF56" s="78">
        <f t="shared" si="28"/>
        <v>1E-3</v>
      </c>
      <c r="AG56" s="78">
        <f t="shared" si="28"/>
        <v>1E-3</v>
      </c>
      <c r="AH56" s="78">
        <f t="shared" ref="AH56:AP68" si="29">$F$7</f>
        <v>1E-3</v>
      </c>
      <c r="AI56" s="78">
        <f t="shared" si="29"/>
        <v>1E-3</v>
      </c>
      <c r="AJ56" s="78">
        <f t="shared" si="29"/>
        <v>1E-3</v>
      </c>
      <c r="AK56" s="78">
        <f t="shared" si="29"/>
        <v>1E-3</v>
      </c>
      <c r="AL56" s="78">
        <f t="shared" si="29"/>
        <v>1E-3</v>
      </c>
      <c r="AM56" s="78">
        <f t="shared" si="29"/>
        <v>1E-3</v>
      </c>
      <c r="AN56" s="78">
        <f t="shared" si="29"/>
        <v>1E-3</v>
      </c>
      <c r="AO56" s="78">
        <f t="shared" si="29"/>
        <v>1E-3</v>
      </c>
      <c r="AP56" s="78">
        <f t="shared" si="29"/>
        <v>1E-3</v>
      </c>
      <c r="AQ56" s="79">
        <f t="shared" ref="AQ56:AQ68" si="30">$F$7</f>
        <v>1E-3</v>
      </c>
      <c r="AR56" s="92">
        <f t="shared" si="22"/>
        <v>1.4999999999999999E-2</v>
      </c>
      <c r="AS56" s="86">
        <f t="shared" si="22"/>
        <v>1.4999999999999999E-2</v>
      </c>
      <c r="AT56" s="86">
        <f t="shared" si="22"/>
        <v>1.4999999999999999E-2</v>
      </c>
      <c r="AU56" s="86">
        <f t="shared" si="22"/>
        <v>1.4999999999999999E-2</v>
      </c>
      <c r="AV56" s="86">
        <f t="shared" si="22"/>
        <v>1.4999999999999999E-2</v>
      </c>
      <c r="AW56" s="86">
        <f t="shared" si="22"/>
        <v>1.4999999999999999E-2</v>
      </c>
      <c r="AX56" s="86">
        <f t="shared" si="22"/>
        <v>1.4999999999999999E-2</v>
      </c>
      <c r="AY56" s="87">
        <f t="shared" si="22"/>
        <v>1.4999999999999999E-2</v>
      </c>
      <c r="AZ56" s="72">
        <f t="shared" si="7"/>
        <v>1.4999999999999999E-2</v>
      </c>
      <c r="BA56" s="35">
        <v>38</v>
      </c>
    </row>
    <row r="57" spans="2:53" x14ac:dyDescent="0.25">
      <c r="B57" s="34">
        <v>39</v>
      </c>
      <c r="C57" s="72">
        <f t="shared" si="6"/>
        <v>1.4999999999999999E-2</v>
      </c>
      <c r="D57" s="77">
        <f t="shared" si="26"/>
        <v>1E-3</v>
      </c>
      <c r="E57" s="78">
        <f t="shared" si="26"/>
        <v>1E-3</v>
      </c>
      <c r="F57" s="78">
        <f t="shared" si="26"/>
        <v>1E-3</v>
      </c>
      <c r="G57" s="78">
        <f t="shared" si="26"/>
        <v>1E-3</v>
      </c>
      <c r="H57" s="78">
        <f t="shared" si="26"/>
        <v>1E-3</v>
      </c>
      <c r="I57" s="78">
        <f t="shared" si="26"/>
        <v>1E-3</v>
      </c>
      <c r="J57" s="78">
        <f t="shared" si="26"/>
        <v>1E-3</v>
      </c>
      <c r="K57" s="78">
        <f t="shared" si="26"/>
        <v>1E-3</v>
      </c>
      <c r="L57" s="78">
        <f t="shared" si="26"/>
        <v>1E-3</v>
      </c>
      <c r="M57" s="78">
        <f t="shared" si="26"/>
        <v>1E-3</v>
      </c>
      <c r="N57" s="78">
        <f t="shared" si="27"/>
        <v>1E-3</v>
      </c>
      <c r="O57" s="78">
        <f t="shared" si="27"/>
        <v>1E-3</v>
      </c>
      <c r="P57" s="78">
        <f t="shared" si="27"/>
        <v>1E-3</v>
      </c>
      <c r="Q57" s="78">
        <f t="shared" si="27"/>
        <v>1E-3</v>
      </c>
      <c r="R57" s="78">
        <f t="shared" si="27"/>
        <v>1E-3</v>
      </c>
      <c r="S57" s="78">
        <f t="shared" si="27"/>
        <v>1E-3</v>
      </c>
      <c r="T57" s="78">
        <f t="shared" si="27"/>
        <v>1E-3</v>
      </c>
      <c r="U57" s="78">
        <f t="shared" si="27"/>
        <v>1E-3</v>
      </c>
      <c r="V57" s="78">
        <f t="shared" si="27"/>
        <v>1E-3</v>
      </c>
      <c r="W57" s="78">
        <f t="shared" si="27"/>
        <v>1E-3</v>
      </c>
      <c r="X57" s="78">
        <f t="shared" si="28"/>
        <v>1E-3</v>
      </c>
      <c r="Y57" s="78">
        <f t="shared" si="28"/>
        <v>1E-3</v>
      </c>
      <c r="Z57" s="78">
        <f t="shared" si="28"/>
        <v>1E-3</v>
      </c>
      <c r="AA57" s="78">
        <f t="shared" si="28"/>
        <v>1E-3</v>
      </c>
      <c r="AB57" s="78">
        <f t="shared" si="28"/>
        <v>1E-3</v>
      </c>
      <c r="AC57" s="78">
        <f t="shared" si="28"/>
        <v>1E-3</v>
      </c>
      <c r="AD57" s="78">
        <f t="shared" si="28"/>
        <v>1E-3</v>
      </c>
      <c r="AE57" s="78">
        <f t="shared" si="28"/>
        <v>1E-3</v>
      </c>
      <c r="AF57" s="78">
        <f t="shared" si="28"/>
        <v>1E-3</v>
      </c>
      <c r="AG57" s="78">
        <f t="shared" si="28"/>
        <v>1E-3</v>
      </c>
      <c r="AH57" s="78">
        <f t="shared" si="29"/>
        <v>1E-3</v>
      </c>
      <c r="AI57" s="78">
        <f t="shared" si="29"/>
        <v>1E-3</v>
      </c>
      <c r="AJ57" s="78">
        <f t="shared" si="29"/>
        <v>1E-3</v>
      </c>
      <c r="AK57" s="78">
        <f t="shared" si="29"/>
        <v>1E-3</v>
      </c>
      <c r="AL57" s="78">
        <f t="shared" si="29"/>
        <v>1E-3</v>
      </c>
      <c r="AM57" s="78">
        <f t="shared" si="29"/>
        <v>1E-3</v>
      </c>
      <c r="AN57" s="78">
        <f t="shared" si="29"/>
        <v>1E-3</v>
      </c>
      <c r="AO57" s="78">
        <f t="shared" si="29"/>
        <v>1E-3</v>
      </c>
      <c r="AP57" s="78">
        <f t="shared" si="29"/>
        <v>1E-3</v>
      </c>
      <c r="AQ57" s="79">
        <f t="shared" si="30"/>
        <v>1E-3</v>
      </c>
      <c r="AR57" s="92">
        <f t="shared" si="22"/>
        <v>1.4999999999999999E-2</v>
      </c>
      <c r="AS57" s="86">
        <f t="shared" si="22"/>
        <v>1.4999999999999999E-2</v>
      </c>
      <c r="AT57" s="86">
        <f t="shared" si="22"/>
        <v>1.4999999999999999E-2</v>
      </c>
      <c r="AU57" s="86">
        <f t="shared" si="22"/>
        <v>1.4999999999999999E-2</v>
      </c>
      <c r="AV57" s="86">
        <f t="shared" si="22"/>
        <v>1.4999999999999999E-2</v>
      </c>
      <c r="AW57" s="86">
        <f t="shared" si="22"/>
        <v>1.4999999999999999E-2</v>
      </c>
      <c r="AX57" s="86">
        <f t="shared" si="22"/>
        <v>1.4999999999999999E-2</v>
      </c>
      <c r="AY57" s="87">
        <f t="shared" si="22"/>
        <v>1.4999999999999999E-2</v>
      </c>
      <c r="AZ57" s="72">
        <f t="shared" si="7"/>
        <v>1.4999999999999999E-2</v>
      </c>
      <c r="BA57" s="35">
        <v>39</v>
      </c>
    </row>
    <row r="58" spans="2:53" x14ac:dyDescent="0.25">
      <c r="B58" s="34">
        <v>40</v>
      </c>
      <c r="C58" s="72">
        <f t="shared" si="6"/>
        <v>1.4999999999999999E-2</v>
      </c>
      <c r="D58" s="77">
        <f t="shared" si="26"/>
        <v>1E-3</v>
      </c>
      <c r="E58" s="78">
        <f t="shared" si="26"/>
        <v>1E-3</v>
      </c>
      <c r="F58" s="78">
        <f t="shared" si="26"/>
        <v>1E-3</v>
      </c>
      <c r="G58" s="78">
        <f t="shared" si="26"/>
        <v>1E-3</v>
      </c>
      <c r="H58" s="78">
        <f t="shared" si="26"/>
        <v>1E-3</v>
      </c>
      <c r="I58" s="78">
        <f t="shared" si="26"/>
        <v>1E-3</v>
      </c>
      <c r="J58" s="78">
        <f t="shared" si="26"/>
        <v>1E-3</v>
      </c>
      <c r="K58" s="78">
        <f t="shared" si="26"/>
        <v>1E-3</v>
      </c>
      <c r="L58" s="78">
        <f t="shared" si="26"/>
        <v>1E-3</v>
      </c>
      <c r="M58" s="78">
        <f t="shared" si="26"/>
        <v>1E-3</v>
      </c>
      <c r="N58" s="78">
        <f t="shared" si="27"/>
        <v>1E-3</v>
      </c>
      <c r="O58" s="78">
        <f t="shared" si="27"/>
        <v>1E-3</v>
      </c>
      <c r="P58" s="78">
        <f t="shared" si="27"/>
        <v>1E-3</v>
      </c>
      <c r="Q58" s="78">
        <f t="shared" si="27"/>
        <v>1E-3</v>
      </c>
      <c r="R58" s="78">
        <f t="shared" si="27"/>
        <v>1E-3</v>
      </c>
      <c r="S58" s="78">
        <f t="shared" si="27"/>
        <v>1E-3</v>
      </c>
      <c r="T58" s="78">
        <f t="shared" si="27"/>
        <v>1E-3</v>
      </c>
      <c r="U58" s="78">
        <f t="shared" si="27"/>
        <v>1E-3</v>
      </c>
      <c r="V58" s="78">
        <f t="shared" si="27"/>
        <v>1E-3</v>
      </c>
      <c r="W58" s="78">
        <f t="shared" si="27"/>
        <v>1E-3</v>
      </c>
      <c r="X58" s="78">
        <f t="shared" si="28"/>
        <v>1E-3</v>
      </c>
      <c r="Y58" s="78">
        <f t="shared" si="28"/>
        <v>1E-3</v>
      </c>
      <c r="Z58" s="78">
        <f t="shared" si="28"/>
        <v>1E-3</v>
      </c>
      <c r="AA58" s="78">
        <f t="shared" si="28"/>
        <v>1E-3</v>
      </c>
      <c r="AB58" s="78">
        <f t="shared" si="28"/>
        <v>1E-3</v>
      </c>
      <c r="AC58" s="78">
        <f t="shared" si="28"/>
        <v>1E-3</v>
      </c>
      <c r="AD58" s="78">
        <f t="shared" si="28"/>
        <v>1E-3</v>
      </c>
      <c r="AE58" s="78">
        <f t="shared" si="28"/>
        <v>1E-3</v>
      </c>
      <c r="AF58" s="78">
        <f t="shared" si="28"/>
        <v>1E-3</v>
      </c>
      <c r="AG58" s="78">
        <f t="shared" si="28"/>
        <v>1E-3</v>
      </c>
      <c r="AH58" s="78">
        <f t="shared" si="29"/>
        <v>1E-3</v>
      </c>
      <c r="AI58" s="78">
        <f t="shared" si="29"/>
        <v>1E-3</v>
      </c>
      <c r="AJ58" s="78">
        <f t="shared" si="29"/>
        <v>1E-3</v>
      </c>
      <c r="AK58" s="78">
        <f t="shared" si="29"/>
        <v>1E-3</v>
      </c>
      <c r="AL58" s="78">
        <f t="shared" si="29"/>
        <v>1E-3</v>
      </c>
      <c r="AM58" s="78">
        <f t="shared" si="29"/>
        <v>1E-3</v>
      </c>
      <c r="AN58" s="78">
        <f t="shared" si="29"/>
        <v>1E-3</v>
      </c>
      <c r="AO58" s="78">
        <f t="shared" si="29"/>
        <v>1E-3</v>
      </c>
      <c r="AP58" s="78">
        <f t="shared" si="29"/>
        <v>1E-3</v>
      </c>
      <c r="AQ58" s="79">
        <f t="shared" si="30"/>
        <v>1E-3</v>
      </c>
      <c r="AR58" s="92">
        <f t="shared" si="22"/>
        <v>1.4999999999999999E-2</v>
      </c>
      <c r="AS58" s="86">
        <f t="shared" si="22"/>
        <v>1.4999999999999999E-2</v>
      </c>
      <c r="AT58" s="86">
        <f t="shared" si="22"/>
        <v>1.4999999999999999E-2</v>
      </c>
      <c r="AU58" s="86">
        <f t="shared" si="22"/>
        <v>1.4999999999999999E-2</v>
      </c>
      <c r="AV58" s="86">
        <f t="shared" si="22"/>
        <v>1.4999999999999999E-2</v>
      </c>
      <c r="AW58" s="86">
        <f t="shared" si="22"/>
        <v>1.4999999999999999E-2</v>
      </c>
      <c r="AX58" s="86">
        <f t="shared" si="22"/>
        <v>1.4999999999999999E-2</v>
      </c>
      <c r="AY58" s="87">
        <f t="shared" si="22"/>
        <v>1.4999999999999999E-2</v>
      </c>
      <c r="AZ58" s="72">
        <f t="shared" si="7"/>
        <v>1.4999999999999999E-2</v>
      </c>
      <c r="BA58" s="35">
        <v>40</v>
      </c>
    </row>
    <row r="59" spans="2:53" x14ac:dyDescent="0.25">
      <c r="B59" s="34">
        <v>41</v>
      </c>
      <c r="C59" s="72">
        <f t="shared" si="6"/>
        <v>1.4999999999999999E-2</v>
      </c>
      <c r="D59" s="77">
        <f t="shared" si="26"/>
        <v>1E-3</v>
      </c>
      <c r="E59" s="78">
        <f t="shared" si="26"/>
        <v>1E-3</v>
      </c>
      <c r="F59" s="78">
        <f t="shared" si="26"/>
        <v>1E-3</v>
      </c>
      <c r="G59" s="78">
        <f t="shared" si="26"/>
        <v>1E-3</v>
      </c>
      <c r="H59" s="78">
        <f t="shared" si="26"/>
        <v>1E-3</v>
      </c>
      <c r="I59" s="78">
        <f t="shared" si="26"/>
        <v>1E-3</v>
      </c>
      <c r="J59" s="78">
        <f t="shared" si="26"/>
        <v>1E-3</v>
      </c>
      <c r="K59" s="78">
        <f t="shared" si="26"/>
        <v>1E-3</v>
      </c>
      <c r="L59" s="78">
        <f t="shared" si="26"/>
        <v>1E-3</v>
      </c>
      <c r="M59" s="78">
        <f t="shared" si="26"/>
        <v>1E-3</v>
      </c>
      <c r="N59" s="78">
        <f t="shared" si="27"/>
        <v>1E-3</v>
      </c>
      <c r="O59" s="78">
        <f t="shared" si="27"/>
        <v>1E-3</v>
      </c>
      <c r="P59" s="78">
        <f t="shared" si="27"/>
        <v>1E-3</v>
      </c>
      <c r="Q59" s="78">
        <f t="shared" si="27"/>
        <v>1E-3</v>
      </c>
      <c r="R59" s="78">
        <f t="shared" si="27"/>
        <v>1E-3</v>
      </c>
      <c r="S59" s="78">
        <f t="shared" si="27"/>
        <v>1E-3</v>
      </c>
      <c r="T59" s="78">
        <f t="shared" si="27"/>
        <v>1E-3</v>
      </c>
      <c r="U59" s="78">
        <f t="shared" si="27"/>
        <v>1E-3</v>
      </c>
      <c r="V59" s="78">
        <f t="shared" si="27"/>
        <v>1E-3</v>
      </c>
      <c r="W59" s="78">
        <f t="shared" si="27"/>
        <v>1E-3</v>
      </c>
      <c r="X59" s="78">
        <f t="shared" si="28"/>
        <v>1E-3</v>
      </c>
      <c r="Y59" s="78">
        <f t="shared" si="28"/>
        <v>1E-3</v>
      </c>
      <c r="Z59" s="78">
        <f t="shared" si="28"/>
        <v>1E-3</v>
      </c>
      <c r="AA59" s="78">
        <f t="shared" si="28"/>
        <v>1E-3</v>
      </c>
      <c r="AB59" s="78">
        <f t="shared" si="28"/>
        <v>1E-3</v>
      </c>
      <c r="AC59" s="78">
        <f t="shared" si="28"/>
        <v>1E-3</v>
      </c>
      <c r="AD59" s="78">
        <f t="shared" si="28"/>
        <v>1E-3</v>
      </c>
      <c r="AE59" s="78">
        <f t="shared" si="28"/>
        <v>1E-3</v>
      </c>
      <c r="AF59" s="78">
        <f t="shared" si="28"/>
        <v>1E-3</v>
      </c>
      <c r="AG59" s="78">
        <f t="shared" si="28"/>
        <v>1E-3</v>
      </c>
      <c r="AH59" s="78">
        <f t="shared" si="29"/>
        <v>1E-3</v>
      </c>
      <c r="AI59" s="78">
        <f t="shared" si="29"/>
        <v>1E-3</v>
      </c>
      <c r="AJ59" s="78">
        <f t="shared" si="29"/>
        <v>1E-3</v>
      </c>
      <c r="AK59" s="78">
        <f t="shared" si="29"/>
        <v>1E-3</v>
      </c>
      <c r="AL59" s="78">
        <f t="shared" si="29"/>
        <v>1E-3</v>
      </c>
      <c r="AM59" s="78">
        <f t="shared" si="29"/>
        <v>1E-3</v>
      </c>
      <c r="AN59" s="78">
        <f t="shared" si="29"/>
        <v>1E-3</v>
      </c>
      <c r="AO59" s="78">
        <f t="shared" si="29"/>
        <v>1E-3</v>
      </c>
      <c r="AP59" s="78">
        <f t="shared" si="29"/>
        <v>1E-3</v>
      </c>
      <c r="AQ59" s="79">
        <f t="shared" si="30"/>
        <v>1E-3</v>
      </c>
      <c r="AR59" s="92">
        <f t="shared" ref="AR59:AY68" si="31">$F$8</f>
        <v>1.4999999999999999E-2</v>
      </c>
      <c r="AS59" s="86">
        <f t="shared" si="31"/>
        <v>1.4999999999999999E-2</v>
      </c>
      <c r="AT59" s="86">
        <f t="shared" si="31"/>
        <v>1.4999999999999999E-2</v>
      </c>
      <c r="AU59" s="86">
        <f t="shared" si="31"/>
        <v>1.4999999999999999E-2</v>
      </c>
      <c r="AV59" s="86">
        <f t="shared" si="31"/>
        <v>1.4999999999999999E-2</v>
      </c>
      <c r="AW59" s="86">
        <f t="shared" si="31"/>
        <v>1.4999999999999999E-2</v>
      </c>
      <c r="AX59" s="86">
        <f t="shared" si="31"/>
        <v>1.4999999999999999E-2</v>
      </c>
      <c r="AY59" s="87">
        <f t="shared" si="31"/>
        <v>1.4999999999999999E-2</v>
      </c>
      <c r="AZ59" s="72">
        <f t="shared" si="7"/>
        <v>1.4999999999999999E-2</v>
      </c>
      <c r="BA59" s="35">
        <v>41</v>
      </c>
    </row>
    <row r="60" spans="2:53" x14ac:dyDescent="0.25">
      <c r="B60" s="34">
        <v>42</v>
      </c>
      <c r="C60" s="72">
        <f t="shared" si="6"/>
        <v>1.4999999999999999E-2</v>
      </c>
      <c r="D60" s="77">
        <f t="shared" si="26"/>
        <v>1E-3</v>
      </c>
      <c r="E60" s="78">
        <f t="shared" si="26"/>
        <v>1E-3</v>
      </c>
      <c r="F60" s="78">
        <f t="shared" si="26"/>
        <v>1E-3</v>
      </c>
      <c r="G60" s="78">
        <f t="shared" si="26"/>
        <v>1E-3</v>
      </c>
      <c r="H60" s="78">
        <f t="shared" si="26"/>
        <v>1E-3</v>
      </c>
      <c r="I60" s="78">
        <f t="shared" si="26"/>
        <v>1E-3</v>
      </c>
      <c r="J60" s="78">
        <f t="shared" si="26"/>
        <v>1E-3</v>
      </c>
      <c r="K60" s="78">
        <f t="shared" si="26"/>
        <v>1E-3</v>
      </c>
      <c r="L60" s="78">
        <f t="shared" si="26"/>
        <v>1E-3</v>
      </c>
      <c r="M60" s="78">
        <f t="shared" si="26"/>
        <v>1E-3</v>
      </c>
      <c r="N60" s="78">
        <f t="shared" si="27"/>
        <v>1E-3</v>
      </c>
      <c r="O60" s="78">
        <f t="shared" si="27"/>
        <v>1E-3</v>
      </c>
      <c r="P60" s="78">
        <f t="shared" si="27"/>
        <v>1E-3</v>
      </c>
      <c r="Q60" s="78">
        <f t="shared" si="27"/>
        <v>1E-3</v>
      </c>
      <c r="R60" s="78">
        <f t="shared" si="27"/>
        <v>1E-3</v>
      </c>
      <c r="S60" s="78">
        <f t="shared" si="27"/>
        <v>1E-3</v>
      </c>
      <c r="T60" s="78">
        <f t="shared" si="27"/>
        <v>1E-3</v>
      </c>
      <c r="U60" s="78">
        <f t="shared" si="27"/>
        <v>1E-3</v>
      </c>
      <c r="V60" s="78">
        <f t="shared" si="27"/>
        <v>1E-3</v>
      </c>
      <c r="W60" s="78">
        <f t="shared" si="27"/>
        <v>1E-3</v>
      </c>
      <c r="X60" s="78">
        <f t="shared" si="28"/>
        <v>1E-3</v>
      </c>
      <c r="Y60" s="78">
        <f t="shared" si="28"/>
        <v>1E-3</v>
      </c>
      <c r="Z60" s="78">
        <f t="shared" si="28"/>
        <v>1E-3</v>
      </c>
      <c r="AA60" s="78">
        <f t="shared" si="28"/>
        <v>1E-3</v>
      </c>
      <c r="AB60" s="78">
        <f t="shared" si="28"/>
        <v>1E-3</v>
      </c>
      <c r="AC60" s="78">
        <f t="shared" si="28"/>
        <v>1E-3</v>
      </c>
      <c r="AD60" s="78">
        <f t="shared" si="28"/>
        <v>1E-3</v>
      </c>
      <c r="AE60" s="78">
        <f t="shared" si="28"/>
        <v>1E-3</v>
      </c>
      <c r="AF60" s="78">
        <f t="shared" si="28"/>
        <v>1E-3</v>
      </c>
      <c r="AG60" s="78">
        <f t="shared" si="28"/>
        <v>1E-3</v>
      </c>
      <c r="AH60" s="78">
        <f t="shared" si="29"/>
        <v>1E-3</v>
      </c>
      <c r="AI60" s="78">
        <f t="shared" si="29"/>
        <v>1E-3</v>
      </c>
      <c r="AJ60" s="78">
        <f t="shared" si="29"/>
        <v>1E-3</v>
      </c>
      <c r="AK60" s="78">
        <f t="shared" si="29"/>
        <v>1E-3</v>
      </c>
      <c r="AL60" s="78">
        <f t="shared" si="29"/>
        <v>1E-3</v>
      </c>
      <c r="AM60" s="78">
        <f t="shared" si="29"/>
        <v>1E-3</v>
      </c>
      <c r="AN60" s="78">
        <f t="shared" si="29"/>
        <v>1E-3</v>
      </c>
      <c r="AO60" s="78">
        <f t="shared" si="29"/>
        <v>1E-3</v>
      </c>
      <c r="AP60" s="78">
        <f t="shared" si="29"/>
        <v>1E-3</v>
      </c>
      <c r="AQ60" s="79">
        <f t="shared" si="30"/>
        <v>1E-3</v>
      </c>
      <c r="AR60" s="92">
        <f t="shared" si="31"/>
        <v>1.4999999999999999E-2</v>
      </c>
      <c r="AS60" s="86">
        <f t="shared" si="31"/>
        <v>1.4999999999999999E-2</v>
      </c>
      <c r="AT60" s="86">
        <f t="shared" si="31"/>
        <v>1.4999999999999999E-2</v>
      </c>
      <c r="AU60" s="86">
        <f t="shared" si="31"/>
        <v>1.4999999999999999E-2</v>
      </c>
      <c r="AV60" s="86">
        <f t="shared" si="31"/>
        <v>1.4999999999999999E-2</v>
      </c>
      <c r="AW60" s="86">
        <f t="shared" si="31"/>
        <v>1.4999999999999999E-2</v>
      </c>
      <c r="AX60" s="86">
        <f t="shared" si="31"/>
        <v>1.4999999999999999E-2</v>
      </c>
      <c r="AY60" s="87">
        <f t="shared" si="31"/>
        <v>1.4999999999999999E-2</v>
      </c>
      <c r="AZ60" s="72">
        <f t="shared" si="7"/>
        <v>1.4999999999999999E-2</v>
      </c>
      <c r="BA60" s="35">
        <v>42</v>
      </c>
    </row>
    <row r="61" spans="2:53" x14ac:dyDescent="0.25">
      <c r="B61" s="34">
        <v>43</v>
      </c>
      <c r="C61" s="72">
        <f t="shared" si="6"/>
        <v>1.4999999999999999E-2</v>
      </c>
      <c r="D61" s="77">
        <f t="shared" si="26"/>
        <v>1E-3</v>
      </c>
      <c r="E61" s="78">
        <f t="shared" si="26"/>
        <v>1E-3</v>
      </c>
      <c r="F61" s="78">
        <f t="shared" si="26"/>
        <v>1E-3</v>
      </c>
      <c r="G61" s="78">
        <f t="shared" si="26"/>
        <v>1E-3</v>
      </c>
      <c r="H61" s="78">
        <f t="shared" si="26"/>
        <v>1E-3</v>
      </c>
      <c r="I61" s="78">
        <f t="shared" si="26"/>
        <v>1E-3</v>
      </c>
      <c r="J61" s="78">
        <f t="shared" si="26"/>
        <v>1E-3</v>
      </c>
      <c r="K61" s="78">
        <f t="shared" si="26"/>
        <v>1E-3</v>
      </c>
      <c r="L61" s="78">
        <f t="shared" si="26"/>
        <v>1E-3</v>
      </c>
      <c r="M61" s="78">
        <f t="shared" si="26"/>
        <v>1E-3</v>
      </c>
      <c r="N61" s="78">
        <f t="shared" si="27"/>
        <v>1E-3</v>
      </c>
      <c r="O61" s="78">
        <f t="shared" si="27"/>
        <v>1E-3</v>
      </c>
      <c r="P61" s="78">
        <f t="shared" si="27"/>
        <v>1E-3</v>
      </c>
      <c r="Q61" s="78">
        <f t="shared" si="27"/>
        <v>1E-3</v>
      </c>
      <c r="R61" s="78">
        <f t="shared" si="27"/>
        <v>1E-3</v>
      </c>
      <c r="S61" s="78">
        <f t="shared" si="27"/>
        <v>1E-3</v>
      </c>
      <c r="T61" s="78">
        <f t="shared" si="27"/>
        <v>1E-3</v>
      </c>
      <c r="U61" s="78">
        <f t="shared" si="27"/>
        <v>1E-3</v>
      </c>
      <c r="V61" s="78">
        <f t="shared" si="27"/>
        <v>1E-3</v>
      </c>
      <c r="W61" s="78">
        <f t="shared" si="27"/>
        <v>1E-3</v>
      </c>
      <c r="X61" s="78">
        <f t="shared" si="28"/>
        <v>1E-3</v>
      </c>
      <c r="Y61" s="78">
        <f t="shared" si="28"/>
        <v>1E-3</v>
      </c>
      <c r="Z61" s="78">
        <f t="shared" si="28"/>
        <v>1E-3</v>
      </c>
      <c r="AA61" s="78">
        <f t="shared" si="28"/>
        <v>1E-3</v>
      </c>
      <c r="AB61" s="78">
        <f t="shared" si="28"/>
        <v>1E-3</v>
      </c>
      <c r="AC61" s="78">
        <f t="shared" si="28"/>
        <v>1E-3</v>
      </c>
      <c r="AD61" s="78">
        <f t="shared" si="28"/>
        <v>1E-3</v>
      </c>
      <c r="AE61" s="78">
        <f t="shared" si="28"/>
        <v>1E-3</v>
      </c>
      <c r="AF61" s="78">
        <f t="shared" si="28"/>
        <v>1E-3</v>
      </c>
      <c r="AG61" s="78">
        <f t="shared" si="28"/>
        <v>1E-3</v>
      </c>
      <c r="AH61" s="78">
        <f t="shared" si="29"/>
        <v>1E-3</v>
      </c>
      <c r="AI61" s="78">
        <f t="shared" si="29"/>
        <v>1E-3</v>
      </c>
      <c r="AJ61" s="78">
        <f t="shared" si="29"/>
        <v>1E-3</v>
      </c>
      <c r="AK61" s="78">
        <f t="shared" si="29"/>
        <v>1E-3</v>
      </c>
      <c r="AL61" s="78">
        <f t="shared" si="29"/>
        <v>1E-3</v>
      </c>
      <c r="AM61" s="78">
        <f t="shared" si="29"/>
        <v>1E-3</v>
      </c>
      <c r="AN61" s="78">
        <f t="shared" si="29"/>
        <v>1E-3</v>
      </c>
      <c r="AO61" s="78">
        <f t="shared" si="29"/>
        <v>1E-3</v>
      </c>
      <c r="AP61" s="78">
        <f t="shared" si="29"/>
        <v>1E-3</v>
      </c>
      <c r="AQ61" s="79">
        <f t="shared" si="30"/>
        <v>1E-3</v>
      </c>
      <c r="AR61" s="92">
        <f t="shared" si="31"/>
        <v>1.4999999999999999E-2</v>
      </c>
      <c r="AS61" s="86">
        <f t="shared" si="31"/>
        <v>1.4999999999999999E-2</v>
      </c>
      <c r="AT61" s="86">
        <f t="shared" si="31"/>
        <v>1.4999999999999999E-2</v>
      </c>
      <c r="AU61" s="86">
        <f t="shared" si="31"/>
        <v>1.4999999999999999E-2</v>
      </c>
      <c r="AV61" s="86">
        <f t="shared" si="31"/>
        <v>1.4999999999999999E-2</v>
      </c>
      <c r="AW61" s="86">
        <f t="shared" si="31"/>
        <v>1.4999999999999999E-2</v>
      </c>
      <c r="AX61" s="86">
        <f t="shared" si="31"/>
        <v>1.4999999999999999E-2</v>
      </c>
      <c r="AY61" s="87">
        <f t="shared" si="31"/>
        <v>1.4999999999999999E-2</v>
      </c>
      <c r="AZ61" s="72">
        <f t="shared" si="7"/>
        <v>1.4999999999999999E-2</v>
      </c>
      <c r="BA61" s="35">
        <v>43</v>
      </c>
    </row>
    <row r="62" spans="2:53" x14ac:dyDescent="0.25">
      <c r="B62" s="34">
        <v>44</v>
      </c>
      <c r="C62" s="72">
        <f t="shared" si="6"/>
        <v>1.4999999999999999E-2</v>
      </c>
      <c r="D62" s="77">
        <f t="shared" si="26"/>
        <v>1E-3</v>
      </c>
      <c r="E62" s="78">
        <f t="shared" si="26"/>
        <v>1E-3</v>
      </c>
      <c r="F62" s="78">
        <f t="shared" si="26"/>
        <v>1E-3</v>
      </c>
      <c r="G62" s="78">
        <f t="shared" si="26"/>
        <v>1E-3</v>
      </c>
      <c r="H62" s="78">
        <f t="shared" si="26"/>
        <v>1E-3</v>
      </c>
      <c r="I62" s="78">
        <f t="shared" si="26"/>
        <v>1E-3</v>
      </c>
      <c r="J62" s="78">
        <f t="shared" si="26"/>
        <v>1E-3</v>
      </c>
      <c r="K62" s="78">
        <f t="shared" si="26"/>
        <v>1E-3</v>
      </c>
      <c r="L62" s="78">
        <f t="shared" si="26"/>
        <v>1E-3</v>
      </c>
      <c r="M62" s="78">
        <f t="shared" si="26"/>
        <v>1E-3</v>
      </c>
      <c r="N62" s="78">
        <f t="shared" si="27"/>
        <v>1E-3</v>
      </c>
      <c r="O62" s="78">
        <f t="shared" si="27"/>
        <v>1E-3</v>
      </c>
      <c r="P62" s="78">
        <f t="shared" si="27"/>
        <v>1E-3</v>
      </c>
      <c r="Q62" s="78">
        <f t="shared" si="27"/>
        <v>1E-3</v>
      </c>
      <c r="R62" s="78">
        <f t="shared" si="27"/>
        <v>1E-3</v>
      </c>
      <c r="S62" s="78">
        <f t="shared" si="27"/>
        <v>1E-3</v>
      </c>
      <c r="T62" s="78">
        <f t="shared" si="27"/>
        <v>1E-3</v>
      </c>
      <c r="U62" s="78">
        <f t="shared" si="27"/>
        <v>1E-3</v>
      </c>
      <c r="V62" s="78">
        <f t="shared" si="27"/>
        <v>1E-3</v>
      </c>
      <c r="W62" s="78">
        <f t="shared" si="27"/>
        <v>1E-3</v>
      </c>
      <c r="X62" s="78">
        <f t="shared" si="28"/>
        <v>1E-3</v>
      </c>
      <c r="Y62" s="78">
        <f t="shared" si="28"/>
        <v>1E-3</v>
      </c>
      <c r="Z62" s="78">
        <f t="shared" si="28"/>
        <v>1E-3</v>
      </c>
      <c r="AA62" s="78">
        <f t="shared" si="28"/>
        <v>1E-3</v>
      </c>
      <c r="AB62" s="78">
        <f t="shared" si="28"/>
        <v>1E-3</v>
      </c>
      <c r="AC62" s="78">
        <f t="shared" si="28"/>
        <v>1E-3</v>
      </c>
      <c r="AD62" s="78">
        <f t="shared" si="28"/>
        <v>1E-3</v>
      </c>
      <c r="AE62" s="78">
        <f t="shared" si="28"/>
        <v>1E-3</v>
      </c>
      <c r="AF62" s="78">
        <f t="shared" si="28"/>
        <v>1E-3</v>
      </c>
      <c r="AG62" s="78">
        <f t="shared" si="28"/>
        <v>1E-3</v>
      </c>
      <c r="AH62" s="78">
        <f t="shared" si="29"/>
        <v>1E-3</v>
      </c>
      <c r="AI62" s="78">
        <f t="shared" si="29"/>
        <v>1E-3</v>
      </c>
      <c r="AJ62" s="78">
        <f t="shared" si="29"/>
        <v>1E-3</v>
      </c>
      <c r="AK62" s="78">
        <f t="shared" si="29"/>
        <v>1E-3</v>
      </c>
      <c r="AL62" s="78">
        <f t="shared" si="29"/>
        <v>1E-3</v>
      </c>
      <c r="AM62" s="78">
        <f t="shared" si="29"/>
        <v>1E-3</v>
      </c>
      <c r="AN62" s="78">
        <f t="shared" si="29"/>
        <v>1E-3</v>
      </c>
      <c r="AO62" s="78">
        <f t="shared" si="29"/>
        <v>1E-3</v>
      </c>
      <c r="AP62" s="78">
        <f t="shared" si="29"/>
        <v>1E-3</v>
      </c>
      <c r="AQ62" s="79">
        <f t="shared" si="30"/>
        <v>1E-3</v>
      </c>
      <c r="AR62" s="92">
        <f t="shared" si="31"/>
        <v>1.4999999999999999E-2</v>
      </c>
      <c r="AS62" s="86">
        <f t="shared" si="31"/>
        <v>1.4999999999999999E-2</v>
      </c>
      <c r="AT62" s="86">
        <f t="shared" si="31"/>
        <v>1.4999999999999999E-2</v>
      </c>
      <c r="AU62" s="86">
        <f t="shared" si="31"/>
        <v>1.4999999999999999E-2</v>
      </c>
      <c r="AV62" s="86">
        <f t="shared" si="31"/>
        <v>1.4999999999999999E-2</v>
      </c>
      <c r="AW62" s="86">
        <f t="shared" si="31"/>
        <v>1.4999999999999999E-2</v>
      </c>
      <c r="AX62" s="86">
        <f t="shared" si="31"/>
        <v>1.4999999999999999E-2</v>
      </c>
      <c r="AY62" s="87">
        <f t="shared" si="31"/>
        <v>1.4999999999999999E-2</v>
      </c>
      <c r="AZ62" s="72">
        <f t="shared" si="7"/>
        <v>1.4999999999999999E-2</v>
      </c>
      <c r="BA62" s="35">
        <v>44</v>
      </c>
    </row>
    <row r="63" spans="2:53" x14ac:dyDescent="0.25">
      <c r="B63" s="34">
        <v>45</v>
      </c>
      <c r="C63" s="72">
        <f t="shared" si="6"/>
        <v>1.4999999999999999E-2</v>
      </c>
      <c r="D63" s="77">
        <f t="shared" si="26"/>
        <v>1E-3</v>
      </c>
      <c r="E63" s="78">
        <f t="shared" si="26"/>
        <v>1E-3</v>
      </c>
      <c r="F63" s="78">
        <f t="shared" si="26"/>
        <v>1E-3</v>
      </c>
      <c r="G63" s="78">
        <f t="shared" si="26"/>
        <v>1E-3</v>
      </c>
      <c r="H63" s="78">
        <f t="shared" si="26"/>
        <v>1E-3</v>
      </c>
      <c r="I63" s="78">
        <f t="shared" si="26"/>
        <v>1E-3</v>
      </c>
      <c r="J63" s="78">
        <f t="shared" si="26"/>
        <v>1E-3</v>
      </c>
      <c r="K63" s="78">
        <f t="shared" si="26"/>
        <v>1E-3</v>
      </c>
      <c r="L63" s="78">
        <f t="shared" si="26"/>
        <v>1E-3</v>
      </c>
      <c r="M63" s="78">
        <f t="shared" si="26"/>
        <v>1E-3</v>
      </c>
      <c r="N63" s="78">
        <f t="shared" si="27"/>
        <v>1E-3</v>
      </c>
      <c r="O63" s="78">
        <f t="shared" si="27"/>
        <v>1E-3</v>
      </c>
      <c r="P63" s="78">
        <f t="shared" si="27"/>
        <v>1E-3</v>
      </c>
      <c r="Q63" s="78">
        <f t="shared" si="27"/>
        <v>1E-3</v>
      </c>
      <c r="R63" s="78">
        <f t="shared" si="27"/>
        <v>1E-3</v>
      </c>
      <c r="S63" s="78">
        <f t="shared" si="27"/>
        <v>1E-3</v>
      </c>
      <c r="T63" s="78">
        <f t="shared" si="27"/>
        <v>1E-3</v>
      </c>
      <c r="U63" s="78">
        <f t="shared" si="27"/>
        <v>1E-3</v>
      </c>
      <c r="V63" s="78">
        <f t="shared" si="27"/>
        <v>1E-3</v>
      </c>
      <c r="W63" s="78">
        <f t="shared" si="27"/>
        <v>1E-3</v>
      </c>
      <c r="X63" s="78">
        <f t="shared" si="28"/>
        <v>1E-3</v>
      </c>
      <c r="Y63" s="78">
        <f t="shared" si="28"/>
        <v>1E-3</v>
      </c>
      <c r="Z63" s="78">
        <f t="shared" si="28"/>
        <v>1E-3</v>
      </c>
      <c r="AA63" s="78">
        <f t="shared" si="28"/>
        <v>1E-3</v>
      </c>
      <c r="AB63" s="78">
        <f t="shared" si="28"/>
        <v>1E-3</v>
      </c>
      <c r="AC63" s="78">
        <f t="shared" si="28"/>
        <v>1E-3</v>
      </c>
      <c r="AD63" s="78">
        <f t="shared" si="28"/>
        <v>1E-3</v>
      </c>
      <c r="AE63" s="78">
        <f t="shared" si="28"/>
        <v>1E-3</v>
      </c>
      <c r="AF63" s="78">
        <f t="shared" si="28"/>
        <v>1E-3</v>
      </c>
      <c r="AG63" s="78">
        <f t="shared" si="28"/>
        <v>1E-3</v>
      </c>
      <c r="AH63" s="78">
        <f t="shared" si="29"/>
        <v>1E-3</v>
      </c>
      <c r="AI63" s="78">
        <f t="shared" si="29"/>
        <v>1E-3</v>
      </c>
      <c r="AJ63" s="78">
        <f t="shared" si="29"/>
        <v>1E-3</v>
      </c>
      <c r="AK63" s="78">
        <f t="shared" si="29"/>
        <v>1E-3</v>
      </c>
      <c r="AL63" s="78">
        <f t="shared" si="29"/>
        <v>1E-3</v>
      </c>
      <c r="AM63" s="78">
        <f t="shared" si="29"/>
        <v>1E-3</v>
      </c>
      <c r="AN63" s="78">
        <f t="shared" si="29"/>
        <v>1E-3</v>
      </c>
      <c r="AO63" s="78">
        <f t="shared" si="29"/>
        <v>1E-3</v>
      </c>
      <c r="AP63" s="78">
        <f t="shared" si="29"/>
        <v>1E-3</v>
      </c>
      <c r="AQ63" s="79">
        <f t="shared" si="30"/>
        <v>1E-3</v>
      </c>
      <c r="AR63" s="92">
        <f t="shared" si="31"/>
        <v>1.4999999999999999E-2</v>
      </c>
      <c r="AS63" s="86">
        <f t="shared" si="31"/>
        <v>1.4999999999999999E-2</v>
      </c>
      <c r="AT63" s="86">
        <f t="shared" si="31"/>
        <v>1.4999999999999999E-2</v>
      </c>
      <c r="AU63" s="86">
        <f t="shared" si="31"/>
        <v>1.4999999999999999E-2</v>
      </c>
      <c r="AV63" s="86">
        <f t="shared" si="31"/>
        <v>1.4999999999999999E-2</v>
      </c>
      <c r="AW63" s="86">
        <f t="shared" si="31"/>
        <v>1.4999999999999999E-2</v>
      </c>
      <c r="AX63" s="86">
        <f t="shared" si="31"/>
        <v>1.4999999999999999E-2</v>
      </c>
      <c r="AY63" s="87">
        <f t="shared" si="31"/>
        <v>1.4999999999999999E-2</v>
      </c>
      <c r="AZ63" s="72">
        <f t="shared" si="7"/>
        <v>1.4999999999999999E-2</v>
      </c>
      <c r="BA63" s="35">
        <v>45</v>
      </c>
    </row>
    <row r="64" spans="2:53" x14ac:dyDescent="0.25">
      <c r="B64" s="34">
        <v>46</v>
      </c>
      <c r="C64" s="72">
        <f>$F$7</f>
        <v>1E-3</v>
      </c>
      <c r="D64" s="77">
        <f t="shared" si="26"/>
        <v>1E-3</v>
      </c>
      <c r="E64" s="78">
        <f t="shared" si="26"/>
        <v>1E-3</v>
      </c>
      <c r="F64" s="78">
        <f t="shared" si="26"/>
        <v>1E-3</v>
      </c>
      <c r="G64" s="78">
        <f t="shared" si="26"/>
        <v>1E-3</v>
      </c>
      <c r="H64" s="78">
        <f t="shared" si="26"/>
        <v>1E-3</v>
      </c>
      <c r="I64" s="78">
        <f t="shared" si="26"/>
        <v>1E-3</v>
      </c>
      <c r="J64" s="78">
        <f t="shared" si="26"/>
        <v>1E-3</v>
      </c>
      <c r="K64" s="78">
        <f t="shared" si="26"/>
        <v>1E-3</v>
      </c>
      <c r="L64" s="78">
        <f t="shared" si="26"/>
        <v>1E-3</v>
      </c>
      <c r="M64" s="78">
        <f t="shared" si="26"/>
        <v>1E-3</v>
      </c>
      <c r="N64" s="78">
        <f t="shared" si="27"/>
        <v>1E-3</v>
      </c>
      <c r="O64" s="78">
        <f t="shared" si="27"/>
        <v>1E-3</v>
      </c>
      <c r="P64" s="78">
        <f t="shared" si="27"/>
        <v>1E-3</v>
      </c>
      <c r="Q64" s="78">
        <f t="shared" si="27"/>
        <v>1E-3</v>
      </c>
      <c r="R64" s="78">
        <f t="shared" si="27"/>
        <v>1E-3</v>
      </c>
      <c r="S64" s="78">
        <f t="shared" si="27"/>
        <v>1E-3</v>
      </c>
      <c r="T64" s="78">
        <f t="shared" si="27"/>
        <v>1E-3</v>
      </c>
      <c r="U64" s="78">
        <f t="shared" si="27"/>
        <v>1E-3</v>
      </c>
      <c r="V64" s="78">
        <f t="shared" si="27"/>
        <v>1E-3</v>
      </c>
      <c r="W64" s="78">
        <f t="shared" si="27"/>
        <v>1E-3</v>
      </c>
      <c r="X64" s="78">
        <f t="shared" si="28"/>
        <v>1E-3</v>
      </c>
      <c r="Y64" s="78">
        <f t="shared" si="28"/>
        <v>1E-3</v>
      </c>
      <c r="Z64" s="78">
        <f t="shared" si="28"/>
        <v>1E-3</v>
      </c>
      <c r="AA64" s="78">
        <f t="shared" si="28"/>
        <v>1E-3</v>
      </c>
      <c r="AB64" s="78">
        <f t="shared" si="28"/>
        <v>1E-3</v>
      </c>
      <c r="AC64" s="78">
        <f t="shared" si="28"/>
        <v>1E-3</v>
      </c>
      <c r="AD64" s="78">
        <f t="shared" si="28"/>
        <v>1E-3</v>
      </c>
      <c r="AE64" s="78">
        <f t="shared" si="28"/>
        <v>1E-3</v>
      </c>
      <c r="AF64" s="78">
        <f t="shared" si="28"/>
        <v>1E-3</v>
      </c>
      <c r="AG64" s="78">
        <f t="shared" si="28"/>
        <v>1E-3</v>
      </c>
      <c r="AH64" s="78">
        <f t="shared" si="29"/>
        <v>1E-3</v>
      </c>
      <c r="AI64" s="78">
        <f t="shared" si="29"/>
        <v>1E-3</v>
      </c>
      <c r="AJ64" s="78">
        <f t="shared" si="29"/>
        <v>1E-3</v>
      </c>
      <c r="AK64" s="78">
        <f t="shared" si="29"/>
        <v>1E-3</v>
      </c>
      <c r="AL64" s="78">
        <f t="shared" si="29"/>
        <v>1E-3</v>
      </c>
      <c r="AM64" s="78">
        <f t="shared" si="29"/>
        <v>1E-3</v>
      </c>
      <c r="AN64" s="78">
        <f t="shared" si="29"/>
        <v>1E-3</v>
      </c>
      <c r="AO64" s="78">
        <f t="shared" si="29"/>
        <v>1E-3</v>
      </c>
      <c r="AP64" s="78">
        <f t="shared" si="29"/>
        <v>1E-3</v>
      </c>
      <c r="AQ64" s="79">
        <f t="shared" si="30"/>
        <v>1E-3</v>
      </c>
      <c r="AR64" s="92">
        <f t="shared" si="31"/>
        <v>1.4999999999999999E-2</v>
      </c>
      <c r="AS64" s="86">
        <f t="shared" si="31"/>
        <v>1.4999999999999999E-2</v>
      </c>
      <c r="AT64" s="86">
        <f t="shared" si="31"/>
        <v>1.4999999999999999E-2</v>
      </c>
      <c r="AU64" s="86">
        <f t="shared" si="31"/>
        <v>1.4999999999999999E-2</v>
      </c>
      <c r="AV64" s="86">
        <f t="shared" si="31"/>
        <v>1.4999999999999999E-2</v>
      </c>
      <c r="AW64" s="86">
        <f t="shared" si="31"/>
        <v>1.4999999999999999E-2</v>
      </c>
      <c r="AX64" s="86">
        <f t="shared" si="31"/>
        <v>1.4999999999999999E-2</v>
      </c>
      <c r="AY64" s="87">
        <f t="shared" si="31"/>
        <v>1.4999999999999999E-2</v>
      </c>
      <c r="AZ64" s="72">
        <f t="shared" si="7"/>
        <v>1.4999999999999999E-2</v>
      </c>
      <c r="BA64" s="35">
        <v>46</v>
      </c>
    </row>
    <row r="65" spans="2:53" x14ac:dyDescent="0.25">
      <c r="B65" s="34">
        <v>47</v>
      </c>
      <c r="C65" s="72">
        <f>$F$7</f>
        <v>1E-3</v>
      </c>
      <c r="D65" s="77">
        <f t="shared" si="26"/>
        <v>1E-3</v>
      </c>
      <c r="E65" s="78">
        <f t="shared" si="26"/>
        <v>1E-3</v>
      </c>
      <c r="F65" s="78">
        <f t="shared" si="26"/>
        <v>1E-3</v>
      </c>
      <c r="G65" s="78">
        <f t="shared" si="26"/>
        <v>1E-3</v>
      </c>
      <c r="H65" s="78">
        <f t="shared" si="26"/>
        <v>1E-3</v>
      </c>
      <c r="I65" s="78">
        <f t="shared" si="26"/>
        <v>1E-3</v>
      </c>
      <c r="J65" s="78">
        <f t="shared" si="26"/>
        <v>1E-3</v>
      </c>
      <c r="K65" s="78">
        <f t="shared" si="26"/>
        <v>1E-3</v>
      </c>
      <c r="L65" s="78">
        <f t="shared" si="26"/>
        <v>1E-3</v>
      </c>
      <c r="M65" s="78">
        <f t="shared" si="26"/>
        <v>1E-3</v>
      </c>
      <c r="N65" s="78">
        <f t="shared" si="27"/>
        <v>1E-3</v>
      </c>
      <c r="O65" s="78">
        <f t="shared" si="27"/>
        <v>1E-3</v>
      </c>
      <c r="P65" s="78">
        <f t="shared" si="27"/>
        <v>1E-3</v>
      </c>
      <c r="Q65" s="78">
        <f t="shared" si="27"/>
        <v>1E-3</v>
      </c>
      <c r="R65" s="78">
        <f t="shared" si="27"/>
        <v>1E-3</v>
      </c>
      <c r="S65" s="78">
        <f t="shared" si="27"/>
        <v>1E-3</v>
      </c>
      <c r="T65" s="78">
        <f t="shared" si="27"/>
        <v>1E-3</v>
      </c>
      <c r="U65" s="78">
        <f t="shared" si="27"/>
        <v>1E-3</v>
      </c>
      <c r="V65" s="78">
        <f t="shared" si="27"/>
        <v>1E-3</v>
      </c>
      <c r="W65" s="78">
        <f t="shared" si="27"/>
        <v>1E-3</v>
      </c>
      <c r="X65" s="78">
        <f t="shared" si="28"/>
        <v>1E-3</v>
      </c>
      <c r="Y65" s="78">
        <f t="shared" si="28"/>
        <v>1E-3</v>
      </c>
      <c r="Z65" s="78">
        <f t="shared" si="28"/>
        <v>1E-3</v>
      </c>
      <c r="AA65" s="78">
        <f t="shared" si="28"/>
        <v>1E-3</v>
      </c>
      <c r="AB65" s="78">
        <f t="shared" si="28"/>
        <v>1E-3</v>
      </c>
      <c r="AC65" s="78">
        <f t="shared" si="28"/>
        <v>1E-3</v>
      </c>
      <c r="AD65" s="78">
        <f t="shared" si="28"/>
        <v>1E-3</v>
      </c>
      <c r="AE65" s="78">
        <f t="shared" si="28"/>
        <v>1E-3</v>
      </c>
      <c r="AF65" s="78">
        <f t="shared" si="28"/>
        <v>1E-3</v>
      </c>
      <c r="AG65" s="78">
        <f t="shared" si="28"/>
        <v>1E-3</v>
      </c>
      <c r="AH65" s="78">
        <f t="shared" si="29"/>
        <v>1E-3</v>
      </c>
      <c r="AI65" s="78">
        <f t="shared" si="29"/>
        <v>1E-3</v>
      </c>
      <c r="AJ65" s="78">
        <f t="shared" si="29"/>
        <v>1E-3</v>
      </c>
      <c r="AK65" s="78">
        <f t="shared" si="29"/>
        <v>1E-3</v>
      </c>
      <c r="AL65" s="78">
        <f t="shared" si="29"/>
        <v>1E-3</v>
      </c>
      <c r="AM65" s="78">
        <f t="shared" si="29"/>
        <v>1E-3</v>
      </c>
      <c r="AN65" s="78">
        <f t="shared" si="29"/>
        <v>1E-3</v>
      </c>
      <c r="AO65" s="78">
        <f t="shared" si="29"/>
        <v>1E-3</v>
      </c>
      <c r="AP65" s="78">
        <f t="shared" si="29"/>
        <v>1E-3</v>
      </c>
      <c r="AQ65" s="79">
        <f t="shared" si="30"/>
        <v>1E-3</v>
      </c>
      <c r="AR65" s="92">
        <f t="shared" si="31"/>
        <v>1.4999999999999999E-2</v>
      </c>
      <c r="AS65" s="86">
        <f t="shared" si="31"/>
        <v>1.4999999999999999E-2</v>
      </c>
      <c r="AT65" s="86">
        <f t="shared" si="31"/>
        <v>1.4999999999999999E-2</v>
      </c>
      <c r="AU65" s="86">
        <f t="shared" si="31"/>
        <v>1.4999999999999999E-2</v>
      </c>
      <c r="AV65" s="86">
        <f t="shared" si="31"/>
        <v>1.4999999999999999E-2</v>
      </c>
      <c r="AW65" s="86">
        <f t="shared" si="31"/>
        <v>1.4999999999999999E-2</v>
      </c>
      <c r="AX65" s="86">
        <f t="shared" si="31"/>
        <v>1.4999999999999999E-2</v>
      </c>
      <c r="AY65" s="87">
        <f t="shared" si="31"/>
        <v>1.4999999999999999E-2</v>
      </c>
      <c r="AZ65" s="72">
        <f t="shared" si="7"/>
        <v>1.4999999999999999E-2</v>
      </c>
      <c r="BA65" s="35">
        <v>47</v>
      </c>
    </row>
    <row r="66" spans="2:53" x14ac:dyDescent="0.25">
      <c r="B66" s="34">
        <v>48</v>
      </c>
      <c r="C66" s="72">
        <f>$F$7</f>
        <v>1E-3</v>
      </c>
      <c r="D66" s="77">
        <f t="shared" si="26"/>
        <v>1E-3</v>
      </c>
      <c r="E66" s="78">
        <f t="shared" si="26"/>
        <v>1E-3</v>
      </c>
      <c r="F66" s="78">
        <f t="shared" si="26"/>
        <v>1E-3</v>
      </c>
      <c r="G66" s="78">
        <f t="shared" si="26"/>
        <v>1E-3</v>
      </c>
      <c r="H66" s="78">
        <f t="shared" si="26"/>
        <v>1E-3</v>
      </c>
      <c r="I66" s="78">
        <f t="shared" si="26"/>
        <v>1E-3</v>
      </c>
      <c r="J66" s="78">
        <f t="shared" si="26"/>
        <v>1E-3</v>
      </c>
      <c r="K66" s="78">
        <f t="shared" si="26"/>
        <v>1E-3</v>
      </c>
      <c r="L66" s="78">
        <f t="shared" si="26"/>
        <v>1E-3</v>
      </c>
      <c r="M66" s="78">
        <f t="shared" si="26"/>
        <v>1E-3</v>
      </c>
      <c r="N66" s="78">
        <f t="shared" si="27"/>
        <v>1E-3</v>
      </c>
      <c r="O66" s="78">
        <f t="shared" si="27"/>
        <v>1E-3</v>
      </c>
      <c r="P66" s="78">
        <f t="shared" si="27"/>
        <v>1E-3</v>
      </c>
      <c r="Q66" s="78">
        <f t="shared" si="27"/>
        <v>1E-3</v>
      </c>
      <c r="R66" s="78">
        <f t="shared" si="27"/>
        <v>1E-3</v>
      </c>
      <c r="S66" s="78">
        <f t="shared" si="27"/>
        <v>1E-3</v>
      </c>
      <c r="T66" s="78">
        <f t="shared" si="27"/>
        <v>1E-3</v>
      </c>
      <c r="U66" s="78">
        <f t="shared" si="27"/>
        <v>1E-3</v>
      </c>
      <c r="V66" s="78">
        <f t="shared" si="27"/>
        <v>1E-3</v>
      </c>
      <c r="W66" s="78">
        <f t="shared" si="27"/>
        <v>1E-3</v>
      </c>
      <c r="X66" s="78">
        <f t="shared" si="28"/>
        <v>1E-3</v>
      </c>
      <c r="Y66" s="78">
        <f t="shared" si="28"/>
        <v>1E-3</v>
      </c>
      <c r="Z66" s="78">
        <f t="shared" si="28"/>
        <v>1E-3</v>
      </c>
      <c r="AA66" s="78">
        <f t="shared" si="28"/>
        <v>1E-3</v>
      </c>
      <c r="AB66" s="78">
        <f t="shared" si="28"/>
        <v>1E-3</v>
      </c>
      <c r="AC66" s="78">
        <f t="shared" si="28"/>
        <v>1E-3</v>
      </c>
      <c r="AD66" s="78">
        <f t="shared" si="28"/>
        <v>1E-3</v>
      </c>
      <c r="AE66" s="78">
        <f t="shared" si="28"/>
        <v>1E-3</v>
      </c>
      <c r="AF66" s="78">
        <f t="shared" si="28"/>
        <v>1E-3</v>
      </c>
      <c r="AG66" s="78">
        <f t="shared" si="28"/>
        <v>1E-3</v>
      </c>
      <c r="AH66" s="78">
        <f t="shared" si="29"/>
        <v>1E-3</v>
      </c>
      <c r="AI66" s="78">
        <f t="shared" si="29"/>
        <v>1E-3</v>
      </c>
      <c r="AJ66" s="78">
        <f t="shared" si="29"/>
        <v>1E-3</v>
      </c>
      <c r="AK66" s="78">
        <f t="shared" si="29"/>
        <v>1E-3</v>
      </c>
      <c r="AL66" s="78">
        <f t="shared" si="29"/>
        <v>1E-3</v>
      </c>
      <c r="AM66" s="78">
        <f t="shared" si="29"/>
        <v>1E-3</v>
      </c>
      <c r="AN66" s="78">
        <f t="shared" si="29"/>
        <v>1E-3</v>
      </c>
      <c r="AO66" s="78">
        <f t="shared" si="29"/>
        <v>1E-3</v>
      </c>
      <c r="AP66" s="78">
        <f t="shared" si="29"/>
        <v>1E-3</v>
      </c>
      <c r="AQ66" s="79">
        <f t="shared" si="30"/>
        <v>1E-3</v>
      </c>
      <c r="AR66" s="92">
        <f t="shared" si="31"/>
        <v>1.4999999999999999E-2</v>
      </c>
      <c r="AS66" s="86">
        <f t="shared" si="31"/>
        <v>1.4999999999999999E-2</v>
      </c>
      <c r="AT66" s="86">
        <f t="shared" si="31"/>
        <v>1.4999999999999999E-2</v>
      </c>
      <c r="AU66" s="86">
        <f t="shared" si="31"/>
        <v>1.4999999999999999E-2</v>
      </c>
      <c r="AV66" s="86">
        <f t="shared" si="31"/>
        <v>1.4999999999999999E-2</v>
      </c>
      <c r="AW66" s="86">
        <f t="shared" si="31"/>
        <v>1.4999999999999999E-2</v>
      </c>
      <c r="AX66" s="86">
        <f t="shared" si="31"/>
        <v>1.4999999999999999E-2</v>
      </c>
      <c r="AY66" s="87">
        <f t="shared" si="31"/>
        <v>1.4999999999999999E-2</v>
      </c>
      <c r="AZ66" s="72">
        <f t="shared" si="7"/>
        <v>1.4999999999999999E-2</v>
      </c>
      <c r="BA66" s="35">
        <v>48</v>
      </c>
    </row>
    <row r="67" spans="2:53" x14ac:dyDescent="0.25">
      <c r="B67" s="34">
        <v>49</v>
      </c>
      <c r="C67" s="72">
        <f>$F$7</f>
        <v>1E-3</v>
      </c>
      <c r="D67" s="80">
        <f t="shared" si="26"/>
        <v>1E-3</v>
      </c>
      <c r="E67" s="81">
        <f t="shared" si="26"/>
        <v>1E-3</v>
      </c>
      <c r="F67" s="81">
        <f t="shared" si="26"/>
        <v>1E-3</v>
      </c>
      <c r="G67" s="81">
        <f t="shared" si="26"/>
        <v>1E-3</v>
      </c>
      <c r="H67" s="81">
        <f t="shared" si="26"/>
        <v>1E-3</v>
      </c>
      <c r="I67" s="81">
        <f t="shared" si="26"/>
        <v>1E-3</v>
      </c>
      <c r="J67" s="81">
        <f t="shared" si="26"/>
        <v>1E-3</v>
      </c>
      <c r="K67" s="81">
        <f t="shared" si="26"/>
        <v>1E-3</v>
      </c>
      <c r="L67" s="81">
        <f t="shared" si="26"/>
        <v>1E-3</v>
      </c>
      <c r="M67" s="81">
        <f t="shared" si="26"/>
        <v>1E-3</v>
      </c>
      <c r="N67" s="81">
        <f t="shared" si="27"/>
        <v>1E-3</v>
      </c>
      <c r="O67" s="81">
        <f t="shared" si="27"/>
        <v>1E-3</v>
      </c>
      <c r="P67" s="81">
        <f t="shared" si="27"/>
        <v>1E-3</v>
      </c>
      <c r="Q67" s="81">
        <f t="shared" si="27"/>
        <v>1E-3</v>
      </c>
      <c r="R67" s="81">
        <f t="shared" si="27"/>
        <v>1E-3</v>
      </c>
      <c r="S67" s="81">
        <f t="shared" si="27"/>
        <v>1E-3</v>
      </c>
      <c r="T67" s="81">
        <f t="shared" si="27"/>
        <v>1E-3</v>
      </c>
      <c r="U67" s="81">
        <f t="shared" si="27"/>
        <v>1E-3</v>
      </c>
      <c r="V67" s="81">
        <f t="shared" si="27"/>
        <v>1E-3</v>
      </c>
      <c r="W67" s="81">
        <f t="shared" si="27"/>
        <v>1E-3</v>
      </c>
      <c r="X67" s="81">
        <f t="shared" si="28"/>
        <v>1E-3</v>
      </c>
      <c r="Y67" s="81">
        <f t="shared" si="28"/>
        <v>1E-3</v>
      </c>
      <c r="Z67" s="81">
        <f t="shared" si="28"/>
        <v>1E-3</v>
      </c>
      <c r="AA67" s="81">
        <f t="shared" si="28"/>
        <v>1E-3</v>
      </c>
      <c r="AB67" s="81">
        <f t="shared" si="28"/>
        <v>1E-3</v>
      </c>
      <c r="AC67" s="81">
        <f t="shared" si="28"/>
        <v>1E-3</v>
      </c>
      <c r="AD67" s="81">
        <f t="shared" si="28"/>
        <v>1E-3</v>
      </c>
      <c r="AE67" s="81">
        <f t="shared" si="28"/>
        <v>1E-3</v>
      </c>
      <c r="AF67" s="81">
        <f t="shared" si="28"/>
        <v>1E-3</v>
      </c>
      <c r="AG67" s="81">
        <f t="shared" si="28"/>
        <v>1E-3</v>
      </c>
      <c r="AH67" s="81">
        <f t="shared" si="29"/>
        <v>1E-3</v>
      </c>
      <c r="AI67" s="81">
        <f t="shared" si="29"/>
        <v>1E-3</v>
      </c>
      <c r="AJ67" s="81">
        <f t="shared" si="29"/>
        <v>1E-3</v>
      </c>
      <c r="AK67" s="81">
        <f t="shared" si="29"/>
        <v>1E-3</v>
      </c>
      <c r="AL67" s="81">
        <f t="shared" si="29"/>
        <v>1E-3</v>
      </c>
      <c r="AM67" s="81">
        <f t="shared" si="29"/>
        <v>1E-3</v>
      </c>
      <c r="AN67" s="81">
        <f t="shared" si="29"/>
        <v>1E-3</v>
      </c>
      <c r="AO67" s="81">
        <f t="shared" si="29"/>
        <v>1E-3</v>
      </c>
      <c r="AP67" s="81">
        <f t="shared" si="29"/>
        <v>1E-3</v>
      </c>
      <c r="AQ67" s="82">
        <f t="shared" si="30"/>
        <v>1E-3</v>
      </c>
      <c r="AR67" s="93">
        <f t="shared" si="31"/>
        <v>1.4999999999999999E-2</v>
      </c>
      <c r="AS67" s="88">
        <f t="shared" si="31"/>
        <v>1.4999999999999999E-2</v>
      </c>
      <c r="AT67" s="88">
        <f t="shared" si="31"/>
        <v>1.4999999999999999E-2</v>
      </c>
      <c r="AU67" s="88">
        <f t="shared" si="31"/>
        <v>1.4999999999999999E-2</v>
      </c>
      <c r="AV67" s="88">
        <f t="shared" si="31"/>
        <v>1.4999999999999999E-2</v>
      </c>
      <c r="AW67" s="88">
        <f t="shared" si="31"/>
        <v>1.4999999999999999E-2</v>
      </c>
      <c r="AX67" s="88">
        <f t="shared" si="31"/>
        <v>1.4999999999999999E-2</v>
      </c>
      <c r="AY67" s="89">
        <f t="shared" si="31"/>
        <v>1.4999999999999999E-2</v>
      </c>
      <c r="AZ67" s="72">
        <f t="shared" si="7"/>
        <v>1.4999999999999999E-2</v>
      </c>
      <c r="BA67" s="35">
        <v>49</v>
      </c>
    </row>
    <row r="68" spans="2:53" x14ac:dyDescent="0.25">
      <c r="B68" s="34">
        <v>50</v>
      </c>
      <c r="C68" s="73">
        <f t="shared" si="26"/>
        <v>1E-3</v>
      </c>
      <c r="D68" s="70">
        <f t="shared" si="26"/>
        <v>1E-3</v>
      </c>
      <c r="E68" s="70">
        <f t="shared" si="26"/>
        <v>1E-3</v>
      </c>
      <c r="F68" s="70">
        <f t="shared" si="26"/>
        <v>1E-3</v>
      </c>
      <c r="G68" s="70">
        <f t="shared" si="26"/>
        <v>1E-3</v>
      </c>
      <c r="H68" s="70">
        <f t="shared" si="26"/>
        <v>1E-3</v>
      </c>
      <c r="I68" s="70">
        <f t="shared" si="26"/>
        <v>1E-3</v>
      </c>
      <c r="J68" s="70">
        <f t="shared" si="26"/>
        <v>1E-3</v>
      </c>
      <c r="K68" s="70">
        <f t="shared" si="26"/>
        <v>1E-3</v>
      </c>
      <c r="L68" s="70">
        <f t="shared" si="26"/>
        <v>1E-3</v>
      </c>
      <c r="M68" s="70">
        <f t="shared" si="26"/>
        <v>1E-3</v>
      </c>
      <c r="N68" s="70">
        <f t="shared" si="27"/>
        <v>1E-3</v>
      </c>
      <c r="O68" s="70">
        <f t="shared" si="27"/>
        <v>1E-3</v>
      </c>
      <c r="P68" s="70">
        <f t="shared" si="27"/>
        <v>1E-3</v>
      </c>
      <c r="Q68" s="70">
        <f t="shared" si="27"/>
        <v>1E-3</v>
      </c>
      <c r="R68" s="70">
        <f t="shared" si="27"/>
        <v>1E-3</v>
      </c>
      <c r="S68" s="70">
        <f t="shared" si="27"/>
        <v>1E-3</v>
      </c>
      <c r="T68" s="70">
        <f t="shared" si="27"/>
        <v>1E-3</v>
      </c>
      <c r="U68" s="70">
        <f t="shared" si="27"/>
        <v>1E-3</v>
      </c>
      <c r="V68" s="70">
        <f t="shared" si="27"/>
        <v>1E-3</v>
      </c>
      <c r="W68" s="70">
        <f t="shared" si="27"/>
        <v>1E-3</v>
      </c>
      <c r="X68" s="70">
        <f t="shared" si="28"/>
        <v>1E-3</v>
      </c>
      <c r="Y68" s="70">
        <f t="shared" si="28"/>
        <v>1E-3</v>
      </c>
      <c r="Z68" s="70">
        <f t="shared" si="28"/>
        <v>1E-3</v>
      </c>
      <c r="AA68" s="70">
        <f t="shared" si="28"/>
        <v>1E-3</v>
      </c>
      <c r="AB68" s="70">
        <f t="shared" si="28"/>
        <v>1E-3</v>
      </c>
      <c r="AC68" s="70">
        <f t="shared" si="28"/>
        <v>1E-3</v>
      </c>
      <c r="AD68" s="70">
        <f t="shared" si="28"/>
        <v>1E-3</v>
      </c>
      <c r="AE68" s="70">
        <f t="shared" si="28"/>
        <v>1E-3</v>
      </c>
      <c r="AF68" s="70">
        <f t="shared" si="28"/>
        <v>1E-3</v>
      </c>
      <c r="AG68" s="70">
        <f t="shared" si="28"/>
        <v>1E-3</v>
      </c>
      <c r="AH68" s="70">
        <f t="shared" si="29"/>
        <v>1E-3</v>
      </c>
      <c r="AI68" s="70">
        <f t="shared" si="29"/>
        <v>1E-3</v>
      </c>
      <c r="AJ68" s="70">
        <f t="shared" si="29"/>
        <v>1E-3</v>
      </c>
      <c r="AK68" s="70">
        <f t="shared" si="29"/>
        <v>1E-3</v>
      </c>
      <c r="AL68" s="70">
        <f t="shared" si="29"/>
        <v>1E-3</v>
      </c>
      <c r="AM68" s="70">
        <f t="shared" si="29"/>
        <v>1E-3</v>
      </c>
      <c r="AN68" s="70">
        <f t="shared" si="29"/>
        <v>1E-3</v>
      </c>
      <c r="AO68" s="70">
        <f t="shared" si="29"/>
        <v>1E-3</v>
      </c>
      <c r="AP68" s="70">
        <f t="shared" si="29"/>
        <v>1E-3</v>
      </c>
      <c r="AQ68" s="70">
        <f t="shared" si="30"/>
        <v>1E-3</v>
      </c>
      <c r="AR68" s="70">
        <f t="shared" si="31"/>
        <v>1.4999999999999999E-2</v>
      </c>
      <c r="AS68" s="70">
        <f t="shared" si="31"/>
        <v>1.4999999999999999E-2</v>
      </c>
      <c r="AT68" s="70">
        <f t="shared" si="31"/>
        <v>1.4999999999999999E-2</v>
      </c>
      <c r="AU68" s="70">
        <f t="shared" si="31"/>
        <v>1.4999999999999999E-2</v>
      </c>
      <c r="AV68" s="70">
        <f t="shared" si="31"/>
        <v>1.4999999999999999E-2</v>
      </c>
      <c r="AW68" s="70">
        <f t="shared" si="31"/>
        <v>1.4999999999999999E-2</v>
      </c>
      <c r="AX68" s="70">
        <f t="shared" si="31"/>
        <v>1.4999999999999999E-2</v>
      </c>
      <c r="AY68" s="70">
        <f t="shared" si="31"/>
        <v>1.4999999999999999E-2</v>
      </c>
      <c r="AZ68" s="90">
        <f t="shared" si="7"/>
        <v>1.4999999999999999E-2</v>
      </c>
      <c r="BA68" s="35">
        <v>50</v>
      </c>
    </row>
    <row r="69" spans="2:53" x14ac:dyDescent="0.25">
      <c r="B69" s="36"/>
      <c r="C69" s="37">
        <v>1</v>
      </c>
      <c r="D69" s="37">
        <v>2</v>
      </c>
      <c r="E69" s="37">
        <v>3</v>
      </c>
      <c r="F69" s="37">
        <v>4</v>
      </c>
      <c r="G69" s="37">
        <v>5</v>
      </c>
      <c r="H69" s="37">
        <v>6</v>
      </c>
      <c r="I69" s="37">
        <v>7</v>
      </c>
      <c r="J69" s="37">
        <v>8</v>
      </c>
      <c r="K69" s="37">
        <v>9</v>
      </c>
      <c r="L69" s="37">
        <v>10</v>
      </c>
      <c r="M69" s="37">
        <v>11</v>
      </c>
      <c r="N69" s="37">
        <v>12</v>
      </c>
      <c r="O69" s="37">
        <v>13</v>
      </c>
      <c r="P69" s="37">
        <v>14</v>
      </c>
      <c r="Q69" s="37">
        <v>15</v>
      </c>
      <c r="R69" s="37">
        <v>16</v>
      </c>
      <c r="S69" s="37">
        <v>17</v>
      </c>
      <c r="T69" s="37">
        <v>18</v>
      </c>
      <c r="U69" s="37">
        <v>19</v>
      </c>
      <c r="V69" s="37">
        <v>20</v>
      </c>
      <c r="W69" s="37">
        <v>21</v>
      </c>
      <c r="X69" s="37">
        <v>22</v>
      </c>
      <c r="Y69" s="37">
        <v>23</v>
      </c>
      <c r="Z69" s="37">
        <v>24</v>
      </c>
      <c r="AA69" s="37">
        <v>25</v>
      </c>
      <c r="AB69" s="37">
        <v>26</v>
      </c>
      <c r="AC69" s="37">
        <v>27</v>
      </c>
      <c r="AD69" s="37">
        <v>28</v>
      </c>
      <c r="AE69" s="37">
        <v>29</v>
      </c>
      <c r="AF69" s="37">
        <v>30</v>
      </c>
      <c r="AG69" s="37">
        <v>31</v>
      </c>
      <c r="AH69" s="37">
        <v>32</v>
      </c>
      <c r="AI69" s="37">
        <v>33</v>
      </c>
      <c r="AJ69" s="37">
        <v>34</v>
      </c>
      <c r="AK69" s="37">
        <v>35</v>
      </c>
      <c r="AL69" s="37">
        <v>36</v>
      </c>
      <c r="AM69" s="37">
        <v>37</v>
      </c>
      <c r="AN69" s="37">
        <v>38</v>
      </c>
      <c r="AO69" s="37">
        <v>39</v>
      </c>
      <c r="AP69" s="37">
        <v>40</v>
      </c>
      <c r="AQ69" s="37">
        <v>41</v>
      </c>
      <c r="AR69" s="37">
        <v>42</v>
      </c>
      <c r="AS69" s="37">
        <v>43</v>
      </c>
      <c r="AT69" s="37">
        <v>44</v>
      </c>
      <c r="AU69" s="37">
        <v>45</v>
      </c>
      <c r="AV69" s="37">
        <v>46</v>
      </c>
      <c r="AW69" s="37">
        <v>47</v>
      </c>
      <c r="AX69" s="37">
        <v>48</v>
      </c>
      <c r="AY69" s="37">
        <v>49</v>
      </c>
      <c r="AZ69" s="37">
        <v>50</v>
      </c>
      <c r="BA69" s="38"/>
    </row>
  </sheetData>
  <pageMargins left="0.75" right="0.75" top="1" bottom="1" header="0.5" footer="0.5"/>
  <pageSetup paperSize="9" orientation="portrait" horizontalDpi="4294967293" verticalDpi="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A69"/>
  <sheetViews>
    <sheetView zoomScale="75" workbookViewId="0">
      <selection activeCell="C19" sqref="C19:AZ68"/>
    </sheetView>
  </sheetViews>
  <sheetFormatPr defaultRowHeight="13.2" x14ac:dyDescent="0.25"/>
  <cols>
    <col min="2" max="52" width="5.6640625" style="1" customWidth="1"/>
  </cols>
  <sheetData>
    <row r="1" spans="1:22" x14ac:dyDescent="0.25">
      <c r="A1" s="30" t="s">
        <v>11</v>
      </c>
      <c r="P1" s="69"/>
      <c r="Q1" s="69"/>
      <c r="R1" s="69"/>
      <c r="S1" s="69"/>
      <c r="T1" s="69"/>
      <c r="U1" s="69"/>
      <c r="V1" s="69"/>
    </row>
    <row r="2" spans="1:22" x14ac:dyDescent="0.25">
      <c r="P2" s="69"/>
      <c r="Q2" s="60" t="s">
        <v>16</v>
      </c>
      <c r="R2" s="61"/>
      <c r="S2" s="61"/>
      <c r="T2" s="61"/>
      <c r="U2" s="62"/>
      <c r="V2" s="69"/>
    </row>
    <row r="3" spans="1:22" x14ac:dyDescent="0.25">
      <c r="P3" s="69"/>
      <c r="Q3" s="54"/>
      <c r="R3" s="55"/>
      <c r="S3" s="55"/>
      <c r="T3" s="55"/>
      <c r="U3" s="56"/>
      <c r="V3" s="69"/>
    </row>
    <row r="4" spans="1:22" x14ac:dyDescent="0.25">
      <c r="F4" s="50" t="s">
        <v>14</v>
      </c>
      <c r="P4" s="69"/>
      <c r="Q4" s="54"/>
      <c r="R4" s="55"/>
      <c r="S4" s="55"/>
      <c r="T4" s="55"/>
      <c r="U4" s="56"/>
      <c r="V4" s="69"/>
    </row>
    <row r="5" spans="1:22" x14ac:dyDescent="0.25">
      <c r="C5" s="51" t="s">
        <v>17</v>
      </c>
      <c r="D5" s="52"/>
      <c r="E5" s="53"/>
      <c r="F5" s="103">
        <v>100</v>
      </c>
      <c r="P5" s="69"/>
      <c r="Q5" s="54"/>
      <c r="R5" s="55"/>
      <c r="S5" s="55"/>
      <c r="T5" s="55"/>
      <c r="U5" s="56"/>
      <c r="V5" s="69"/>
    </row>
    <row r="6" spans="1:22" x14ac:dyDescent="0.25">
      <c r="C6" s="54" t="s">
        <v>18</v>
      </c>
      <c r="D6" s="55"/>
      <c r="E6" s="56"/>
      <c r="F6" s="104">
        <v>100</v>
      </c>
      <c r="P6" s="69"/>
      <c r="Q6" s="54"/>
      <c r="R6" s="55"/>
      <c r="S6" s="55"/>
      <c r="T6" s="55"/>
      <c r="U6" s="56"/>
      <c r="V6" s="69"/>
    </row>
    <row r="7" spans="1:22" x14ac:dyDescent="0.25">
      <c r="C7" s="57" t="s">
        <v>19</v>
      </c>
      <c r="D7" s="58"/>
      <c r="E7" s="59"/>
      <c r="F7" s="104">
        <v>1</v>
      </c>
      <c r="P7" s="69"/>
      <c r="Q7" s="54"/>
      <c r="R7" s="55"/>
      <c r="S7" s="55"/>
      <c r="T7" s="55"/>
      <c r="U7" s="56"/>
      <c r="V7" s="69"/>
    </row>
    <row r="8" spans="1:22" x14ac:dyDescent="0.25">
      <c r="C8" s="13" t="s">
        <v>20</v>
      </c>
      <c r="D8" s="14"/>
      <c r="E8" s="15"/>
      <c r="F8" s="105">
        <v>10</v>
      </c>
      <c r="P8" s="69"/>
      <c r="Q8" s="54"/>
      <c r="R8" s="55"/>
      <c r="S8" s="55"/>
      <c r="T8" s="55"/>
      <c r="U8" s="56"/>
      <c r="V8" s="69"/>
    </row>
    <row r="9" spans="1:22" x14ac:dyDescent="0.25">
      <c r="P9" s="69"/>
      <c r="Q9" s="54"/>
      <c r="R9" s="55"/>
      <c r="S9" s="55"/>
      <c r="T9" s="55"/>
      <c r="U9" s="56"/>
      <c r="V9" s="69"/>
    </row>
    <row r="10" spans="1:22" x14ac:dyDescent="0.25">
      <c r="P10" s="69"/>
      <c r="Q10" s="63"/>
      <c r="R10" s="64"/>
      <c r="S10" s="64"/>
      <c r="T10" s="64"/>
      <c r="U10" s="65"/>
      <c r="V10" s="69"/>
    </row>
    <row r="11" spans="1:22" x14ac:dyDescent="0.25">
      <c r="P11" s="69"/>
      <c r="Q11" s="69"/>
      <c r="R11" s="69"/>
      <c r="S11" s="69"/>
      <c r="T11" s="69"/>
      <c r="U11" s="69"/>
      <c r="V11" s="69"/>
    </row>
    <row r="18" spans="2:53" x14ac:dyDescent="0.25">
      <c r="B18" s="31"/>
      <c r="C18" s="32">
        <v>1</v>
      </c>
      <c r="D18" s="32">
        <v>2</v>
      </c>
      <c r="E18" s="32">
        <v>3</v>
      </c>
      <c r="F18" s="32">
        <v>4</v>
      </c>
      <c r="G18" s="32">
        <v>5</v>
      </c>
      <c r="H18" s="32">
        <v>6</v>
      </c>
      <c r="I18" s="32">
        <v>7</v>
      </c>
      <c r="J18" s="32">
        <v>8</v>
      </c>
      <c r="K18" s="32">
        <v>9</v>
      </c>
      <c r="L18" s="32">
        <v>10</v>
      </c>
      <c r="M18" s="32">
        <v>11</v>
      </c>
      <c r="N18" s="32">
        <v>12</v>
      </c>
      <c r="O18" s="32">
        <v>13</v>
      </c>
      <c r="P18" s="32">
        <v>14</v>
      </c>
      <c r="Q18" s="32">
        <v>15</v>
      </c>
      <c r="R18" s="32">
        <v>16</v>
      </c>
      <c r="S18" s="32">
        <v>17</v>
      </c>
      <c r="T18" s="32">
        <v>18</v>
      </c>
      <c r="U18" s="32">
        <v>19</v>
      </c>
      <c r="V18" s="32">
        <v>20</v>
      </c>
      <c r="W18" s="32">
        <v>21</v>
      </c>
      <c r="X18" s="32">
        <v>22</v>
      </c>
      <c r="Y18" s="32">
        <v>23</v>
      </c>
      <c r="Z18" s="32">
        <v>24</v>
      </c>
      <c r="AA18" s="32">
        <v>25</v>
      </c>
      <c r="AB18" s="32">
        <v>26</v>
      </c>
      <c r="AC18" s="32">
        <v>27</v>
      </c>
      <c r="AD18" s="32">
        <v>28</v>
      </c>
      <c r="AE18" s="32">
        <v>29</v>
      </c>
      <c r="AF18" s="32">
        <v>30</v>
      </c>
      <c r="AG18" s="32">
        <v>31</v>
      </c>
      <c r="AH18" s="32">
        <v>32</v>
      </c>
      <c r="AI18" s="32">
        <v>33</v>
      </c>
      <c r="AJ18" s="32">
        <v>34</v>
      </c>
      <c r="AK18" s="32">
        <v>35</v>
      </c>
      <c r="AL18" s="32">
        <v>36</v>
      </c>
      <c r="AM18" s="32">
        <v>37</v>
      </c>
      <c r="AN18" s="32">
        <v>38</v>
      </c>
      <c r="AO18" s="32">
        <v>39</v>
      </c>
      <c r="AP18" s="32">
        <v>40</v>
      </c>
      <c r="AQ18" s="32">
        <v>41</v>
      </c>
      <c r="AR18" s="32">
        <v>42</v>
      </c>
      <c r="AS18" s="32">
        <v>43</v>
      </c>
      <c r="AT18" s="32">
        <v>44</v>
      </c>
      <c r="AU18" s="32">
        <v>45</v>
      </c>
      <c r="AV18" s="32">
        <v>46</v>
      </c>
      <c r="AW18" s="32">
        <v>47</v>
      </c>
      <c r="AX18" s="32">
        <v>48</v>
      </c>
      <c r="AY18" s="32">
        <v>49</v>
      </c>
      <c r="AZ18" s="32">
        <v>50</v>
      </c>
      <c r="BA18" s="33"/>
    </row>
    <row r="19" spans="2:53" x14ac:dyDescent="0.25">
      <c r="B19" s="34">
        <v>1</v>
      </c>
      <c r="C19" s="71">
        <f t="shared" ref="C19:L31" si="0">$F$5</f>
        <v>100</v>
      </c>
      <c r="D19" s="70">
        <f t="shared" si="0"/>
        <v>100</v>
      </c>
      <c r="E19" s="70">
        <f t="shared" si="0"/>
        <v>100</v>
      </c>
      <c r="F19" s="70">
        <f t="shared" si="0"/>
        <v>100</v>
      </c>
      <c r="G19" s="70">
        <f t="shared" si="0"/>
        <v>100</v>
      </c>
      <c r="H19" s="70">
        <f t="shared" si="0"/>
        <v>100</v>
      </c>
      <c r="I19" s="70">
        <f t="shared" si="0"/>
        <v>100</v>
      </c>
      <c r="J19" s="70">
        <f t="shared" si="0"/>
        <v>100</v>
      </c>
      <c r="K19" s="70">
        <f t="shared" si="0"/>
        <v>100</v>
      </c>
      <c r="L19" s="70">
        <f t="shared" si="0"/>
        <v>100</v>
      </c>
      <c r="M19" s="70">
        <f t="shared" ref="M19:V31" si="1">$F$5</f>
        <v>100</v>
      </c>
      <c r="N19" s="70">
        <f t="shared" si="1"/>
        <v>100</v>
      </c>
      <c r="O19" s="70">
        <f t="shared" si="1"/>
        <v>100</v>
      </c>
      <c r="P19" s="70">
        <f t="shared" si="1"/>
        <v>100</v>
      </c>
      <c r="Q19" s="70">
        <f t="shared" si="1"/>
        <v>100</v>
      </c>
      <c r="R19" s="70">
        <f t="shared" si="1"/>
        <v>100</v>
      </c>
      <c r="S19" s="70">
        <f t="shared" si="1"/>
        <v>100</v>
      </c>
      <c r="T19" s="70">
        <f t="shared" si="1"/>
        <v>100</v>
      </c>
      <c r="U19" s="70">
        <f t="shared" si="1"/>
        <v>100</v>
      </c>
      <c r="V19" s="70">
        <f t="shared" si="1"/>
        <v>100</v>
      </c>
      <c r="W19" s="70">
        <f t="shared" ref="W19:AF31" si="2">$F$5</f>
        <v>100</v>
      </c>
      <c r="X19" s="70">
        <f t="shared" si="2"/>
        <v>100</v>
      </c>
      <c r="Y19" s="70">
        <f t="shared" si="2"/>
        <v>100</v>
      </c>
      <c r="Z19" s="70">
        <f t="shared" si="2"/>
        <v>100</v>
      </c>
      <c r="AA19" s="70">
        <f t="shared" si="2"/>
        <v>100</v>
      </c>
      <c r="AB19" s="70">
        <f t="shared" si="2"/>
        <v>100</v>
      </c>
      <c r="AC19" s="70">
        <f t="shared" si="2"/>
        <v>100</v>
      </c>
      <c r="AD19" s="70">
        <f t="shared" si="2"/>
        <v>100</v>
      </c>
      <c r="AE19" s="70">
        <f t="shared" si="2"/>
        <v>100</v>
      </c>
      <c r="AF19" s="70">
        <f t="shared" si="2"/>
        <v>100</v>
      </c>
      <c r="AG19" s="70">
        <f t="shared" ref="AG19:AP31" si="3">$F$5</f>
        <v>100</v>
      </c>
      <c r="AH19" s="70">
        <f t="shared" si="3"/>
        <v>100</v>
      </c>
      <c r="AI19" s="70">
        <f t="shared" si="3"/>
        <v>100</v>
      </c>
      <c r="AJ19" s="70">
        <f t="shared" si="3"/>
        <v>100</v>
      </c>
      <c r="AK19" s="70">
        <f t="shared" si="3"/>
        <v>100</v>
      </c>
      <c r="AL19" s="70">
        <f t="shared" si="3"/>
        <v>100</v>
      </c>
      <c r="AM19" s="70">
        <f t="shared" si="3"/>
        <v>100</v>
      </c>
      <c r="AN19" s="70">
        <f t="shared" si="3"/>
        <v>100</v>
      </c>
      <c r="AO19" s="70">
        <f t="shared" si="3"/>
        <v>100</v>
      </c>
      <c r="AP19" s="70">
        <f t="shared" si="3"/>
        <v>100</v>
      </c>
      <c r="AQ19" s="70">
        <f t="shared" ref="AQ19:AQ31" si="4">$F$5</f>
        <v>100</v>
      </c>
      <c r="AR19" s="70">
        <f t="shared" ref="AR19:AZ28" si="5">$F$8</f>
        <v>10</v>
      </c>
      <c r="AS19" s="70">
        <f t="shared" si="5"/>
        <v>10</v>
      </c>
      <c r="AT19" s="70">
        <f t="shared" si="5"/>
        <v>10</v>
      </c>
      <c r="AU19" s="70">
        <f t="shared" si="5"/>
        <v>10</v>
      </c>
      <c r="AV19" s="70">
        <f t="shared" si="5"/>
        <v>10</v>
      </c>
      <c r="AW19" s="70">
        <f t="shared" si="5"/>
        <v>10</v>
      </c>
      <c r="AX19" s="70">
        <f t="shared" si="5"/>
        <v>10</v>
      </c>
      <c r="AY19" s="70">
        <f t="shared" si="5"/>
        <v>10</v>
      </c>
      <c r="AZ19" s="85">
        <f t="shared" si="5"/>
        <v>10</v>
      </c>
      <c r="BA19" s="35">
        <v>1</v>
      </c>
    </row>
    <row r="20" spans="2:53" x14ac:dyDescent="0.25">
      <c r="B20" s="34">
        <v>2</v>
      </c>
      <c r="C20" s="72">
        <f t="shared" si="0"/>
        <v>100</v>
      </c>
      <c r="D20" s="31">
        <f t="shared" si="0"/>
        <v>100</v>
      </c>
      <c r="E20" s="76">
        <f t="shared" si="0"/>
        <v>100</v>
      </c>
      <c r="F20" s="76">
        <f t="shared" si="0"/>
        <v>100</v>
      </c>
      <c r="G20" s="76">
        <f t="shared" si="0"/>
        <v>100</v>
      </c>
      <c r="H20" s="76">
        <f t="shared" si="0"/>
        <v>100</v>
      </c>
      <c r="I20" s="76">
        <f t="shared" si="0"/>
        <v>100</v>
      </c>
      <c r="J20" s="76">
        <f t="shared" si="0"/>
        <v>100</v>
      </c>
      <c r="K20" s="76">
        <f t="shared" si="0"/>
        <v>100</v>
      </c>
      <c r="L20" s="76">
        <f t="shared" si="0"/>
        <v>100</v>
      </c>
      <c r="M20" s="76">
        <f t="shared" si="1"/>
        <v>100</v>
      </c>
      <c r="N20" s="76">
        <f t="shared" si="1"/>
        <v>100</v>
      </c>
      <c r="O20" s="76">
        <f t="shared" si="1"/>
        <v>100</v>
      </c>
      <c r="P20" s="76">
        <f t="shared" si="1"/>
        <v>100</v>
      </c>
      <c r="Q20" s="76">
        <f t="shared" si="1"/>
        <v>100</v>
      </c>
      <c r="R20" s="76">
        <f t="shared" si="1"/>
        <v>100</v>
      </c>
      <c r="S20" s="76">
        <f t="shared" si="1"/>
        <v>100</v>
      </c>
      <c r="T20" s="76">
        <f t="shared" si="1"/>
        <v>100</v>
      </c>
      <c r="U20" s="76">
        <f t="shared" si="1"/>
        <v>100</v>
      </c>
      <c r="V20" s="76">
        <f t="shared" si="1"/>
        <v>100</v>
      </c>
      <c r="W20" s="76">
        <f t="shared" si="2"/>
        <v>100</v>
      </c>
      <c r="X20" s="76">
        <f t="shared" si="2"/>
        <v>100</v>
      </c>
      <c r="Y20" s="76">
        <f t="shared" si="2"/>
        <v>100</v>
      </c>
      <c r="Z20" s="76">
        <f t="shared" si="2"/>
        <v>100</v>
      </c>
      <c r="AA20" s="76">
        <f t="shared" si="2"/>
        <v>100</v>
      </c>
      <c r="AB20" s="76">
        <f t="shared" si="2"/>
        <v>100</v>
      </c>
      <c r="AC20" s="76">
        <f t="shared" si="2"/>
        <v>100</v>
      </c>
      <c r="AD20" s="76">
        <f t="shared" si="2"/>
        <v>100</v>
      </c>
      <c r="AE20" s="76">
        <f t="shared" si="2"/>
        <v>100</v>
      </c>
      <c r="AF20" s="76">
        <f t="shared" si="2"/>
        <v>100</v>
      </c>
      <c r="AG20" s="76">
        <f t="shared" si="3"/>
        <v>100</v>
      </c>
      <c r="AH20" s="76">
        <f t="shared" si="3"/>
        <v>100</v>
      </c>
      <c r="AI20" s="76">
        <f t="shared" si="3"/>
        <v>100</v>
      </c>
      <c r="AJ20" s="76">
        <f t="shared" si="3"/>
        <v>100</v>
      </c>
      <c r="AK20" s="76">
        <f t="shared" si="3"/>
        <v>100</v>
      </c>
      <c r="AL20" s="76">
        <f t="shared" si="3"/>
        <v>100</v>
      </c>
      <c r="AM20" s="76">
        <f t="shared" si="3"/>
        <v>100</v>
      </c>
      <c r="AN20" s="76">
        <f t="shared" si="3"/>
        <v>100</v>
      </c>
      <c r="AO20" s="76">
        <f t="shared" si="3"/>
        <v>100</v>
      </c>
      <c r="AP20" s="76">
        <f t="shared" si="3"/>
        <v>100</v>
      </c>
      <c r="AQ20" s="33">
        <f t="shared" si="4"/>
        <v>100</v>
      </c>
      <c r="AR20" s="91">
        <f t="shared" si="5"/>
        <v>10</v>
      </c>
      <c r="AS20" s="84">
        <f t="shared" si="5"/>
        <v>10</v>
      </c>
      <c r="AT20" s="84">
        <f t="shared" si="5"/>
        <v>10</v>
      </c>
      <c r="AU20" s="84">
        <f t="shared" si="5"/>
        <v>10</v>
      </c>
      <c r="AV20" s="84">
        <f t="shared" si="5"/>
        <v>10</v>
      </c>
      <c r="AW20" s="84">
        <f t="shared" si="5"/>
        <v>10</v>
      </c>
      <c r="AX20" s="84">
        <f t="shared" si="5"/>
        <v>10</v>
      </c>
      <c r="AY20" s="111">
        <f t="shared" si="5"/>
        <v>10</v>
      </c>
      <c r="AZ20" s="72">
        <f t="shared" si="5"/>
        <v>10</v>
      </c>
      <c r="BA20" s="35">
        <v>2</v>
      </c>
    </row>
    <row r="21" spans="2:53" x14ac:dyDescent="0.25">
      <c r="B21" s="34">
        <v>3</v>
      </c>
      <c r="C21" s="72">
        <f t="shared" si="0"/>
        <v>100</v>
      </c>
      <c r="D21" s="74">
        <f t="shared" si="0"/>
        <v>100</v>
      </c>
      <c r="E21" s="75">
        <f t="shared" si="0"/>
        <v>100</v>
      </c>
      <c r="F21" s="75">
        <f t="shared" si="0"/>
        <v>100</v>
      </c>
      <c r="G21" s="75">
        <f t="shared" si="0"/>
        <v>100</v>
      </c>
      <c r="H21" s="75">
        <f t="shared" si="0"/>
        <v>100</v>
      </c>
      <c r="I21" s="75">
        <f t="shared" si="0"/>
        <v>100</v>
      </c>
      <c r="J21" s="75">
        <f t="shared" si="0"/>
        <v>100</v>
      </c>
      <c r="K21" s="75">
        <f t="shared" si="0"/>
        <v>100</v>
      </c>
      <c r="L21" s="75">
        <f t="shared" si="0"/>
        <v>100</v>
      </c>
      <c r="M21" s="75">
        <f t="shared" si="1"/>
        <v>100</v>
      </c>
      <c r="N21" s="75">
        <f t="shared" si="1"/>
        <v>100</v>
      </c>
      <c r="O21" s="75">
        <f t="shared" si="1"/>
        <v>100</v>
      </c>
      <c r="P21" s="75">
        <f t="shared" si="1"/>
        <v>100</v>
      </c>
      <c r="Q21" s="75">
        <f t="shared" si="1"/>
        <v>100</v>
      </c>
      <c r="R21" s="75">
        <f t="shared" si="1"/>
        <v>100</v>
      </c>
      <c r="S21" s="75">
        <f t="shared" si="1"/>
        <v>100</v>
      </c>
      <c r="T21" s="75">
        <f t="shared" si="1"/>
        <v>100</v>
      </c>
      <c r="U21" s="75">
        <f t="shared" si="1"/>
        <v>100</v>
      </c>
      <c r="V21" s="75">
        <f t="shared" si="1"/>
        <v>100</v>
      </c>
      <c r="W21" s="75">
        <f t="shared" si="2"/>
        <v>100</v>
      </c>
      <c r="X21" s="75">
        <f t="shared" si="2"/>
        <v>100</v>
      </c>
      <c r="Y21" s="75">
        <f t="shared" si="2"/>
        <v>100</v>
      </c>
      <c r="Z21" s="75">
        <f t="shared" si="2"/>
        <v>100</v>
      </c>
      <c r="AA21" s="75">
        <f t="shared" si="2"/>
        <v>100</v>
      </c>
      <c r="AB21" s="75">
        <f t="shared" si="2"/>
        <v>100</v>
      </c>
      <c r="AC21" s="75">
        <f t="shared" si="2"/>
        <v>100</v>
      </c>
      <c r="AD21" s="75">
        <f t="shared" si="2"/>
        <v>100</v>
      </c>
      <c r="AE21" s="75">
        <f t="shared" si="2"/>
        <v>100</v>
      </c>
      <c r="AF21" s="75">
        <f t="shared" si="2"/>
        <v>100</v>
      </c>
      <c r="AG21" s="75">
        <f t="shared" si="3"/>
        <v>100</v>
      </c>
      <c r="AH21" s="75">
        <f t="shared" si="3"/>
        <v>100</v>
      </c>
      <c r="AI21" s="75">
        <f t="shared" si="3"/>
        <v>100</v>
      </c>
      <c r="AJ21" s="75">
        <f t="shared" si="3"/>
        <v>100</v>
      </c>
      <c r="AK21" s="75">
        <f t="shared" si="3"/>
        <v>100</v>
      </c>
      <c r="AL21" s="75">
        <f t="shared" si="3"/>
        <v>100</v>
      </c>
      <c r="AM21" s="75">
        <f t="shared" si="3"/>
        <v>100</v>
      </c>
      <c r="AN21" s="75">
        <f t="shared" si="3"/>
        <v>100</v>
      </c>
      <c r="AO21" s="75">
        <f t="shared" si="3"/>
        <v>100</v>
      </c>
      <c r="AP21" s="75">
        <f t="shared" si="3"/>
        <v>100</v>
      </c>
      <c r="AQ21" s="94">
        <f t="shared" si="4"/>
        <v>100</v>
      </c>
      <c r="AR21" s="92">
        <f t="shared" si="5"/>
        <v>10</v>
      </c>
      <c r="AS21" s="86">
        <f t="shared" si="5"/>
        <v>10</v>
      </c>
      <c r="AT21" s="86">
        <f t="shared" si="5"/>
        <v>10</v>
      </c>
      <c r="AU21" s="86">
        <f t="shared" si="5"/>
        <v>10</v>
      </c>
      <c r="AV21" s="86">
        <f t="shared" si="5"/>
        <v>10</v>
      </c>
      <c r="AW21" s="86">
        <f t="shared" si="5"/>
        <v>10</v>
      </c>
      <c r="AX21" s="86">
        <f t="shared" si="5"/>
        <v>10</v>
      </c>
      <c r="AY21" s="87">
        <f t="shared" si="5"/>
        <v>10</v>
      </c>
      <c r="AZ21" s="72">
        <f t="shared" si="5"/>
        <v>10</v>
      </c>
      <c r="BA21" s="35">
        <v>3</v>
      </c>
    </row>
    <row r="22" spans="2:53" x14ac:dyDescent="0.25">
      <c r="B22" s="34">
        <v>4</v>
      </c>
      <c r="C22" s="72">
        <f t="shared" si="0"/>
        <v>100</v>
      </c>
      <c r="D22" s="74">
        <f t="shared" si="0"/>
        <v>100</v>
      </c>
      <c r="E22" s="75">
        <f t="shared" si="0"/>
        <v>100</v>
      </c>
      <c r="F22" s="75">
        <f t="shared" si="0"/>
        <v>100</v>
      </c>
      <c r="G22" s="75">
        <f t="shared" si="0"/>
        <v>100</v>
      </c>
      <c r="H22" s="75">
        <f t="shared" si="0"/>
        <v>100</v>
      </c>
      <c r="I22" s="75">
        <f t="shared" si="0"/>
        <v>100</v>
      </c>
      <c r="J22" s="75">
        <f t="shared" si="0"/>
        <v>100</v>
      </c>
      <c r="K22" s="75">
        <f t="shared" si="0"/>
        <v>100</v>
      </c>
      <c r="L22" s="75">
        <f t="shared" si="0"/>
        <v>100</v>
      </c>
      <c r="M22" s="75">
        <f t="shared" si="1"/>
        <v>100</v>
      </c>
      <c r="N22" s="75">
        <f t="shared" si="1"/>
        <v>100</v>
      </c>
      <c r="O22" s="75">
        <f t="shared" si="1"/>
        <v>100</v>
      </c>
      <c r="P22" s="75">
        <f t="shared" si="1"/>
        <v>100</v>
      </c>
      <c r="Q22" s="75">
        <f t="shared" si="1"/>
        <v>100</v>
      </c>
      <c r="R22" s="75">
        <f t="shared" si="1"/>
        <v>100</v>
      </c>
      <c r="S22" s="75">
        <f t="shared" si="1"/>
        <v>100</v>
      </c>
      <c r="T22" s="75">
        <f t="shared" si="1"/>
        <v>100</v>
      </c>
      <c r="U22" s="75">
        <f t="shared" si="1"/>
        <v>100</v>
      </c>
      <c r="V22" s="75">
        <f t="shared" si="1"/>
        <v>100</v>
      </c>
      <c r="W22" s="75">
        <f t="shared" si="2"/>
        <v>100</v>
      </c>
      <c r="X22" s="75">
        <f t="shared" si="2"/>
        <v>100</v>
      </c>
      <c r="Y22" s="75">
        <f t="shared" si="2"/>
        <v>100</v>
      </c>
      <c r="Z22" s="75">
        <f t="shared" si="2"/>
        <v>100</v>
      </c>
      <c r="AA22" s="75">
        <f t="shared" si="2"/>
        <v>100</v>
      </c>
      <c r="AB22" s="75">
        <f t="shared" si="2"/>
        <v>100</v>
      </c>
      <c r="AC22" s="75">
        <f t="shared" si="2"/>
        <v>100</v>
      </c>
      <c r="AD22" s="75">
        <f t="shared" si="2"/>
        <v>100</v>
      </c>
      <c r="AE22" s="75">
        <f t="shared" si="2"/>
        <v>100</v>
      </c>
      <c r="AF22" s="75">
        <f t="shared" si="2"/>
        <v>100</v>
      </c>
      <c r="AG22" s="75">
        <f t="shared" si="3"/>
        <v>100</v>
      </c>
      <c r="AH22" s="75">
        <f t="shared" si="3"/>
        <v>100</v>
      </c>
      <c r="AI22" s="75">
        <f t="shared" si="3"/>
        <v>100</v>
      </c>
      <c r="AJ22" s="75">
        <f t="shared" si="3"/>
        <v>100</v>
      </c>
      <c r="AK22" s="75">
        <f t="shared" si="3"/>
        <v>100</v>
      </c>
      <c r="AL22" s="75">
        <f t="shared" si="3"/>
        <v>100</v>
      </c>
      <c r="AM22" s="75">
        <f t="shared" si="3"/>
        <v>100</v>
      </c>
      <c r="AN22" s="75">
        <f t="shared" si="3"/>
        <v>100</v>
      </c>
      <c r="AO22" s="75">
        <f t="shared" si="3"/>
        <v>100</v>
      </c>
      <c r="AP22" s="75">
        <f t="shared" si="3"/>
        <v>100</v>
      </c>
      <c r="AQ22" s="94">
        <f t="shared" si="4"/>
        <v>100</v>
      </c>
      <c r="AR22" s="92">
        <f t="shared" si="5"/>
        <v>10</v>
      </c>
      <c r="AS22" s="86">
        <f t="shared" si="5"/>
        <v>10</v>
      </c>
      <c r="AT22" s="86">
        <f t="shared" si="5"/>
        <v>10</v>
      </c>
      <c r="AU22" s="86">
        <f t="shared" si="5"/>
        <v>10</v>
      </c>
      <c r="AV22" s="86">
        <f t="shared" si="5"/>
        <v>10</v>
      </c>
      <c r="AW22" s="86">
        <f t="shared" si="5"/>
        <v>10</v>
      </c>
      <c r="AX22" s="86">
        <f t="shared" si="5"/>
        <v>10</v>
      </c>
      <c r="AY22" s="87">
        <f t="shared" si="5"/>
        <v>10</v>
      </c>
      <c r="AZ22" s="72">
        <f t="shared" si="5"/>
        <v>10</v>
      </c>
      <c r="BA22" s="35">
        <v>4</v>
      </c>
    </row>
    <row r="23" spans="2:53" x14ac:dyDescent="0.25">
      <c r="B23" s="34">
        <v>5</v>
      </c>
      <c r="C23" s="72">
        <f t="shared" si="0"/>
        <v>100</v>
      </c>
      <c r="D23" s="74">
        <f t="shared" si="0"/>
        <v>100</v>
      </c>
      <c r="E23" s="75">
        <f t="shared" si="0"/>
        <v>100</v>
      </c>
      <c r="F23" s="75">
        <f t="shared" si="0"/>
        <v>100</v>
      </c>
      <c r="G23" s="75">
        <f t="shared" si="0"/>
        <v>100</v>
      </c>
      <c r="H23" s="75">
        <f t="shared" si="0"/>
        <v>100</v>
      </c>
      <c r="I23" s="75">
        <f t="shared" si="0"/>
        <v>100</v>
      </c>
      <c r="J23" s="75">
        <f t="shared" si="0"/>
        <v>100</v>
      </c>
      <c r="K23" s="75">
        <f t="shared" si="0"/>
        <v>100</v>
      </c>
      <c r="L23" s="75">
        <f t="shared" si="0"/>
        <v>100</v>
      </c>
      <c r="M23" s="75">
        <f t="shared" si="1"/>
        <v>100</v>
      </c>
      <c r="N23" s="75">
        <f t="shared" si="1"/>
        <v>100</v>
      </c>
      <c r="O23" s="75">
        <f t="shared" si="1"/>
        <v>100</v>
      </c>
      <c r="P23" s="75">
        <f t="shared" si="1"/>
        <v>100</v>
      </c>
      <c r="Q23" s="75">
        <f t="shared" si="1"/>
        <v>100</v>
      </c>
      <c r="R23" s="75">
        <f t="shared" si="1"/>
        <v>100</v>
      </c>
      <c r="S23" s="75">
        <f t="shared" si="1"/>
        <v>100</v>
      </c>
      <c r="T23" s="75">
        <f t="shared" si="1"/>
        <v>100</v>
      </c>
      <c r="U23" s="75">
        <f t="shared" si="1"/>
        <v>100</v>
      </c>
      <c r="V23" s="75">
        <f t="shared" si="1"/>
        <v>100</v>
      </c>
      <c r="W23" s="75">
        <f t="shared" si="2"/>
        <v>100</v>
      </c>
      <c r="X23" s="75">
        <f t="shared" si="2"/>
        <v>100</v>
      </c>
      <c r="Y23" s="75">
        <f t="shared" si="2"/>
        <v>100</v>
      </c>
      <c r="Z23" s="75">
        <f t="shared" si="2"/>
        <v>100</v>
      </c>
      <c r="AA23" s="75">
        <f t="shared" si="2"/>
        <v>100</v>
      </c>
      <c r="AB23" s="75">
        <f t="shared" si="2"/>
        <v>100</v>
      </c>
      <c r="AC23" s="75">
        <f t="shared" si="2"/>
        <v>100</v>
      </c>
      <c r="AD23" s="75">
        <f t="shared" si="2"/>
        <v>100</v>
      </c>
      <c r="AE23" s="75">
        <f t="shared" si="2"/>
        <v>100</v>
      </c>
      <c r="AF23" s="75">
        <f t="shared" si="2"/>
        <v>100</v>
      </c>
      <c r="AG23" s="75">
        <f t="shared" si="3"/>
        <v>100</v>
      </c>
      <c r="AH23" s="75">
        <f t="shared" si="3"/>
        <v>100</v>
      </c>
      <c r="AI23" s="75">
        <f t="shared" si="3"/>
        <v>100</v>
      </c>
      <c r="AJ23" s="75">
        <f t="shared" si="3"/>
        <v>100</v>
      </c>
      <c r="AK23" s="75">
        <f t="shared" si="3"/>
        <v>100</v>
      </c>
      <c r="AL23" s="75">
        <f t="shared" si="3"/>
        <v>100</v>
      </c>
      <c r="AM23" s="75">
        <f t="shared" si="3"/>
        <v>100</v>
      </c>
      <c r="AN23" s="75">
        <f t="shared" si="3"/>
        <v>100</v>
      </c>
      <c r="AO23" s="75">
        <f t="shared" si="3"/>
        <v>100</v>
      </c>
      <c r="AP23" s="75">
        <f t="shared" si="3"/>
        <v>100</v>
      </c>
      <c r="AQ23" s="94">
        <f t="shared" si="4"/>
        <v>100</v>
      </c>
      <c r="AR23" s="92">
        <f t="shared" si="5"/>
        <v>10</v>
      </c>
      <c r="AS23" s="86">
        <f t="shared" si="5"/>
        <v>10</v>
      </c>
      <c r="AT23" s="86">
        <f t="shared" si="5"/>
        <v>10</v>
      </c>
      <c r="AU23" s="86">
        <f t="shared" si="5"/>
        <v>10</v>
      </c>
      <c r="AV23" s="86">
        <f t="shared" si="5"/>
        <v>10</v>
      </c>
      <c r="AW23" s="86">
        <f t="shared" si="5"/>
        <v>10</v>
      </c>
      <c r="AX23" s="86">
        <f t="shared" si="5"/>
        <v>10</v>
      </c>
      <c r="AY23" s="87">
        <f t="shared" si="5"/>
        <v>10</v>
      </c>
      <c r="AZ23" s="72">
        <f t="shared" si="5"/>
        <v>10</v>
      </c>
      <c r="BA23" s="35">
        <v>5</v>
      </c>
    </row>
    <row r="24" spans="2:53" x14ac:dyDescent="0.25">
      <c r="B24" s="34">
        <v>6</v>
      </c>
      <c r="C24" s="72">
        <f t="shared" si="0"/>
        <v>100</v>
      </c>
      <c r="D24" s="74">
        <f t="shared" si="0"/>
        <v>100</v>
      </c>
      <c r="E24" s="75">
        <f t="shared" si="0"/>
        <v>100</v>
      </c>
      <c r="F24" s="75">
        <f t="shared" si="0"/>
        <v>100</v>
      </c>
      <c r="G24" s="75">
        <f t="shared" si="0"/>
        <v>100</v>
      </c>
      <c r="H24" s="75">
        <f t="shared" si="0"/>
        <v>100</v>
      </c>
      <c r="I24" s="75">
        <f t="shared" si="0"/>
        <v>100</v>
      </c>
      <c r="J24" s="75">
        <f t="shared" si="0"/>
        <v>100</v>
      </c>
      <c r="K24" s="75">
        <f t="shared" si="0"/>
        <v>100</v>
      </c>
      <c r="L24" s="75">
        <f t="shared" si="0"/>
        <v>100</v>
      </c>
      <c r="M24" s="75">
        <f t="shared" si="1"/>
        <v>100</v>
      </c>
      <c r="N24" s="75">
        <f t="shared" si="1"/>
        <v>100</v>
      </c>
      <c r="O24" s="75">
        <f t="shared" si="1"/>
        <v>100</v>
      </c>
      <c r="P24" s="75">
        <f t="shared" si="1"/>
        <v>100</v>
      </c>
      <c r="Q24" s="75">
        <f t="shared" si="1"/>
        <v>100</v>
      </c>
      <c r="R24" s="75">
        <f t="shared" si="1"/>
        <v>100</v>
      </c>
      <c r="S24" s="75">
        <f t="shared" si="1"/>
        <v>100</v>
      </c>
      <c r="T24" s="75">
        <f t="shared" si="1"/>
        <v>100</v>
      </c>
      <c r="U24" s="75">
        <f t="shared" si="1"/>
        <v>100</v>
      </c>
      <c r="V24" s="75">
        <f t="shared" si="1"/>
        <v>100</v>
      </c>
      <c r="W24" s="75">
        <f t="shared" si="2"/>
        <v>100</v>
      </c>
      <c r="X24" s="75">
        <f t="shared" si="2"/>
        <v>100</v>
      </c>
      <c r="Y24" s="75">
        <f t="shared" si="2"/>
        <v>100</v>
      </c>
      <c r="Z24" s="75">
        <f t="shared" si="2"/>
        <v>100</v>
      </c>
      <c r="AA24" s="75">
        <f t="shared" si="2"/>
        <v>100</v>
      </c>
      <c r="AB24" s="75">
        <f t="shared" si="2"/>
        <v>100</v>
      </c>
      <c r="AC24" s="75">
        <f t="shared" si="2"/>
        <v>100</v>
      </c>
      <c r="AD24" s="75">
        <f t="shared" si="2"/>
        <v>100</v>
      </c>
      <c r="AE24" s="75">
        <f t="shared" si="2"/>
        <v>100</v>
      </c>
      <c r="AF24" s="75">
        <f t="shared" si="2"/>
        <v>100</v>
      </c>
      <c r="AG24" s="75">
        <f t="shared" si="3"/>
        <v>100</v>
      </c>
      <c r="AH24" s="75">
        <f t="shared" si="3"/>
        <v>100</v>
      </c>
      <c r="AI24" s="75">
        <f t="shared" si="3"/>
        <v>100</v>
      </c>
      <c r="AJ24" s="75">
        <f t="shared" si="3"/>
        <v>100</v>
      </c>
      <c r="AK24" s="75">
        <f t="shared" si="3"/>
        <v>100</v>
      </c>
      <c r="AL24" s="75">
        <f t="shared" si="3"/>
        <v>100</v>
      </c>
      <c r="AM24" s="75">
        <f t="shared" si="3"/>
        <v>100</v>
      </c>
      <c r="AN24" s="75">
        <f t="shared" si="3"/>
        <v>100</v>
      </c>
      <c r="AO24" s="75">
        <f t="shared" si="3"/>
        <v>100</v>
      </c>
      <c r="AP24" s="75">
        <f t="shared" si="3"/>
        <v>100</v>
      </c>
      <c r="AQ24" s="94">
        <f t="shared" si="4"/>
        <v>100</v>
      </c>
      <c r="AR24" s="92">
        <f t="shared" si="5"/>
        <v>10</v>
      </c>
      <c r="AS24" s="86">
        <f t="shared" si="5"/>
        <v>10</v>
      </c>
      <c r="AT24" s="86">
        <f t="shared" si="5"/>
        <v>10</v>
      </c>
      <c r="AU24" s="86">
        <f t="shared" si="5"/>
        <v>10</v>
      </c>
      <c r="AV24" s="86">
        <f t="shared" si="5"/>
        <v>10</v>
      </c>
      <c r="AW24" s="86">
        <f t="shared" si="5"/>
        <v>10</v>
      </c>
      <c r="AX24" s="86">
        <f t="shared" si="5"/>
        <v>10</v>
      </c>
      <c r="AY24" s="87">
        <f t="shared" si="5"/>
        <v>10</v>
      </c>
      <c r="AZ24" s="72">
        <f t="shared" si="5"/>
        <v>10</v>
      </c>
      <c r="BA24" s="35">
        <v>6</v>
      </c>
    </row>
    <row r="25" spans="2:53" x14ac:dyDescent="0.25">
      <c r="B25" s="34">
        <v>7</v>
      </c>
      <c r="C25" s="72">
        <f t="shared" si="0"/>
        <v>100</v>
      </c>
      <c r="D25" s="74">
        <f t="shared" si="0"/>
        <v>100</v>
      </c>
      <c r="E25" s="75">
        <f t="shared" si="0"/>
        <v>100</v>
      </c>
      <c r="F25" s="75">
        <f t="shared" si="0"/>
        <v>100</v>
      </c>
      <c r="G25" s="75">
        <f t="shared" si="0"/>
        <v>100</v>
      </c>
      <c r="H25" s="75">
        <f t="shared" si="0"/>
        <v>100</v>
      </c>
      <c r="I25" s="75">
        <f t="shared" si="0"/>
        <v>100</v>
      </c>
      <c r="J25" s="75">
        <f t="shared" si="0"/>
        <v>100</v>
      </c>
      <c r="K25" s="75">
        <f t="shared" si="0"/>
        <v>100</v>
      </c>
      <c r="L25" s="75">
        <f t="shared" si="0"/>
        <v>100</v>
      </c>
      <c r="M25" s="75">
        <f t="shared" si="1"/>
        <v>100</v>
      </c>
      <c r="N25" s="75">
        <f t="shared" si="1"/>
        <v>100</v>
      </c>
      <c r="O25" s="75">
        <f t="shared" si="1"/>
        <v>100</v>
      </c>
      <c r="P25" s="75">
        <f t="shared" si="1"/>
        <v>100</v>
      </c>
      <c r="Q25" s="75">
        <f t="shared" si="1"/>
        <v>100</v>
      </c>
      <c r="R25" s="75">
        <f t="shared" si="1"/>
        <v>100</v>
      </c>
      <c r="S25" s="75">
        <f t="shared" si="1"/>
        <v>100</v>
      </c>
      <c r="T25" s="75">
        <f t="shared" si="1"/>
        <v>100</v>
      </c>
      <c r="U25" s="75">
        <f t="shared" si="1"/>
        <v>100</v>
      </c>
      <c r="V25" s="75">
        <f t="shared" si="1"/>
        <v>100</v>
      </c>
      <c r="W25" s="75">
        <f t="shared" si="2"/>
        <v>100</v>
      </c>
      <c r="X25" s="75">
        <f t="shared" si="2"/>
        <v>100</v>
      </c>
      <c r="Y25" s="75">
        <f t="shared" si="2"/>
        <v>100</v>
      </c>
      <c r="Z25" s="75">
        <f t="shared" si="2"/>
        <v>100</v>
      </c>
      <c r="AA25" s="75">
        <f t="shared" si="2"/>
        <v>100</v>
      </c>
      <c r="AB25" s="75">
        <f t="shared" si="2"/>
        <v>100</v>
      </c>
      <c r="AC25" s="75">
        <f t="shared" si="2"/>
        <v>100</v>
      </c>
      <c r="AD25" s="75">
        <f t="shared" si="2"/>
        <v>100</v>
      </c>
      <c r="AE25" s="75">
        <f t="shared" si="2"/>
        <v>100</v>
      </c>
      <c r="AF25" s="75">
        <f t="shared" si="2"/>
        <v>100</v>
      </c>
      <c r="AG25" s="75">
        <f t="shared" si="3"/>
        <v>100</v>
      </c>
      <c r="AH25" s="75">
        <f t="shared" si="3"/>
        <v>100</v>
      </c>
      <c r="AI25" s="75">
        <f t="shared" si="3"/>
        <v>100</v>
      </c>
      <c r="AJ25" s="75">
        <f t="shared" si="3"/>
        <v>100</v>
      </c>
      <c r="AK25" s="75">
        <f t="shared" si="3"/>
        <v>100</v>
      </c>
      <c r="AL25" s="75">
        <f t="shared" si="3"/>
        <v>100</v>
      </c>
      <c r="AM25" s="75">
        <f t="shared" si="3"/>
        <v>100</v>
      </c>
      <c r="AN25" s="75">
        <f t="shared" si="3"/>
        <v>100</v>
      </c>
      <c r="AO25" s="75">
        <f t="shared" si="3"/>
        <v>100</v>
      </c>
      <c r="AP25" s="75">
        <f t="shared" si="3"/>
        <v>100</v>
      </c>
      <c r="AQ25" s="94">
        <f t="shared" si="4"/>
        <v>100</v>
      </c>
      <c r="AR25" s="92">
        <f t="shared" si="5"/>
        <v>10</v>
      </c>
      <c r="AS25" s="86">
        <f t="shared" si="5"/>
        <v>10</v>
      </c>
      <c r="AT25" s="86">
        <f t="shared" si="5"/>
        <v>10</v>
      </c>
      <c r="AU25" s="86">
        <f t="shared" si="5"/>
        <v>10</v>
      </c>
      <c r="AV25" s="86">
        <f t="shared" si="5"/>
        <v>10</v>
      </c>
      <c r="AW25" s="86">
        <f t="shared" si="5"/>
        <v>10</v>
      </c>
      <c r="AX25" s="86">
        <f t="shared" si="5"/>
        <v>10</v>
      </c>
      <c r="AY25" s="87">
        <f t="shared" si="5"/>
        <v>10</v>
      </c>
      <c r="AZ25" s="72">
        <f t="shared" si="5"/>
        <v>10</v>
      </c>
      <c r="BA25" s="35">
        <v>7</v>
      </c>
    </row>
    <row r="26" spans="2:53" x14ac:dyDescent="0.25">
      <c r="B26" s="34">
        <v>8</v>
      </c>
      <c r="C26" s="72">
        <f t="shared" si="0"/>
        <v>100</v>
      </c>
      <c r="D26" s="74">
        <f t="shared" si="0"/>
        <v>100</v>
      </c>
      <c r="E26" s="75">
        <f t="shared" si="0"/>
        <v>100</v>
      </c>
      <c r="F26" s="75">
        <f t="shared" si="0"/>
        <v>100</v>
      </c>
      <c r="G26" s="75">
        <f t="shared" si="0"/>
        <v>100</v>
      </c>
      <c r="H26" s="75">
        <f t="shared" si="0"/>
        <v>100</v>
      </c>
      <c r="I26" s="75">
        <f t="shared" si="0"/>
        <v>100</v>
      </c>
      <c r="J26" s="75">
        <f t="shared" si="0"/>
        <v>100</v>
      </c>
      <c r="K26" s="75">
        <f t="shared" si="0"/>
        <v>100</v>
      </c>
      <c r="L26" s="75">
        <f t="shared" si="0"/>
        <v>100</v>
      </c>
      <c r="M26" s="75">
        <f t="shared" si="1"/>
        <v>100</v>
      </c>
      <c r="N26" s="75">
        <f t="shared" si="1"/>
        <v>100</v>
      </c>
      <c r="O26" s="75">
        <f t="shared" si="1"/>
        <v>100</v>
      </c>
      <c r="P26" s="75">
        <f t="shared" si="1"/>
        <v>100</v>
      </c>
      <c r="Q26" s="75">
        <f t="shared" si="1"/>
        <v>100</v>
      </c>
      <c r="R26" s="75">
        <f t="shared" si="1"/>
        <v>100</v>
      </c>
      <c r="S26" s="75">
        <f t="shared" si="1"/>
        <v>100</v>
      </c>
      <c r="T26" s="75">
        <f t="shared" si="1"/>
        <v>100</v>
      </c>
      <c r="U26" s="75">
        <f t="shared" si="1"/>
        <v>100</v>
      </c>
      <c r="V26" s="75">
        <f t="shared" si="1"/>
        <v>100</v>
      </c>
      <c r="W26" s="75">
        <f t="shared" si="2"/>
        <v>100</v>
      </c>
      <c r="X26" s="75">
        <f t="shared" si="2"/>
        <v>100</v>
      </c>
      <c r="Y26" s="75">
        <f t="shared" si="2"/>
        <v>100</v>
      </c>
      <c r="Z26" s="75">
        <f t="shared" si="2"/>
        <v>100</v>
      </c>
      <c r="AA26" s="75">
        <f t="shared" si="2"/>
        <v>100</v>
      </c>
      <c r="AB26" s="75">
        <f t="shared" si="2"/>
        <v>100</v>
      </c>
      <c r="AC26" s="75">
        <f t="shared" si="2"/>
        <v>100</v>
      </c>
      <c r="AD26" s="75">
        <f t="shared" si="2"/>
        <v>100</v>
      </c>
      <c r="AE26" s="75">
        <f t="shared" si="2"/>
        <v>100</v>
      </c>
      <c r="AF26" s="75">
        <f t="shared" si="2"/>
        <v>100</v>
      </c>
      <c r="AG26" s="75">
        <f t="shared" si="3"/>
        <v>100</v>
      </c>
      <c r="AH26" s="75">
        <f t="shared" si="3"/>
        <v>100</v>
      </c>
      <c r="AI26" s="75">
        <f t="shared" si="3"/>
        <v>100</v>
      </c>
      <c r="AJ26" s="75">
        <f t="shared" si="3"/>
        <v>100</v>
      </c>
      <c r="AK26" s="75">
        <f t="shared" si="3"/>
        <v>100</v>
      </c>
      <c r="AL26" s="75">
        <f t="shared" si="3"/>
        <v>100</v>
      </c>
      <c r="AM26" s="75">
        <f t="shared" si="3"/>
        <v>100</v>
      </c>
      <c r="AN26" s="75">
        <f t="shared" si="3"/>
        <v>100</v>
      </c>
      <c r="AO26" s="75">
        <f t="shared" si="3"/>
        <v>100</v>
      </c>
      <c r="AP26" s="75">
        <f t="shared" si="3"/>
        <v>100</v>
      </c>
      <c r="AQ26" s="94">
        <f t="shared" si="4"/>
        <v>100</v>
      </c>
      <c r="AR26" s="92">
        <f t="shared" si="5"/>
        <v>10</v>
      </c>
      <c r="AS26" s="86">
        <f t="shared" si="5"/>
        <v>10</v>
      </c>
      <c r="AT26" s="86">
        <f t="shared" si="5"/>
        <v>10</v>
      </c>
      <c r="AU26" s="86">
        <f t="shared" si="5"/>
        <v>10</v>
      </c>
      <c r="AV26" s="86">
        <f t="shared" si="5"/>
        <v>10</v>
      </c>
      <c r="AW26" s="86">
        <f t="shared" si="5"/>
        <v>10</v>
      </c>
      <c r="AX26" s="86">
        <f t="shared" si="5"/>
        <v>10</v>
      </c>
      <c r="AY26" s="87">
        <f t="shared" si="5"/>
        <v>10</v>
      </c>
      <c r="AZ26" s="72">
        <f t="shared" si="5"/>
        <v>10</v>
      </c>
      <c r="BA26" s="35">
        <v>8</v>
      </c>
    </row>
    <row r="27" spans="2:53" x14ac:dyDescent="0.25">
      <c r="B27" s="34">
        <v>9</v>
      </c>
      <c r="C27" s="72">
        <f t="shared" si="0"/>
        <v>100</v>
      </c>
      <c r="D27" s="74">
        <f t="shared" si="0"/>
        <v>100</v>
      </c>
      <c r="E27" s="75">
        <f t="shared" si="0"/>
        <v>100</v>
      </c>
      <c r="F27" s="75">
        <f t="shared" si="0"/>
        <v>100</v>
      </c>
      <c r="G27" s="75">
        <f t="shared" si="0"/>
        <v>100</v>
      </c>
      <c r="H27" s="75">
        <f t="shared" si="0"/>
        <v>100</v>
      </c>
      <c r="I27" s="75">
        <f t="shared" si="0"/>
        <v>100</v>
      </c>
      <c r="J27" s="75">
        <f t="shared" si="0"/>
        <v>100</v>
      </c>
      <c r="K27" s="75">
        <f t="shared" si="0"/>
        <v>100</v>
      </c>
      <c r="L27" s="75">
        <f t="shared" si="0"/>
        <v>100</v>
      </c>
      <c r="M27" s="75">
        <f t="shared" si="1"/>
        <v>100</v>
      </c>
      <c r="N27" s="75">
        <f t="shared" si="1"/>
        <v>100</v>
      </c>
      <c r="O27" s="75">
        <f t="shared" si="1"/>
        <v>100</v>
      </c>
      <c r="P27" s="75">
        <f t="shared" si="1"/>
        <v>100</v>
      </c>
      <c r="Q27" s="75">
        <f t="shared" si="1"/>
        <v>100</v>
      </c>
      <c r="R27" s="75">
        <f t="shared" si="1"/>
        <v>100</v>
      </c>
      <c r="S27" s="75">
        <f t="shared" si="1"/>
        <v>100</v>
      </c>
      <c r="T27" s="75">
        <f t="shared" si="1"/>
        <v>100</v>
      </c>
      <c r="U27" s="75">
        <f t="shared" si="1"/>
        <v>100</v>
      </c>
      <c r="V27" s="75">
        <f t="shared" si="1"/>
        <v>100</v>
      </c>
      <c r="W27" s="75">
        <f t="shared" si="2"/>
        <v>100</v>
      </c>
      <c r="X27" s="75">
        <f t="shared" si="2"/>
        <v>100</v>
      </c>
      <c r="Y27" s="75">
        <f t="shared" si="2"/>
        <v>100</v>
      </c>
      <c r="Z27" s="75">
        <f t="shared" si="2"/>
        <v>100</v>
      </c>
      <c r="AA27" s="75">
        <f t="shared" si="2"/>
        <v>100</v>
      </c>
      <c r="AB27" s="75">
        <f t="shared" si="2"/>
        <v>100</v>
      </c>
      <c r="AC27" s="75">
        <f t="shared" si="2"/>
        <v>100</v>
      </c>
      <c r="AD27" s="75">
        <f t="shared" si="2"/>
        <v>100</v>
      </c>
      <c r="AE27" s="75">
        <f t="shared" si="2"/>
        <v>100</v>
      </c>
      <c r="AF27" s="75">
        <f t="shared" si="2"/>
        <v>100</v>
      </c>
      <c r="AG27" s="75">
        <f t="shared" si="3"/>
        <v>100</v>
      </c>
      <c r="AH27" s="75">
        <f t="shared" si="3"/>
        <v>100</v>
      </c>
      <c r="AI27" s="75">
        <f t="shared" si="3"/>
        <v>100</v>
      </c>
      <c r="AJ27" s="75">
        <f t="shared" si="3"/>
        <v>100</v>
      </c>
      <c r="AK27" s="75">
        <f t="shared" si="3"/>
        <v>100</v>
      </c>
      <c r="AL27" s="75">
        <f t="shared" si="3"/>
        <v>100</v>
      </c>
      <c r="AM27" s="75">
        <f t="shared" si="3"/>
        <v>100</v>
      </c>
      <c r="AN27" s="75">
        <f t="shared" si="3"/>
        <v>100</v>
      </c>
      <c r="AO27" s="75">
        <f t="shared" si="3"/>
        <v>100</v>
      </c>
      <c r="AP27" s="75">
        <f t="shared" si="3"/>
        <v>100</v>
      </c>
      <c r="AQ27" s="94">
        <f t="shared" si="4"/>
        <v>100</v>
      </c>
      <c r="AR27" s="92">
        <f t="shared" si="5"/>
        <v>10</v>
      </c>
      <c r="AS27" s="86">
        <f t="shared" si="5"/>
        <v>10</v>
      </c>
      <c r="AT27" s="86">
        <f t="shared" si="5"/>
        <v>10</v>
      </c>
      <c r="AU27" s="86">
        <f t="shared" si="5"/>
        <v>10</v>
      </c>
      <c r="AV27" s="86">
        <f t="shared" si="5"/>
        <v>10</v>
      </c>
      <c r="AW27" s="86">
        <f t="shared" si="5"/>
        <v>10</v>
      </c>
      <c r="AX27" s="86">
        <f t="shared" si="5"/>
        <v>10</v>
      </c>
      <c r="AY27" s="87">
        <f t="shared" si="5"/>
        <v>10</v>
      </c>
      <c r="AZ27" s="72">
        <f t="shared" si="5"/>
        <v>10</v>
      </c>
      <c r="BA27" s="35">
        <v>9</v>
      </c>
    </row>
    <row r="28" spans="2:53" x14ac:dyDescent="0.25">
      <c r="B28" s="34">
        <v>10</v>
      </c>
      <c r="C28" s="72">
        <f t="shared" si="0"/>
        <v>100</v>
      </c>
      <c r="D28" s="74">
        <f t="shared" si="0"/>
        <v>100</v>
      </c>
      <c r="E28" s="75">
        <f t="shared" si="0"/>
        <v>100</v>
      </c>
      <c r="F28" s="75">
        <f t="shared" si="0"/>
        <v>100</v>
      </c>
      <c r="G28" s="75">
        <f t="shared" si="0"/>
        <v>100</v>
      </c>
      <c r="H28" s="75">
        <f t="shared" si="0"/>
        <v>100</v>
      </c>
      <c r="I28" s="75">
        <f t="shared" si="0"/>
        <v>100</v>
      </c>
      <c r="J28" s="75">
        <f t="shared" si="0"/>
        <v>100</v>
      </c>
      <c r="K28" s="75">
        <f t="shared" si="0"/>
        <v>100</v>
      </c>
      <c r="L28" s="75">
        <f t="shared" si="0"/>
        <v>100</v>
      </c>
      <c r="M28" s="75">
        <f t="shared" si="1"/>
        <v>100</v>
      </c>
      <c r="N28" s="75">
        <f t="shared" si="1"/>
        <v>100</v>
      </c>
      <c r="O28" s="75">
        <f t="shared" si="1"/>
        <v>100</v>
      </c>
      <c r="P28" s="75">
        <f t="shared" si="1"/>
        <v>100</v>
      </c>
      <c r="Q28" s="75">
        <f t="shared" si="1"/>
        <v>100</v>
      </c>
      <c r="R28" s="75">
        <f t="shared" si="1"/>
        <v>100</v>
      </c>
      <c r="S28" s="75">
        <f t="shared" si="1"/>
        <v>100</v>
      </c>
      <c r="T28" s="75">
        <f t="shared" si="1"/>
        <v>100</v>
      </c>
      <c r="U28" s="75">
        <f t="shared" si="1"/>
        <v>100</v>
      </c>
      <c r="V28" s="75">
        <f t="shared" si="1"/>
        <v>100</v>
      </c>
      <c r="W28" s="75">
        <f t="shared" si="2"/>
        <v>100</v>
      </c>
      <c r="X28" s="75">
        <f t="shared" si="2"/>
        <v>100</v>
      </c>
      <c r="Y28" s="75">
        <f t="shared" si="2"/>
        <v>100</v>
      </c>
      <c r="Z28" s="75">
        <f t="shared" si="2"/>
        <v>100</v>
      </c>
      <c r="AA28" s="75">
        <f t="shared" si="2"/>
        <v>100</v>
      </c>
      <c r="AB28" s="75">
        <f t="shared" si="2"/>
        <v>100</v>
      </c>
      <c r="AC28" s="75">
        <f t="shared" si="2"/>
        <v>100</v>
      </c>
      <c r="AD28" s="75">
        <f t="shared" si="2"/>
        <v>100</v>
      </c>
      <c r="AE28" s="75">
        <f t="shared" si="2"/>
        <v>100</v>
      </c>
      <c r="AF28" s="75">
        <f t="shared" si="2"/>
        <v>100</v>
      </c>
      <c r="AG28" s="75">
        <f t="shared" si="3"/>
        <v>100</v>
      </c>
      <c r="AH28" s="75">
        <f t="shared" si="3"/>
        <v>100</v>
      </c>
      <c r="AI28" s="75">
        <f t="shared" si="3"/>
        <v>100</v>
      </c>
      <c r="AJ28" s="75">
        <f t="shared" si="3"/>
        <v>100</v>
      </c>
      <c r="AK28" s="75">
        <f t="shared" si="3"/>
        <v>100</v>
      </c>
      <c r="AL28" s="75">
        <f t="shared" si="3"/>
        <v>100</v>
      </c>
      <c r="AM28" s="75">
        <f t="shared" si="3"/>
        <v>100</v>
      </c>
      <c r="AN28" s="75">
        <f t="shared" si="3"/>
        <v>100</v>
      </c>
      <c r="AO28" s="75">
        <f t="shared" si="3"/>
        <v>100</v>
      </c>
      <c r="AP28" s="75">
        <f t="shared" si="3"/>
        <v>100</v>
      </c>
      <c r="AQ28" s="94">
        <f t="shared" si="4"/>
        <v>100</v>
      </c>
      <c r="AR28" s="92">
        <f t="shared" si="5"/>
        <v>10</v>
      </c>
      <c r="AS28" s="86">
        <f t="shared" si="5"/>
        <v>10</v>
      </c>
      <c r="AT28" s="86">
        <f t="shared" si="5"/>
        <v>10</v>
      </c>
      <c r="AU28" s="86">
        <f t="shared" si="5"/>
        <v>10</v>
      </c>
      <c r="AV28" s="86">
        <f t="shared" si="5"/>
        <v>10</v>
      </c>
      <c r="AW28" s="86">
        <f t="shared" si="5"/>
        <v>10</v>
      </c>
      <c r="AX28" s="86">
        <f t="shared" si="5"/>
        <v>10</v>
      </c>
      <c r="AY28" s="87">
        <f t="shared" si="5"/>
        <v>10</v>
      </c>
      <c r="AZ28" s="72">
        <f t="shared" si="5"/>
        <v>10</v>
      </c>
      <c r="BA28" s="35">
        <v>10</v>
      </c>
    </row>
    <row r="29" spans="2:53" x14ac:dyDescent="0.25">
      <c r="B29" s="34">
        <v>11</v>
      </c>
      <c r="C29" s="72">
        <f t="shared" si="0"/>
        <v>100</v>
      </c>
      <c r="D29" s="74">
        <f t="shared" si="0"/>
        <v>100</v>
      </c>
      <c r="E29" s="75">
        <f t="shared" si="0"/>
        <v>100</v>
      </c>
      <c r="F29" s="75">
        <f t="shared" si="0"/>
        <v>100</v>
      </c>
      <c r="G29" s="75">
        <f t="shared" si="0"/>
        <v>100</v>
      </c>
      <c r="H29" s="75">
        <f t="shared" si="0"/>
        <v>100</v>
      </c>
      <c r="I29" s="75">
        <f t="shared" si="0"/>
        <v>100</v>
      </c>
      <c r="J29" s="75">
        <f t="shared" si="0"/>
        <v>100</v>
      </c>
      <c r="K29" s="75">
        <f t="shared" si="0"/>
        <v>100</v>
      </c>
      <c r="L29" s="75">
        <f t="shared" si="0"/>
        <v>100</v>
      </c>
      <c r="M29" s="75">
        <f t="shared" si="1"/>
        <v>100</v>
      </c>
      <c r="N29" s="75">
        <f t="shared" si="1"/>
        <v>100</v>
      </c>
      <c r="O29" s="75">
        <f t="shared" si="1"/>
        <v>100</v>
      </c>
      <c r="P29" s="75">
        <f t="shared" si="1"/>
        <v>100</v>
      </c>
      <c r="Q29" s="75">
        <f t="shared" si="1"/>
        <v>100</v>
      </c>
      <c r="R29" s="75">
        <f t="shared" si="1"/>
        <v>100</v>
      </c>
      <c r="S29" s="75">
        <f t="shared" si="1"/>
        <v>100</v>
      </c>
      <c r="T29" s="75">
        <f t="shared" si="1"/>
        <v>100</v>
      </c>
      <c r="U29" s="75">
        <f t="shared" si="1"/>
        <v>100</v>
      </c>
      <c r="V29" s="75">
        <f t="shared" si="1"/>
        <v>100</v>
      </c>
      <c r="W29" s="75">
        <f t="shared" si="2"/>
        <v>100</v>
      </c>
      <c r="X29" s="75">
        <f t="shared" si="2"/>
        <v>100</v>
      </c>
      <c r="Y29" s="75">
        <f t="shared" si="2"/>
        <v>100</v>
      </c>
      <c r="Z29" s="75">
        <f t="shared" si="2"/>
        <v>100</v>
      </c>
      <c r="AA29" s="75">
        <f t="shared" si="2"/>
        <v>100</v>
      </c>
      <c r="AB29" s="75">
        <f t="shared" si="2"/>
        <v>100</v>
      </c>
      <c r="AC29" s="75">
        <f t="shared" si="2"/>
        <v>100</v>
      </c>
      <c r="AD29" s="75">
        <f t="shared" si="2"/>
        <v>100</v>
      </c>
      <c r="AE29" s="75">
        <f t="shared" si="2"/>
        <v>100</v>
      </c>
      <c r="AF29" s="75">
        <f t="shared" si="2"/>
        <v>100</v>
      </c>
      <c r="AG29" s="75">
        <f t="shared" si="3"/>
        <v>100</v>
      </c>
      <c r="AH29" s="75">
        <f t="shared" si="3"/>
        <v>100</v>
      </c>
      <c r="AI29" s="75">
        <f t="shared" si="3"/>
        <v>100</v>
      </c>
      <c r="AJ29" s="75">
        <f t="shared" si="3"/>
        <v>100</v>
      </c>
      <c r="AK29" s="75">
        <f t="shared" si="3"/>
        <v>100</v>
      </c>
      <c r="AL29" s="75">
        <f t="shared" si="3"/>
        <v>100</v>
      </c>
      <c r="AM29" s="75">
        <f t="shared" si="3"/>
        <v>100</v>
      </c>
      <c r="AN29" s="75">
        <f t="shared" si="3"/>
        <v>100</v>
      </c>
      <c r="AO29" s="75">
        <f t="shared" si="3"/>
        <v>100</v>
      </c>
      <c r="AP29" s="75">
        <f t="shared" si="3"/>
        <v>100</v>
      </c>
      <c r="AQ29" s="94">
        <f t="shared" si="4"/>
        <v>100</v>
      </c>
      <c r="AR29" s="92">
        <f t="shared" ref="AR29:AZ38" si="6">$F$8</f>
        <v>10</v>
      </c>
      <c r="AS29" s="86">
        <f t="shared" si="6"/>
        <v>10</v>
      </c>
      <c r="AT29" s="86">
        <f t="shared" si="6"/>
        <v>10</v>
      </c>
      <c r="AU29" s="86">
        <f t="shared" si="6"/>
        <v>10</v>
      </c>
      <c r="AV29" s="86">
        <f t="shared" si="6"/>
        <v>10</v>
      </c>
      <c r="AW29" s="86">
        <f t="shared" si="6"/>
        <v>10</v>
      </c>
      <c r="AX29" s="86">
        <f t="shared" si="6"/>
        <v>10</v>
      </c>
      <c r="AY29" s="87">
        <f t="shared" si="6"/>
        <v>10</v>
      </c>
      <c r="AZ29" s="72">
        <f t="shared" si="6"/>
        <v>10</v>
      </c>
      <c r="BA29" s="35">
        <v>11</v>
      </c>
    </row>
    <row r="30" spans="2:53" x14ac:dyDescent="0.25">
      <c r="B30" s="34">
        <v>12</v>
      </c>
      <c r="C30" s="72">
        <f t="shared" si="0"/>
        <v>100</v>
      </c>
      <c r="D30" s="74">
        <f t="shared" si="0"/>
        <v>100</v>
      </c>
      <c r="E30" s="75">
        <f t="shared" si="0"/>
        <v>100</v>
      </c>
      <c r="F30" s="75">
        <f t="shared" si="0"/>
        <v>100</v>
      </c>
      <c r="G30" s="75">
        <f t="shared" si="0"/>
        <v>100</v>
      </c>
      <c r="H30" s="75">
        <f t="shared" si="0"/>
        <v>100</v>
      </c>
      <c r="I30" s="75">
        <f t="shared" si="0"/>
        <v>100</v>
      </c>
      <c r="J30" s="75">
        <f t="shared" si="0"/>
        <v>100</v>
      </c>
      <c r="K30" s="75">
        <f t="shared" si="0"/>
        <v>100</v>
      </c>
      <c r="L30" s="75">
        <f t="shared" si="0"/>
        <v>100</v>
      </c>
      <c r="M30" s="75">
        <f t="shared" si="1"/>
        <v>100</v>
      </c>
      <c r="N30" s="75">
        <f t="shared" si="1"/>
        <v>100</v>
      </c>
      <c r="O30" s="75">
        <f t="shared" si="1"/>
        <v>100</v>
      </c>
      <c r="P30" s="75">
        <f t="shared" si="1"/>
        <v>100</v>
      </c>
      <c r="Q30" s="75">
        <f t="shared" si="1"/>
        <v>100</v>
      </c>
      <c r="R30" s="75">
        <f t="shared" si="1"/>
        <v>100</v>
      </c>
      <c r="S30" s="75">
        <f t="shared" si="1"/>
        <v>100</v>
      </c>
      <c r="T30" s="75">
        <f t="shared" si="1"/>
        <v>100</v>
      </c>
      <c r="U30" s="75">
        <f t="shared" si="1"/>
        <v>100</v>
      </c>
      <c r="V30" s="75">
        <f t="shared" si="1"/>
        <v>100</v>
      </c>
      <c r="W30" s="75">
        <f t="shared" si="2"/>
        <v>100</v>
      </c>
      <c r="X30" s="75">
        <f t="shared" si="2"/>
        <v>100</v>
      </c>
      <c r="Y30" s="75">
        <f t="shared" si="2"/>
        <v>100</v>
      </c>
      <c r="Z30" s="75">
        <f t="shared" si="2"/>
        <v>100</v>
      </c>
      <c r="AA30" s="75">
        <f t="shared" si="2"/>
        <v>100</v>
      </c>
      <c r="AB30" s="75">
        <f t="shared" si="2"/>
        <v>100</v>
      </c>
      <c r="AC30" s="75">
        <f t="shared" si="2"/>
        <v>100</v>
      </c>
      <c r="AD30" s="75">
        <f t="shared" si="2"/>
        <v>100</v>
      </c>
      <c r="AE30" s="75">
        <f t="shared" si="2"/>
        <v>100</v>
      </c>
      <c r="AF30" s="75">
        <f t="shared" si="2"/>
        <v>100</v>
      </c>
      <c r="AG30" s="75">
        <f t="shared" si="3"/>
        <v>100</v>
      </c>
      <c r="AH30" s="75">
        <f t="shared" si="3"/>
        <v>100</v>
      </c>
      <c r="AI30" s="75">
        <f t="shared" si="3"/>
        <v>100</v>
      </c>
      <c r="AJ30" s="75">
        <f t="shared" si="3"/>
        <v>100</v>
      </c>
      <c r="AK30" s="75">
        <f t="shared" si="3"/>
        <v>100</v>
      </c>
      <c r="AL30" s="75">
        <f t="shared" si="3"/>
        <v>100</v>
      </c>
      <c r="AM30" s="75">
        <f t="shared" si="3"/>
        <v>100</v>
      </c>
      <c r="AN30" s="75">
        <f t="shared" si="3"/>
        <v>100</v>
      </c>
      <c r="AO30" s="75">
        <f t="shared" si="3"/>
        <v>100</v>
      </c>
      <c r="AP30" s="75">
        <f t="shared" si="3"/>
        <v>100</v>
      </c>
      <c r="AQ30" s="94">
        <f t="shared" si="4"/>
        <v>100</v>
      </c>
      <c r="AR30" s="92">
        <f t="shared" si="6"/>
        <v>10</v>
      </c>
      <c r="AS30" s="86">
        <f t="shared" si="6"/>
        <v>10</v>
      </c>
      <c r="AT30" s="86">
        <f t="shared" si="6"/>
        <v>10</v>
      </c>
      <c r="AU30" s="86">
        <f t="shared" si="6"/>
        <v>10</v>
      </c>
      <c r="AV30" s="86">
        <f t="shared" si="6"/>
        <v>10</v>
      </c>
      <c r="AW30" s="86">
        <f t="shared" si="6"/>
        <v>10</v>
      </c>
      <c r="AX30" s="86">
        <f t="shared" si="6"/>
        <v>10</v>
      </c>
      <c r="AY30" s="87">
        <f t="shared" si="6"/>
        <v>10</v>
      </c>
      <c r="AZ30" s="72">
        <f t="shared" si="6"/>
        <v>10</v>
      </c>
      <c r="BA30" s="35">
        <v>12</v>
      </c>
    </row>
    <row r="31" spans="2:53" x14ac:dyDescent="0.25">
      <c r="B31" s="34">
        <v>13</v>
      </c>
      <c r="C31" s="72">
        <f t="shared" si="0"/>
        <v>100</v>
      </c>
      <c r="D31" s="74">
        <f t="shared" si="0"/>
        <v>100</v>
      </c>
      <c r="E31" s="75">
        <f t="shared" si="0"/>
        <v>100</v>
      </c>
      <c r="F31" s="75">
        <f t="shared" si="0"/>
        <v>100</v>
      </c>
      <c r="G31" s="75">
        <f t="shared" si="0"/>
        <v>100</v>
      </c>
      <c r="H31" s="75">
        <f t="shared" si="0"/>
        <v>100</v>
      </c>
      <c r="I31" s="75">
        <f t="shared" si="0"/>
        <v>100</v>
      </c>
      <c r="J31" s="75">
        <f t="shared" si="0"/>
        <v>100</v>
      </c>
      <c r="K31" s="75">
        <f t="shared" si="0"/>
        <v>100</v>
      </c>
      <c r="L31" s="75">
        <f t="shared" si="0"/>
        <v>100</v>
      </c>
      <c r="M31" s="75">
        <f t="shared" si="1"/>
        <v>100</v>
      </c>
      <c r="N31" s="75">
        <f t="shared" si="1"/>
        <v>100</v>
      </c>
      <c r="O31" s="75">
        <f t="shared" si="1"/>
        <v>100</v>
      </c>
      <c r="P31" s="75">
        <f t="shared" si="1"/>
        <v>100</v>
      </c>
      <c r="Q31" s="75">
        <f t="shared" si="1"/>
        <v>100</v>
      </c>
      <c r="R31" s="75">
        <f t="shared" si="1"/>
        <v>100</v>
      </c>
      <c r="S31" s="75">
        <f t="shared" si="1"/>
        <v>100</v>
      </c>
      <c r="T31" s="75">
        <f t="shared" si="1"/>
        <v>100</v>
      </c>
      <c r="U31" s="75">
        <f t="shared" si="1"/>
        <v>100</v>
      </c>
      <c r="V31" s="75">
        <f t="shared" si="1"/>
        <v>100</v>
      </c>
      <c r="W31" s="75">
        <f t="shared" si="2"/>
        <v>100</v>
      </c>
      <c r="X31" s="75">
        <f t="shared" si="2"/>
        <v>100</v>
      </c>
      <c r="Y31" s="75">
        <f t="shared" si="2"/>
        <v>100</v>
      </c>
      <c r="Z31" s="75">
        <f t="shared" si="2"/>
        <v>100</v>
      </c>
      <c r="AA31" s="75">
        <f t="shared" si="2"/>
        <v>100</v>
      </c>
      <c r="AB31" s="75">
        <f t="shared" si="2"/>
        <v>100</v>
      </c>
      <c r="AC31" s="75">
        <f t="shared" si="2"/>
        <v>100</v>
      </c>
      <c r="AD31" s="75">
        <f t="shared" si="2"/>
        <v>100</v>
      </c>
      <c r="AE31" s="75">
        <f t="shared" si="2"/>
        <v>100</v>
      </c>
      <c r="AF31" s="75">
        <f t="shared" si="2"/>
        <v>100</v>
      </c>
      <c r="AG31" s="75">
        <f t="shared" si="3"/>
        <v>100</v>
      </c>
      <c r="AH31" s="75">
        <f t="shared" si="3"/>
        <v>100</v>
      </c>
      <c r="AI31" s="75">
        <f t="shared" si="3"/>
        <v>100</v>
      </c>
      <c r="AJ31" s="75">
        <f t="shared" si="3"/>
        <v>100</v>
      </c>
      <c r="AK31" s="75">
        <f t="shared" si="3"/>
        <v>100</v>
      </c>
      <c r="AL31" s="75">
        <f t="shared" si="3"/>
        <v>100</v>
      </c>
      <c r="AM31" s="75">
        <f t="shared" si="3"/>
        <v>100</v>
      </c>
      <c r="AN31" s="75">
        <f t="shared" si="3"/>
        <v>100</v>
      </c>
      <c r="AO31" s="75">
        <f t="shared" si="3"/>
        <v>100</v>
      </c>
      <c r="AP31" s="75">
        <f t="shared" si="3"/>
        <v>100</v>
      </c>
      <c r="AQ31" s="94">
        <f t="shared" si="4"/>
        <v>100</v>
      </c>
      <c r="AR31" s="92">
        <f t="shared" si="6"/>
        <v>10</v>
      </c>
      <c r="AS31" s="86">
        <f t="shared" si="6"/>
        <v>10</v>
      </c>
      <c r="AT31" s="86">
        <f t="shared" si="6"/>
        <v>10</v>
      </c>
      <c r="AU31" s="86">
        <f t="shared" si="6"/>
        <v>10</v>
      </c>
      <c r="AV31" s="86">
        <f t="shared" si="6"/>
        <v>10</v>
      </c>
      <c r="AW31" s="86">
        <f t="shared" si="6"/>
        <v>10</v>
      </c>
      <c r="AX31" s="86">
        <f t="shared" si="6"/>
        <v>10</v>
      </c>
      <c r="AY31" s="87">
        <f t="shared" si="6"/>
        <v>10</v>
      </c>
      <c r="AZ31" s="72">
        <f t="shared" si="6"/>
        <v>10</v>
      </c>
      <c r="BA31" s="35">
        <v>13</v>
      </c>
    </row>
    <row r="32" spans="2:53" x14ac:dyDescent="0.25">
      <c r="B32" s="34">
        <v>14</v>
      </c>
      <c r="C32" s="72">
        <f t="shared" ref="C32:L37" si="7">$F$5</f>
        <v>100</v>
      </c>
      <c r="D32" s="74">
        <f t="shared" si="7"/>
        <v>100</v>
      </c>
      <c r="E32" s="75">
        <f t="shared" si="7"/>
        <v>100</v>
      </c>
      <c r="F32" s="75">
        <f t="shared" si="7"/>
        <v>100</v>
      </c>
      <c r="G32" s="75">
        <f t="shared" si="7"/>
        <v>100</v>
      </c>
      <c r="H32" s="75">
        <f t="shared" si="7"/>
        <v>100</v>
      </c>
      <c r="I32" s="75">
        <f t="shared" si="7"/>
        <v>100</v>
      </c>
      <c r="J32" s="75">
        <f t="shared" si="7"/>
        <v>100</v>
      </c>
      <c r="K32" s="75">
        <f t="shared" si="7"/>
        <v>100</v>
      </c>
      <c r="L32" s="75">
        <f t="shared" si="7"/>
        <v>100</v>
      </c>
      <c r="M32" s="75">
        <f t="shared" ref="M32:V37" si="8">$F$5</f>
        <v>100</v>
      </c>
      <c r="N32" s="75">
        <f t="shared" si="8"/>
        <v>100</v>
      </c>
      <c r="O32" s="75">
        <f t="shared" si="8"/>
        <v>100</v>
      </c>
      <c r="P32" s="75">
        <f t="shared" si="8"/>
        <v>100</v>
      </c>
      <c r="Q32" s="75">
        <f t="shared" si="8"/>
        <v>100</v>
      </c>
      <c r="R32" s="75">
        <f t="shared" si="8"/>
        <v>100</v>
      </c>
      <c r="S32" s="75">
        <f t="shared" si="8"/>
        <v>100</v>
      </c>
      <c r="T32" s="75">
        <f t="shared" si="8"/>
        <v>100</v>
      </c>
      <c r="U32" s="75">
        <f t="shared" si="8"/>
        <v>100</v>
      </c>
      <c r="V32" s="75">
        <f t="shared" si="8"/>
        <v>100</v>
      </c>
      <c r="W32" s="106">
        <f t="shared" ref="W32:AG41" si="9">$F$6</f>
        <v>100</v>
      </c>
      <c r="X32" s="107">
        <f t="shared" si="9"/>
        <v>100</v>
      </c>
      <c r="Y32" s="107">
        <f t="shared" si="9"/>
        <v>100</v>
      </c>
      <c r="Z32" s="107">
        <f t="shared" si="9"/>
        <v>100</v>
      </c>
      <c r="AA32" s="107">
        <f t="shared" si="9"/>
        <v>100</v>
      </c>
      <c r="AB32" s="107">
        <f t="shared" si="9"/>
        <v>100</v>
      </c>
      <c r="AC32" s="107">
        <f t="shared" si="9"/>
        <v>100</v>
      </c>
      <c r="AD32" s="107">
        <f t="shared" si="9"/>
        <v>100</v>
      </c>
      <c r="AE32" s="107">
        <f t="shared" si="9"/>
        <v>100</v>
      </c>
      <c r="AF32" s="107">
        <f t="shared" si="9"/>
        <v>100</v>
      </c>
      <c r="AG32" s="107">
        <f t="shared" si="9"/>
        <v>100</v>
      </c>
      <c r="AH32" s="107">
        <f t="shared" ref="AH32:AP41" si="10">$F$6</f>
        <v>100</v>
      </c>
      <c r="AI32" s="107">
        <f t="shared" si="10"/>
        <v>100</v>
      </c>
      <c r="AJ32" s="107">
        <f t="shared" si="10"/>
        <v>100</v>
      </c>
      <c r="AK32" s="107">
        <f t="shared" si="10"/>
        <v>100</v>
      </c>
      <c r="AL32" s="107">
        <f t="shared" si="10"/>
        <v>100</v>
      </c>
      <c r="AM32" s="107">
        <f t="shared" si="10"/>
        <v>100</v>
      </c>
      <c r="AN32" s="107">
        <f t="shared" si="10"/>
        <v>100</v>
      </c>
      <c r="AO32" s="107">
        <f t="shared" si="10"/>
        <v>100</v>
      </c>
      <c r="AP32" s="107">
        <f t="shared" si="10"/>
        <v>100</v>
      </c>
      <c r="AQ32" s="108">
        <f t="shared" ref="AQ32:AQ41" si="11">$F$6</f>
        <v>100</v>
      </c>
      <c r="AR32" s="92">
        <f t="shared" si="6"/>
        <v>10</v>
      </c>
      <c r="AS32" s="86">
        <f t="shared" si="6"/>
        <v>10</v>
      </c>
      <c r="AT32" s="86">
        <f t="shared" si="6"/>
        <v>10</v>
      </c>
      <c r="AU32" s="86">
        <f t="shared" si="6"/>
        <v>10</v>
      </c>
      <c r="AV32" s="86">
        <f t="shared" si="6"/>
        <v>10</v>
      </c>
      <c r="AW32" s="86">
        <f t="shared" si="6"/>
        <v>10</v>
      </c>
      <c r="AX32" s="86">
        <f t="shared" si="6"/>
        <v>10</v>
      </c>
      <c r="AY32" s="87">
        <f t="shared" si="6"/>
        <v>10</v>
      </c>
      <c r="AZ32" s="72">
        <f t="shared" si="6"/>
        <v>10</v>
      </c>
      <c r="BA32" s="35">
        <v>14</v>
      </c>
    </row>
    <row r="33" spans="2:53" x14ac:dyDescent="0.25">
      <c r="B33" s="34">
        <v>15</v>
      </c>
      <c r="C33" s="72">
        <f t="shared" si="7"/>
        <v>100</v>
      </c>
      <c r="D33" s="74">
        <f t="shared" si="7"/>
        <v>100</v>
      </c>
      <c r="E33" s="75">
        <f t="shared" si="7"/>
        <v>100</v>
      </c>
      <c r="F33" s="75">
        <f t="shared" si="7"/>
        <v>100</v>
      </c>
      <c r="G33" s="75">
        <f t="shared" si="7"/>
        <v>100</v>
      </c>
      <c r="H33" s="75">
        <f t="shared" si="7"/>
        <v>100</v>
      </c>
      <c r="I33" s="75">
        <f t="shared" si="7"/>
        <v>100</v>
      </c>
      <c r="J33" s="75">
        <f t="shared" si="7"/>
        <v>100</v>
      </c>
      <c r="K33" s="75">
        <f t="shared" si="7"/>
        <v>100</v>
      </c>
      <c r="L33" s="75">
        <f t="shared" si="7"/>
        <v>100</v>
      </c>
      <c r="M33" s="75">
        <f t="shared" si="8"/>
        <v>100</v>
      </c>
      <c r="N33" s="75">
        <f t="shared" si="8"/>
        <v>100</v>
      </c>
      <c r="O33" s="75">
        <f t="shared" si="8"/>
        <v>100</v>
      </c>
      <c r="P33" s="75">
        <f t="shared" si="8"/>
        <v>100</v>
      </c>
      <c r="Q33" s="75">
        <f t="shared" si="8"/>
        <v>100</v>
      </c>
      <c r="R33" s="75">
        <f t="shared" si="8"/>
        <v>100</v>
      </c>
      <c r="S33" s="75">
        <f t="shared" si="8"/>
        <v>100</v>
      </c>
      <c r="T33" s="75">
        <f t="shared" si="8"/>
        <v>100</v>
      </c>
      <c r="U33" s="75">
        <f t="shared" si="8"/>
        <v>100</v>
      </c>
      <c r="V33" s="75">
        <f t="shared" si="8"/>
        <v>100</v>
      </c>
      <c r="W33" s="109">
        <f t="shared" si="9"/>
        <v>100</v>
      </c>
      <c r="X33" s="83">
        <f t="shared" si="9"/>
        <v>100</v>
      </c>
      <c r="Y33" s="83">
        <f t="shared" si="9"/>
        <v>100</v>
      </c>
      <c r="Z33" s="83">
        <f t="shared" si="9"/>
        <v>100</v>
      </c>
      <c r="AA33" s="83">
        <f t="shared" si="9"/>
        <v>100</v>
      </c>
      <c r="AB33" s="83">
        <f t="shared" si="9"/>
        <v>100</v>
      </c>
      <c r="AC33" s="83">
        <f t="shared" si="9"/>
        <v>100</v>
      </c>
      <c r="AD33" s="83">
        <f t="shared" si="9"/>
        <v>100</v>
      </c>
      <c r="AE33" s="83">
        <f t="shared" si="9"/>
        <v>100</v>
      </c>
      <c r="AF33" s="83">
        <f t="shared" si="9"/>
        <v>100</v>
      </c>
      <c r="AG33" s="83">
        <f t="shared" si="9"/>
        <v>100</v>
      </c>
      <c r="AH33" s="83">
        <f t="shared" si="10"/>
        <v>100</v>
      </c>
      <c r="AI33" s="83">
        <f t="shared" si="10"/>
        <v>100</v>
      </c>
      <c r="AJ33" s="83">
        <f t="shared" si="10"/>
        <v>100</v>
      </c>
      <c r="AK33" s="83">
        <f t="shared" si="10"/>
        <v>100</v>
      </c>
      <c r="AL33" s="83">
        <f t="shared" si="10"/>
        <v>100</v>
      </c>
      <c r="AM33" s="83">
        <f t="shared" si="10"/>
        <v>100</v>
      </c>
      <c r="AN33" s="83">
        <f t="shared" si="10"/>
        <v>100</v>
      </c>
      <c r="AO33" s="83">
        <f t="shared" si="10"/>
        <v>100</v>
      </c>
      <c r="AP33" s="83">
        <f t="shared" si="10"/>
        <v>100</v>
      </c>
      <c r="AQ33" s="110">
        <f t="shared" si="11"/>
        <v>100</v>
      </c>
      <c r="AR33" s="92">
        <f t="shared" si="6"/>
        <v>10</v>
      </c>
      <c r="AS33" s="86">
        <f t="shared" si="6"/>
        <v>10</v>
      </c>
      <c r="AT33" s="86">
        <f t="shared" si="6"/>
        <v>10</v>
      </c>
      <c r="AU33" s="86">
        <f t="shared" si="6"/>
        <v>10</v>
      </c>
      <c r="AV33" s="86">
        <f t="shared" si="6"/>
        <v>10</v>
      </c>
      <c r="AW33" s="86">
        <f t="shared" si="6"/>
        <v>10</v>
      </c>
      <c r="AX33" s="86">
        <f t="shared" si="6"/>
        <v>10</v>
      </c>
      <c r="AY33" s="87">
        <f t="shared" si="6"/>
        <v>10</v>
      </c>
      <c r="AZ33" s="72">
        <f t="shared" si="6"/>
        <v>10</v>
      </c>
      <c r="BA33" s="35">
        <v>15</v>
      </c>
    </row>
    <row r="34" spans="2:53" x14ac:dyDescent="0.25">
      <c r="B34" s="34">
        <v>16</v>
      </c>
      <c r="C34" s="72">
        <f t="shared" si="7"/>
        <v>100</v>
      </c>
      <c r="D34" s="74">
        <f t="shared" si="7"/>
        <v>100</v>
      </c>
      <c r="E34" s="75">
        <f t="shared" si="7"/>
        <v>100</v>
      </c>
      <c r="F34" s="75">
        <f t="shared" si="7"/>
        <v>100</v>
      </c>
      <c r="G34" s="75">
        <f t="shared" si="7"/>
        <v>100</v>
      </c>
      <c r="H34" s="75">
        <f t="shared" si="7"/>
        <v>100</v>
      </c>
      <c r="I34" s="75">
        <f t="shared" si="7"/>
        <v>100</v>
      </c>
      <c r="J34" s="75">
        <f t="shared" si="7"/>
        <v>100</v>
      </c>
      <c r="K34" s="75">
        <f t="shared" si="7"/>
        <v>100</v>
      </c>
      <c r="L34" s="75">
        <f t="shared" si="7"/>
        <v>100</v>
      </c>
      <c r="M34" s="75">
        <f t="shared" si="8"/>
        <v>100</v>
      </c>
      <c r="N34" s="75">
        <f t="shared" si="8"/>
        <v>100</v>
      </c>
      <c r="O34" s="75">
        <f t="shared" si="8"/>
        <v>100</v>
      </c>
      <c r="P34" s="75">
        <f t="shared" si="8"/>
        <v>100</v>
      </c>
      <c r="Q34" s="75">
        <f t="shared" si="8"/>
        <v>100</v>
      </c>
      <c r="R34" s="75">
        <f t="shared" si="8"/>
        <v>100</v>
      </c>
      <c r="S34" s="75">
        <f t="shared" si="8"/>
        <v>100</v>
      </c>
      <c r="T34" s="75">
        <f t="shared" si="8"/>
        <v>100</v>
      </c>
      <c r="U34" s="75">
        <f t="shared" si="8"/>
        <v>100</v>
      </c>
      <c r="V34" s="75">
        <f t="shared" si="8"/>
        <v>100</v>
      </c>
      <c r="W34" s="109">
        <f t="shared" si="9"/>
        <v>100</v>
      </c>
      <c r="X34" s="83">
        <f t="shared" si="9"/>
        <v>100</v>
      </c>
      <c r="Y34" s="83">
        <f t="shared" si="9"/>
        <v>100</v>
      </c>
      <c r="Z34" s="83">
        <f t="shared" si="9"/>
        <v>100</v>
      </c>
      <c r="AA34" s="83">
        <f t="shared" si="9"/>
        <v>100</v>
      </c>
      <c r="AB34" s="150">
        <f t="shared" si="9"/>
        <v>100</v>
      </c>
      <c r="AC34" s="150">
        <f t="shared" si="9"/>
        <v>100</v>
      </c>
      <c r="AD34" s="150">
        <f t="shared" si="9"/>
        <v>100</v>
      </c>
      <c r="AE34" s="150">
        <f t="shared" si="9"/>
        <v>100</v>
      </c>
      <c r="AF34" s="83">
        <f t="shared" si="9"/>
        <v>100</v>
      </c>
      <c r="AG34" s="83">
        <f t="shared" si="9"/>
        <v>100</v>
      </c>
      <c r="AH34" s="83">
        <f t="shared" si="10"/>
        <v>100</v>
      </c>
      <c r="AI34" s="83">
        <f t="shared" si="10"/>
        <v>100</v>
      </c>
      <c r="AJ34" s="83">
        <f t="shared" si="10"/>
        <v>100</v>
      </c>
      <c r="AK34" s="83">
        <f t="shared" si="10"/>
        <v>100</v>
      </c>
      <c r="AL34" s="83">
        <f t="shared" si="10"/>
        <v>100</v>
      </c>
      <c r="AM34" s="83">
        <f t="shared" si="10"/>
        <v>100</v>
      </c>
      <c r="AN34" s="83">
        <f t="shared" si="10"/>
        <v>100</v>
      </c>
      <c r="AO34" s="83">
        <f t="shared" si="10"/>
        <v>100</v>
      </c>
      <c r="AP34" s="83">
        <f t="shared" si="10"/>
        <v>100</v>
      </c>
      <c r="AQ34" s="110">
        <f t="shared" si="11"/>
        <v>100</v>
      </c>
      <c r="AR34" s="92">
        <f t="shared" si="6"/>
        <v>10</v>
      </c>
      <c r="AS34" s="86">
        <f t="shared" si="6"/>
        <v>10</v>
      </c>
      <c r="AT34" s="86">
        <f t="shared" si="6"/>
        <v>10</v>
      </c>
      <c r="AU34" s="86">
        <f t="shared" si="6"/>
        <v>10</v>
      </c>
      <c r="AV34" s="86">
        <f t="shared" si="6"/>
        <v>10</v>
      </c>
      <c r="AW34" s="86">
        <f t="shared" si="6"/>
        <v>10</v>
      </c>
      <c r="AX34" s="86">
        <f t="shared" si="6"/>
        <v>10</v>
      </c>
      <c r="AY34" s="87">
        <f t="shared" si="6"/>
        <v>10</v>
      </c>
      <c r="AZ34" s="72">
        <f t="shared" si="6"/>
        <v>10</v>
      </c>
      <c r="BA34" s="35">
        <v>16</v>
      </c>
    </row>
    <row r="35" spans="2:53" x14ac:dyDescent="0.25">
      <c r="B35" s="34">
        <v>17</v>
      </c>
      <c r="C35" s="72">
        <f t="shared" si="7"/>
        <v>100</v>
      </c>
      <c r="D35" s="74">
        <f t="shared" si="7"/>
        <v>100</v>
      </c>
      <c r="E35" s="75">
        <f t="shared" si="7"/>
        <v>100</v>
      </c>
      <c r="F35" s="75">
        <f t="shared" si="7"/>
        <v>100</v>
      </c>
      <c r="G35" s="75">
        <f t="shared" si="7"/>
        <v>100</v>
      </c>
      <c r="H35" s="75">
        <f t="shared" si="7"/>
        <v>100</v>
      </c>
      <c r="I35" s="75">
        <f t="shared" si="7"/>
        <v>100</v>
      </c>
      <c r="J35" s="75">
        <f t="shared" si="7"/>
        <v>100</v>
      </c>
      <c r="K35" s="75">
        <f t="shared" si="7"/>
        <v>100</v>
      </c>
      <c r="L35" s="75">
        <f t="shared" si="7"/>
        <v>100</v>
      </c>
      <c r="M35" s="75">
        <f t="shared" si="8"/>
        <v>100</v>
      </c>
      <c r="N35" s="75">
        <f t="shared" si="8"/>
        <v>100</v>
      </c>
      <c r="O35" s="75">
        <f t="shared" si="8"/>
        <v>100</v>
      </c>
      <c r="P35" s="75">
        <f t="shared" si="8"/>
        <v>100</v>
      </c>
      <c r="Q35" s="75">
        <f t="shared" si="8"/>
        <v>100</v>
      </c>
      <c r="R35" s="75">
        <f t="shared" si="8"/>
        <v>100</v>
      </c>
      <c r="S35" s="75">
        <f t="shared" si="8"/>
        <v>100</v>
      </c>
      <c r="T35" s="75">
        <f t="shared" si="8"/>
        <v>100</v>
      </c>
      <c r="U35" s="75">
        <f t="shared" si="8"/>
        <v>100</v>
      </c>
      <c r="V35" s="75">
        <f t="shared" si="8"/>
        <v>100</v>
      </c>
      <c r="W35" s="109">
        <f t="shared" si="9"/>
        <v>100</v>
      </c>
      <c r="X35" s="83">
        <f t="shared" si="9"/>
        <v>100</v>
      </c>
      <c r="Y35" s="83">
        <f t="shared" si="9"/>
        <v>100</v>
      </c>
      <c r="Z35" s="83">
        <f t="shared" si="9"/>
        <v>100</v>
      </c>
      <c r="AA35" s="83">
        <f t="shared" si="9"/>
        <v>100</v>
      </c>
      <c r="AB35" s="150">
        <f t="shared" si="9"/>
        <v>100</v>
      </c>
      <c r="AC35" s="150">
        <f t="shared" si="9"/>
        <v>100</v>
      </c>
      <c r="AD35" s="150">
        <f t="shared" si="9"/>
        <v>100</v>
      </c>
      <c r="AE35" s="150">
        <f t="shared" si="9"/>
        <v>100</v>
      </c>
      <c r="AF35" s="83">
        <f t="shared" si="9"/>
        <v>100</v>
      </c>
      <c r="AG35" s="83">
        <f t="shared" si="9"/>
        <v>100</v>
      </c>
      <c r="AH35" s="83">
        <f t="shared" si="10"/>
        <v>100</v>
      </c>
      <c r="AI35" s="83">
        <f t="shared" si="10"/>
        <v>100</v>
      </c>
      <c r="AJ35" s="83">
        <f t="shared" si="10"/>
        <v>100</v>
      </c>
      <c r="AK35" s="83">
        <f t="shared" si="10"/>
        <v>100</v>
      </c>
      <c r="AL35" s="83">
        <f t="shared" si="10"/>
        <v>100</v>
      </c>
      <c r="AM35" s="83">
        <f t="shared" si="10"/>
        <v>100</v>
      </c>
      <c r="AN35" s="83">
        <f t="shared" si="10"/>
        <v>100</v>
      </c>
      <c r="AO35" s="83">
        <f t="shared" si="10"/>
        <v>100</v>
      </c>
      <c r="AP35" s="83">
        <f t="shared" si="10"/>
        <v>100</v>
      </c>
      <c r="AQ35" s="110">
        <f t="shared" si="11"/>
        <v>100</v>
      </c>
      <c r="AR35" s="92">
        <f t="shared" si="6"/>
        <v>10</v>
      </c>
      <c r="AS35" s="86">
        <f t="shared" si="6"/>
        <v>10</v>
      </c>
      <c r="AT35" s="86">
        <f t="shared" si="6"/>
        <v>10</v>
      </c>
      <c r="AU35" s="86">
        <f t="shared" si="6"/>
        <v>10</v>
      </c>
      <c r="AV35" s="86">
        <f t="shared" si="6"/>
        <v>10</v>
      </c>
      <c r="AW35" s="86">
        <f t="shared" si="6"/>
        <v>10</v>
      </c>
      <c r="AX35" s="86">
        <f t="shared" si="6"/>
        <v>10</v>
      </c>
      <c r="AY35" s="87">
        <f t="shared" si="6"/>
        <v>10</v>
      </c>
      <c r="AZ35" s="72">
        <f t="shared" si="6"/>
        <v>10</v>
      </c>
      <c r="BA35" s="35">
        <v>17</v>
      </c>
    </row>
    <row r="36" spans="2:53" x14ac:dyDescent="0.25">
      <c r="B36" s="34">
        <v>18</v>
      </c>
      <c r="C36" s="72">
        <f t="shared" si="7"/>
        <v>100</v>
      </c>
      <c r="D36" s="74">
        <f t="shared" si="7"/>
        <v>100</v>
      </c>
      <c r="E36" s="75">
        <f t="shared" si="7"/>
        <v>100</v>
      </c>
      <c r="F36" s="75">
        <f t="shared" si="7"/>
        <v>100</v>
      </c>
      <c r="G36" s="75">
        <f t="shared" si="7"/>
        <v>100</v>
      </c>
      <c r="H36" s="75">
        <f t="shared" si="7"/>
        <v>100</v>
      </c>
      <c r="I36" s="75">
        <f t="shared" si="7"/>
        <v>100</v>
      </c>
      <c r="J36" s="75">
        <f t="shared" si="7"/>
        <v>100</v>
      </c>
      <c r="K36" s="75">
        <f t="shared" si="7"/>
        <v>100</v>
      </c>
      <c r="L36" s="75">
        <f t="shared" si="7"/>
        <v>100</v>
      </c>
      <c r="M36" s="75">
        <f t="shared" si="8"/>
        <v>100</v>
      </c>
      <c r="N36" s="75">
        <f t="shared" si="8"/>
        <v>100</v>
      </c>
      <c r="O36" s="75">
        <f t="shared" si="8"/>
        <v>100</v>
      </c>
      <c r="P36" s="75">
        <f t="shared" si="8"/>
        <v>100</v>
      </c>
      <c r="Q36" s="75">
        <f t="shared" si="8"/>
        <v>100</v>
      </c>
      <c r="R36" s="75">
        <f t="shared" si="8"/>
        <v>100</v>
      </c>
      <c r="S36" s="75">
        <f t="shared" si="8"/>
        <v>100</v>
      </c>
      <c r="T36" s="75">
        <f t="shared" si="8"/>
        <v>100</v>
      </c>
      <c r="U36" s="75">
        <f t="shared" si="8"/>
        <v>100</v>
      </c>
      <c r="V36" s="75">
        <f t="shared" si="8"/>
        <v>100</v>
      </c>
      <c r="W36" s="109">
        <f t="shared" si="9"/>
        <v>100</v>
      </c>
      <c r="X36" s="83">
        <f t="shared" si="9"/>
        <v>100</v>
      </c>
      <c r="Y36" s="83">
        <f t="shared" si="9"/>
        <v>100</v>
      </c>
      <c r="Z36" s="83">
        <f t="shared" si="9"/>
        <v>100</v>
      </c>
      <c r="AA36" s="83">
        <f t="shared" si="9"/>
        <v>100</v>
      </c>
      <c r="AB36" s="150">
        <f t="shared" si="9"/>
        <v>100</v>
      </c>
      <c r="AC36" s="150">
        <f t="shared" si="9"/>
        <v>100</v>
      </c>
      <c r="AD36" s="150">
        <f t="shared" si="9"/>
        <v>100</v>
      </c>
      <c r="AE36" s="150">
        <f t="shared" si="9"/>
        <v>100</v>
      </c>
      <c r="AF36" s="83">
        <f t="shared" si="9"/>
        <v>100</v>
      </c>
      <c r="AG36" s="83">
        <f t="shared" si="9"/>
        <v>100</v>
      </c>
      <c r="AH36" s="83">
        <f t="shared" si="10"/>
        <v>100</v>
      </c>
      <c r="AI36" s="83">
        <f t="shared" si="10"/>
        <v>100</v>
      </c>
      <c r="AJ36" s="83">
        <f t="shared" si="10"/>
        <v>100</v>
      </c>
      <c r="AK36" s="83">
        <f t="shared" si="10"/>
        <v>100</v>
      </c>
      <c r="AL36" s="83">
        <f t="shared" si="10"/>
        <v>100</v>
      </c>
      <c r="AM36" s="83">
        <f t="shared" si="10"/>
        <v>100</v>
      </c>
      <c r="AN36" s="83">
        <f t="shared" si="10"/>
        <v>100</v>
      </c>
      <c r="AO36" s="83">
        <f t="shared" si="10"/>
        <v>100</v>
      </c>
      <c r="AP36" s="83">
        <f t="shared" si="10"/>
        <v>100</v>
      </c>
      <c r="AQ36" s="110">
        <f t="shared" si="11"/>
        <v>100</v>
      </c>
      <c r="AR36" s="92">
        <f t="shared" si="6"/>
        <v>10</v>
      </c>
      <c r="AS36" s="86">
        <f t="shared" si="6"/>
        <v>10</v>
      </c>
      <c r="AT36" s="86">
        <f t="shared" si="6"/>
        <v>10</v>
      </c>
      <c r="AU36" s="86">
        <f t="shared" si="6"/>
        <v>10</v>
      </c>
      <c r="AV36" s="86">
        <f t="shared" si="6"/>
        <v>10</v>
      </c>
      <c r="AW36" s="86">
        <f t="shared" si="6"/>
        <v>10</v>
      </c>
      <c r="AX36" s="86">
        <f t="shared" si="6"/>
        <v>10</v>
      </c>
      <c r="AY36" s="87">
        <f t="shared" si="6"/>
        <v>10</v>
      </c>
      <c r="AZ36" s="72">
        <f t="shared" si="6"/>
        <v>10</v>
      </c>
      <c r="BA36" s="35">
        <v>18</v>
      </c>
    </row>
    <row r="37" spans="2:53" x14ac:dyDescent="0.25">
      <c r="B37" s="34">
        <v>19</v>
      </c>
      <c r="C37" s="72">
        <f t="shared" si="7"/>
        <v>100</v>
      </c>
      <c r="D37" s="74">
        <f t="shared" si="7"/>
        <v>100</v>
      </c>
      <c r="E37" s="75">
        <f t="shared" si="7"/>
        <v>100</v>
      </c>
      <c r="F37" s="75">
        <f t="shared" si="7"/>
        <v>100</v>
      </c>
      <c r="G37" s="75">
        <f t="shared" si="7"/>
        <v>100</v>
      </c>
      <c r="H37" s="75">
        <f t="shared" si="7"/>
        <v>100</v>
      </c>
      <c r="I37" s="75">
        <f t="shared" si="7"/>
        <v>100</v>
      </c>
      <c r="J37" s="75">
        <f t="shared" si="7"/>
        <v>100</v>
      </c>
      <c r="K37" s="75">
        <f t="shared" si="7"/>
        <v>100</v>
      </c>
      <c r="L37" s="75">
        <f t="shared" si="7"/>
        <v>100</v>
      </c>
      <c r="M37" s="75">
        <f t="shared" si="8"/>
        <v>100</v>
      </c>
      <c r="N37" s="75">
        <f t="shared" si="8"/>
        <v>100</v>
      </c>
      <c r="O37" s="75">
        <f t="shared" si="8"/>
        <v>100</v>
      </c>
      <c r="P37" s="75">
        <f t="shared" si="8"/>
        <v>100</v>
      </c>
      <c r="Q37" s="75">
        <f t="shared" si="8"/>
        <v>100</v>
      </c>
      <c r="R37" s="75">
        <f t="shared" si="8"/>
        <v>100</v>
      </c>
      <c r="S37" s="75">
        <f t="shared" si="8"/>
        <v>100</v>
      </c>
      <c r="T37" s="75">
        <f t="shared" si="8"/>
        <v>100</v>
      </c>
      <c r="U37" s="75">
        <f t="shared" si="8"/>
        <v>100</v>
      </c>
      <c r="V37" s="75">
        <f t="shared" si="8"/>
        <v>100</v>
      </c>
      <c r="W37" s="109">
        <f t="shared" si="9"/>
        <v>100</v>
      </c>
      <c r="X37" s="83">
        <f t="shared" si="9"/>
        <v>100</v>
      </c>
      <c r="Y37" s="83">
        <f t="shared" si="9"/>
        <v>100</v>
      </c>
      <c r="Z37" s="83">
        <f t="shared" si="9"/>
        <v>100</v>
      </c>
      <c r="AA37" s="83">
        <f t="shared" si="9"/>
        <v>100</v>
      </c>
      <c r="AB37" s="150">
        <f t="shared" si="9"/>
        <v>100</v>
      </c>
      <c r="AC37" s="150">
        <f t="shared" si="9"/>
        <v>100</v>
      </c>
      <c r="AD37" s="150">
        <f t="shared" si="9"/>
        <v>100</v>
      </c>
      <c r="AE37" s="150">
        <f t="shared" si="9"/>
        <v>100</v>
      </c>
      <c r="AF37" s="83">
        <f t="shared" si="9"/>
        <v>100</v>
      </c>
      <c r="AG37" s="83">
        <f t="shared" si="9"/>
        <v>100</v>
      </c>
      <c r="AH37" s="83">
        <f t="shared" si="10"/>
        <v>100</v>
      </c>
      <c r="AI37" s="83">
        <f t="shared" si="10"/>
        <v>100</v>
      </c>
      <c r="AJ37" s="83">
        <f t="shared" si="10"/>
        <v>100</v>
      </c>
      <c r="AK37" s="83">
        <f t="shared" si="10"/>
        <v>100</v>
      </c>
      <c r="AL37" s="83">
        <f t="shared" si="10"/>
        <v>100</v>
      </c>
      <c r="AM37" s="83">
        <f t="shared" si="10"/>
        <v>100</v>
      </c>
      <c r="AN37" s="83">
        <f t="shared" si="10"/>
        <v>100</v>
      </c>
      <c r="AO37" s="83">
        <f t="shared" si="10"/>
        <v>100</v>
      </c>
      <c r="AP37" s="83">
        <f t="shared" si="10"/>
        <v>100</v>
      </c>
      <c r="AQ37" s="110">
        <f t="shared" si="11"/>
        <v>100</v>
      </c>
      <c r="AR37" s="92">
        <f t="shared" si="6"/>
        <v>10</v>
      </c>
      <c r="AS37" s="86">
        <f t="shared" si="6"/>
        <v>10</v>
      </c>
      <c r="AT37" s="86">
        <f t="shared" si="6"/>
        <v>10</v>
      </c>
      <c r="AU37" s="86">
        <f t="shared" si="6"/>
        <v>10</v>
      </c>
      <c r="AV37" s="86">
        <f t="shared" si="6"/>
        <v>10</v>
      </c>
      <c r="AW37" s="86">
        <f t="shared" si="6"/>
        <v>10</v>
      </c>
      <c r="AX37" s="86">
        <f t="shared" si="6"/>
        <v>10</v>
      </c>
      <c r="AY37" s="87">
        <f t="shared" si="6"/>
        <v>10</v>
      </c>
      <c r="AZ37" s="72">
        <f t="shared" si="6"/>
        <v>10</v>
      </c>
      <c r="BA37" s="35">
        <v>19</v>
      </c>
    </row>
    <row r="38" spans="2:53" x14ac:dyDescent="0.25">
      <c r="B38" s="34">
        <v>20</v>
      </c>
      <c r="C38" s="72">
        <f t="shared" ref="C38:K47" si="12">$F$5</f>
        <v>100</v>
      </c>
      <c r="D38" s="74">
        <f t="shared" si="12"/>
        <v>100</v>
      </c>
      <c r="E38" s="75">
        <f t="shared" si="12"/>
        <v>100</v>
      </c>
      <c r="F38" s="75">
        <f t="shared" si="12"/>
        <v>100</v>
      </c>
      <c r="G38" s="75">
        <f t="shared" si="12"/>
        <v>100</v>
      </c>
      <c r="H38" s="75">
        <f t="shared" si="12"/>
        <v>100</v>
      </c>
      <c r="I38" s="75">
        <f t="shared" si="12"/>
        <v>100</v>
      </c>
      <c r="J38" s="75">
        <f t="shared" si="12"/>
        <v>100</v>
      </c>
      <c r="K38" s="75">
        <f t="shared" si="12"/>
        <v>100</v>
      </c>
      <c r="L38" s="106">
        <f t="shared" ref="L38:W47" si="13">$F$6</f>
        <v>100</v>
      </c>
      <c r="M38" s="107">
        <f t="shared" si="13"/>
        <v>100</v>
      </c>
      <c r="N38" s="107">
        <f t="shared" si="13"/>
        <v>100</v>
      </c>
      <c r="O38" s="107">
        <f t="shared" si="13"/>
        <v>100</v>
      </c>
      <c r="P38" s="138">
        <f t="shared" si="13"/>
        <v>100</v>
      </c>
      <c r="Q38" s="138">
        <f t="shared" si="13"/>
        <v>100</v>
      </c>
      <c r="R38" s="138">
        <f t="shared" si="13"/>
        <v>100</v>
      </c>
      <c r="S38" s="138">
        <f t="shared" si="13"/>
        <v>100</v>
      </c>
      <c r="T38" s="107">
        <f t="shared" si="13"/>
        <v>100</v>
      </c>
      <c r="U38" s="107">
        <f t="shared" si="13"/>
        <v>100</v>
      </c>
      <c r="V38" s="107">
        <f t="shared" si="13"/>
        <v>100</v>
      </c>
      <c r="W38" s="83">
        <f t="shared" si="13"/>
        <v>100</v>
      </c>
      <c r="X38" s="83">
        <f t="shared" si="9"/>
        <v>100</v>
      </c>
      <c r="Y38" s="83">
        <f t="shared" si="9"/>
        <v>100</v>
      </c>
      <c r="Z38" s="83">
        <f t="shared" si="9"/>
        <v>100</v>
      </c>
      <c r="AA38" s="83">
        <f t="shared" si="9"/>
        <v>100</v>
      </c>
      <c r="AB38" s="83">
        <f t="shared" si="9"/>
        <v>100</v>
      </c>
      <c r="AC38" s="83">
        <f t="shared" si="9"/>
        <v>100</v>
      </c>
      <c r="AD38" s="83">
        <f t="shared" si="9"/>
        <v>100</v>
      </c>
      <c r="AE38" s="83">
        <f t="shared" si="9"/>
        <v>100</v>
      </c>
      <c r="AF38" s="83">
        <f t="shared" si="9"/>
        <v>100</v>
      </c>
      <c r="AG38" s="83">
        <f t="shared" si="9"/>
        <v>100</v>
      </c>
      <c r="AH38" s="83">
        <f t="shared" si="10"/>
        <v>100</v>
      </c>
      <c r="AI38" s="83">
        <f t="shared" si="10"/>
        <v>100</v>
      </c>
      <c r="AJ38" s="83">
        <f t="shared" si="10"/>
        <v>100</v>
      </c>
      <c r="AK38" s="83">
        <f t="shared" si="10"/>
        <v>100</v>
      </c>
      <c r="AL38" s="83">
        <f t="shared" si="10"/>
        <v>100</v>
      </c>
      <c r="AM38" s="83">
        <f t="shared" si="10"/>
        <v>100</v>
      </c>
      <c r="AN38" s="83">
        <f t="shared" si="10"/>
        <v>100</v>
      </c>
      <c r="AO38" s="83">
        <f t="shared" si="10"/>
        <v>100</v>
      </c>
      <c r="AP38" s="83">
        <f t="shared" si="10"/>
        <v>100</v>
      </c>
      <c r="AQ38" s="110">
        <f t="shared" si="11"/>
        <v>100</v>
      </c>
      <c r="AR38" s="92">
        <f t="shared" si="6"/>
        <v>10</v>
      </c>
      <c r="AS38" s="86">
        <f t="shared" si="6"/>
        <v>10</v>
      </c>
      <c r="AT38" s="86">
        <f t="shared" si="6"/>
        <v>10</v>
      </c>
      <c r="AU38" s="86">
        <f t="shared" si="6"/>
        <v>10</v>
      </c>
      <c r="AV38" s="86">
        <f t="shared" si="6"/>
        <v>10</v>
      </c>
      <c r="AW38" s="86">
        <f t="shared" si="6"/>
        <v>10</v>
      </c>
      <c r="AX38" s="86">
        <f t="shared" si="6"/>
        <v>10</v>
      </c>
      <c r="AY38" s="87">
        <f t="shared" si="6"/>
        <v>10</v>
      </c>
      <c r="AZ38" s="72">
        <f t="shared" si="6"/>
        <v>10</v>
      </c>
      <c r="BA38" s="35">
        <v>20</v>
      </c>
    </row>
    <row r="39" spans="2:53" x14ac:dyDescent="0.25">
      <c r="B39" s="34">
        <v>21</v>
      </c>
      <c r="C39" s="72">
        <f t="shared" si="12"/>
        <v>100</v>
      </c>
      <c r="D39" s="74">
        <f t="shared" si="12"/>
        <v>100</v>
      </c>
      <c r="E39" s="75">
        <f t="shared" si="12"/>
        <v>100</v>
      </c>
      <c r="F39" s="75">
        <f t="shared" si="12"/>
        <v>100</v>
      </c>
      <c r="G39" s="75">
        <f t="shared" si="12"/>
        <v>100</v>
      </c>
      <c r="H39" s="75">
        <f t="shared" si="12"/>
        <v>100</v>
      </c>
      <c r="I39" s="75">
        <f t="shared" si="12"/>
        <v>100</v>
      </c>
      <c r="J39" s="75">
        <f t="shared" si="12"/>
        <v>100</v>
      </c>
      <c r="K39" s="75">
        <f t="shared" si="12"/>
        <v>100</v>
      </c>
      <c r="L39" s="109">
        <f t="shared" si="13"/>
        <v>100</v>
      </c>
      <c r="M39" s="83">
        <f t="shared" si="13"/>
        <v>100</v>
      </c>
      <c r="N39" s="83">
        <f t="shared" si="13"/>
        <v>100</v>
      </c>
      <c r="O39" s="83">
        <f t="shared" si="13"/>
        <v>100</v>
      </c>
      <c r="P39" s="150">
        <f t="shared" si="13"/>
        <v>100</v>
      </c>
      <c r="Q39" s="150">
        <f t="shared" si="13"/>
        <v>100</v>
      </c>
      <c r="R39" s="150">
        <f t="shared" si="13"/>
        <v>100</v>
      </c>
      <c r="S39" s="150">
        <f t="shared" si="13"/>
        <v>100</v>
      </c>
      <c r="T39" s="83">
        <f t="shared" si="13"/>
        <v>100</v>
      </c>
      <c r="U39" s="83">
        <f t="shared" si="13"/>
        <v>100</v>
      </c>
      <c r="V39" s="83">
        <f t="shared" si="13"/>
        <v>100</v>
      </c>
      <c r="W39" s="83">
        <f t="shared" si="13"/>
        <v>100</v>
      </c>
      <c r="X39" s="83">
        <f t="shared" si="9"/>
        <v>100</v>
      </c>
      <c r="Y39" s="83">
        <f t="shared" si="9"/>
        <v>100</v>
      </c>
      <c r="Z39" s="83">
        <f t="shared" si="9"/>
        <v>100</v>
      </c>
      <c r="AA39" s="83">
        <f t="shared" si="9"/>
        <v>100</v>
      </c>
      <c r="AB39" s="83">
        <f t="shared" si="9"/>
        <v>100</v>
      </c>
      <c r="AC39" s="83">
        <f t="shared" si="9"/>
        <v>100</v>
      </c>
      <c r="AD39" s="83">
        <f t="shared" si="9"/>
        <v>100</v>
      </c>
      <c r="AE39" s="83">
        <f t="shared" si="9"/>
        <v>100</v>
      </c>
      <c r="AF39" s="83">
        <f t="shared" si="9"/>
        <v>100</v>
      </c>
      <c r="AG39" s="83">
        <f t="shared" si="9"/>
        <v>100</v>
      </c>
      <c r="AH39" s="83">
        <f t="shared" si="10"/>
        <v>100</v>
      </c>
      <c r="AI39" s="83">
        <f t="shared" si="10"/>
        <v>100</v>
      </c>
      <c r="AJ39" s="83">
        <f t="shared" si="10"/>
        <v>100</v>
      </c>
      <c r="AK39" s="83">
        <f t="shared" si="10"/>
        <v>100</v>
      </c>
      <c r="AL39" s="83">
        <f t="shared" si="10"/>
        <v>100</v>
      </c>
      <c r="AM39" s="83">
        <f t="shared" si="10"/>
        <v>100</v>
      </c>
      <c r="AN39" s="83">
        <f t="shared" si="10"/>
        <v>100</v>
      </c>
      <c r="AO39" s="83">
        <f t="shared" si="10"/>
        <v>100</v>
      </c>
      <c r="AP39" s="83">
        <f t="shared" si="10"/>
        <v>100</v>
      </c>
      <c r="AQ39" s="110">
        <f t="shared" si="11"/>
        <v>100</v>
      </c>
      <c r="AR39" s="92">
        <f t="shared" ref="AR39:AZ48" si="14">$F$8</f>
        <v>10</v>
      </c>
      <c r="AS39" s="86">
        <f t="shared" si="14"/>
        <v>10</v>
      </c>
      <c r="AT39" s="86">
        <f t="shared" si="14"/>
        <v>10</v>
      </c>
      <c r="AU39" s="86">
        <f t="shared" si="14"/>
        <v>10</v>
      </c>
      <c r="AV39" s="86">
        <f t="shared" si="14"/>
        <v>10</v>
      </c>
      <c r="AW39" s="86">
        <f t="shared" si="14"/>
        <v>10</v>
      </c>
      <c r="AX39" s="86">
        <f t="shared" si="14"/>
        <v>10</v>
      </c>
      <c r="AY39" s="87">
        <f t="shared" si="14"/>
        <v>10</v>
      </c>
      <c r="AZ39" s="72">
        <f t="shared" si="14"/>
        <v>10</v>
      </c>
      <c r="BA39" s="35">
        <v>21</v>
      </c>
    </row>
    <row r="40" spans="2:53" x14ac:dyDescent="0.25">
      <c r="B40" s="34">
        <v>22</v>
      </c>
      <c r="C40" s="72">
        <f t="shared" si="12"/>
        <v>100</v>
      </c>
      <c r="D40" s="74">
        <f t="shared" si="12"/>
        <v>100</v>
      </c>
      <c r="E40" s="75">
        <f t="shared" si="12"/>
        <v>100</v>
      </c>
      <c r="F40" s="75">
        <f t="shared" si="12"/>
        <v>100</v>
      </c>
      <c r="G40" s="75">
        <f t="shared" si="12"/>
        <v>100</v>
      </c>
      <c r="H40" s="75">
        <f t="shared" si="12"/>
        <v>100</v>
      </c>
      <c r="I40" s="75">
        <f t="shared" si="12"/>
        <v>100</v>
      </c>
      <c r="J40" s="75">
        <f t="shared" si="12"/>
        <v>100</v>
      </c>
      <c r="K40" s="75">
        <f t="shared" si="12"/>
        <v>100</v>
      </c>
      <c r="L40" s="109">
        <f t="shared" si="13"/>
        <v>100</v>
      </c>
      <c r="M40" s="83">
        <f t="shared" si="13"/>
        <v>100</v>
      </c>
      <c r="N40" s="83">
        <f t="shared" si="13"/>
        <v>100</v>
      </c>
      <c r="O40" s="83">
        <f t="shared" si="13"/>
        <v>100</v>
      </c>
      <c r="P40" s="150">
        <f t="shared" si="13"/>
        <v>100</v>
      </c>
      <c r="Q40" s="150">
        <f t="shared" si="13"/>
        <v>100</v>
      </c>
      <c r="R40" s="150">
        <f t="shared" si="13"/>
        <v>100</v>
      </c>
      <c r="S40" s="150">
        <f t="shared" si="13"/>
        <v>100</v>
      </c>
      <c r="T40" s="83">
        <f t="shared" si="13"/>
        <v>100</v>
      </c>
      <c r="U40" s="83">
        <f t="shared" si="13"/>
        <v>100</v>
      </c>
      <c r="V40" s="83">
        <f t="shared" si="13"/>
        <v>100</v>
      </c>
      <c r="W40" s="83">
        <f t="shared" si="13"/>
        <v>100</v>
      </c>
      <c r="X40" s="83">
        <f t="shared" si="9"/>
        <v>100</v>
      </c>
      <c r="Y40" s="83">
        <f t="shared" si="9"/>
        <v>100</v>
      </c>
      <c r="Z40" s="83">
        <f t="shared" si="9"/>
        <v>100</v>
      </c>
      <c r="AA40" s="83">
        <f t="shared" si="9"/>
        <v>100</v>
      </c>
      <c r="AB40" s="83">
        <f t="shared" si="9"/>
        <v>100</v>
      </c>
      <c r="AC40" s="83">
        <f t="shared" si="9"/>
        <v>100</v>
      </c>
      <c r="AD40" s="83">
        <f t="shared" si="9"/>
        <v>100</v>
      </c>
      <c r="AE40" s="83">
        <f t="shared" si="9"/>
        <v>100</v>
      </c>
      <c r="AF40" s="83">
        <f t="shared" si="9"/>
        <v>100</v>
      </c>
      <c r="AG40" s="83">
        <f t="shared" si="9"/>
        <v>100</v>
      </c>
      <c r="AH40" s="83">
        <f t="shared" si="10"/>
        <v>100</v>
      </c>
      <c r="AI40" s="83">
        <f t="shared" si="10"/>
        <v>100</v>
      </c>
      <c r="AJ40" s="83">
        <f t="shared" si="10"/>
        <v>100</v>
      </c>
      <c r="AK40" s="83">
        <f t="shared" si="10"/>
        <v>100</v>
      </c>
      <c r="AL40" s="83">
        <f t="shared" si="10"/>
        <v>100</v>
      </c>
      <c r="AM40" s="83">
        <f t="shared" si="10"/>
        <v>100</v>
      </c>
      <c r="AN40" s="83">
        <f t="shared" si="10"/>
        <v>100</v>
      </c>
      <c r="AO40" s="83">
        <f t="shared" si="10"/>
        <v>100</v>
      </c>
      <c r="AP40" s="83">
        <f t="shared" si="10"/>
        <v>100</v>
      </c>
      <c r="AQ40" s="83">
        <f t="shared" si="11"/>
        <v>100</v>
      </c>
      <c r="AR40" s="92">
        <f t="shared" si="14"/>
        <v>10</v>
      </c>
      <c r="AS40" s="86">
        <f t="shared" si="14"/>
        <v>10</v>
      </c>
      <c r="AT40" s="86">
        <f t="shared" si="14"/>
        <v>10</v>
      </c>
      <c r="AU40" s="86">
        <f t="shared" si="14"/>
        <v>10</v>
      </c>
      <c r="AV40" s="86">
        <f t="shared" si="14"/>
        <v>10</v>
      </c>
      <c r="AW40" s="86">
        <f t="shared" si="14"/>
        <v>10</v>
      </c>
      <c r="AX40" s="86">
        <f t="shared" si="14"/>
        <v>10</v>
      </c>
      <c r="AY40" s="87">
        <f t="shared" si="14"/>
        <v>10</v>
      </c>
      <c r="AZ40" s="72">
        <f t="shared" si="14"/>
        <v>10</v>
      </c>
      <c r="BA40" s="35">
        <v>22</v>
      </c>
    </row>
    <row r="41" spans="2:53" x14ac:dyDescent="0.25">
      <c r="B41" s="34">
        <v>23</v>
      </c>
      <c r="C41" s="72">
        <f t="shared" si="12"/>
        <v>100</v>
      </c>
      <c r="D41" s="74">
        <f t="shared" si="12"/>
        <v>100</v>
      </c>
      <c r="E41" s="75">
        <f t="shared" si="12"/>
        <v>100</v>
      </c>
      <c r="F41" s="75">
        <f t="shared" si="12"/>
        <v>100</v>
      </c>
      <c r="G41" s="75">
        <f t="shared" si="12"/>
        <v>100</v>
      </c>
      <c r="H41" s="75">
        <f t="shared" si="12"/>
        <v>100</v>
      </c>
      <c r="I41" s="75">
        <f t="shared" si="12"/>
        <v>100</v>
      </c>
      <c r="J41" s="75">
        <f t="shared" si="12"/>
        <v>100</v>
      </c>
      <c r="K41" s="75">
        <f t="shared" si="12"/>
        <v>100</v>
      </c>
      <c r="L41" s="109">
        <f t="shared" si="13"/>
        <v>100</v>
      </c>
      <c r="M41" s="83">
        <f t="shared" si="13"/>
        <v>100</v>
      </c>
      <c r="N41" s="83">
        <f t="shared" si="13"/>
        <v>100</v>
      </c>
      <c r="O41" s="83">
        <f t="shared" si="13"/>
        <v>100</v>
      </c>
      <c r="P41" s="150">
        <f t="shared" si="13"/>
        <v>100</v>
      </c>
      <c r="Q41" s="150">
        <f t="shared" si="13"/>
        <v>100</v>
      </c>
      <c r="R41" s="150">
        <f t="shared" si="13"/>
        <v>100</v>
      </c>
      <c r="S41" s="150">
        <f t="shared" si="13"/>
        <v>100</v>
      </c>
      <c r="T41" s="83">
        <f t="shared" si="13"/>
        <v>100</v>
      </c>
      <c r="U41" s="83">
        <f t="shared" si="13"/>
        <v>100</v>
      </c>
      <c r="V41" s="83">
        <f t="shared" si="13"/>
        <v>100</v>
      </c>
      <c r="W41" s="83">
        <f t="shared" si="13"/>
        <v>100</v>
      </c>
      <c r="X41" s="83">
        <f t="shared" si="9"/>
        <v>100</v>
      </c>
      <c r="Y41" s="83">
        <f t="shared" si="9"/>
        <v>100</v>
      </c>
      <c r="Z41" s="83">
        <f t="shared" si="9"/>
        <v>100</v>
      </c>
      <c r="AA41" s="83">
        <f t="shared" si="9"/>
        <v>100</v>
      </c>
      <c r="AB41" s="83">
        <f t="shared" si="9"/>
        <v>100</v>
      </c>
      <c r="AC41" s="83">
        <f t="shared" si="9"/>
        <v>100</v>
      </c>
      <c r="AD41" s="83">
        <f t="shared" si="9"/>
        <v>100</v>
      </c>
      <c r="AE41" s="83">
        <f t="shared" si="9"/>
        <v>100</v>
      </c>
      <c r="AF41" s="83">
        <f t="shared" si="9"/>
        <v>100</v>
      </c>
      <c r="AG41" s="83">
        <f t="shared" si="9"/>
        <v>100</v>
      </c>
      <c r="AH41" s="83">
        <f t="shared" si="10"/>
        <v>100</v>
      </c>
      <c r="AI41" s="83">
        <f t="shared" si="10"/>
        <v>100</v>
      </c>
      <c r="AJ41" s="83">
        <f t="shared" si="10"/>
        <v>100</v>
      </c>
      <c r="AK41" s="83">
        <f t="shared" si="10"/>
        <v>100</v>
      </c>
      <c r="AL41" s="83">
        <f t="shared" si="10"/>
        <v>100</v>
      </c>
      <c r="AM41" s="83">
        <f t="shared" si="10"/>
        <v>100</v>
      </c>
      <c r="AN41" s="83">
        <f t="shared" si="10"/>
        <v>100</v>
      </c>
      <c r="AO41" s="83">
        <f t="shared" si="10"/>
        <v>100</v>
      </c>
      <c r="AP41" s="83">
        <f t="shared" si="10"/>
        <v>100</v>
      </c>
      <c r="AQ41" s="83">
        <f t="shared" si="11"/>
        <v>100</v>
      </c>
      <c r="AR41" s="92">
        <f t="shared" si="14"/>
        <v>10</v>
      </c>
      <c r="AS41" s="86">
        <f t="shared" si="14"/>
        <v>10</v>
      </c>
      <c r="AT41" s="86">
        <f t="shared" si="14"/>
        <v>10</v>
      </c>
      <c r="AU41" s="86">
        <f t="shared" si="14"/>
        <v>10</v>
      </c>
      <c r="AV41" s="86">
        <f t="shared" si="14"/>
        <v>10</v>
      </c>
      <c r="AW41" s="86">
        <f t="shared" si="14"/>
        <v>10</v>
      </c>
      <c r="AX41" s="86">
        <f t="shared" si="14"/>
        <v>10</v>
      </c>
      <c r="AY41" s="87">
        <f t="shared" si="14"/>
        <v>10</v>
      </c>
      <c r="AZ41" s="72">
        <f t="shared" si="14"/>
        <v>10</v>
      </c>
      <c r="BA41" s="35">
        <v>23</v>
      </c>
    </row>
    <row r="42" spans="2:53" x14ac:dyDescent="0.25">
      <c r="B42" s="34">
        <v>24</v>
      </c>
      <c r="C42" s="72">
        <f t="shared" si="12"/>
        <v>100</v>
      </c>
      <c r="D42" s="74">
        <f t="shared" si="12"/>
        <v>100</v>
      </c>
      <c r="E42" s="75">
        <f t="shared" si="12"/>
        <v>100</v>
      </c>
      <c r="F42" s="75">
        <f t="shared" si="12"/>
        <v>100</v>
      </c>
      <c r="G42" s="75">
        <f t="shared" si="12"/>
        <v>100</v>
      </c>
      <c r="H42" s="75">
        <f t="shared" si="12"/>
        <v>100</v>
      </c>
      <c r="I42" s="75">
        <f t="shared" si="12"/>
        <v>100</v>
      </c>
      <c r="J42" s="75">
        <f t="shared" si="12"/>
        <v>100</v>
      </c>
      <c r="K42" s="75">
        <f t="shared" si="12"/>
        <v>100</v>
      </c>
      <c r="L42" s="109">
        <f t="shared" si="13"/>
        <v>100</v>
      </c>
      <c r="M42" s="83">
        <f t="shared" si="13"/>
        <v>100</v>
      </c>
      <c r="N42" s="83">
        <f t="shared" si="13"/>
        <v>100</v>
      </c>
      <c r="O42" s="83">
        <f t="shared" si="13"/>
        <v>100</v>
      </c>
      <c r="P42" s="83">
        <f t="shared" si="13"/>
        <v>100</v>
      </c>
      <c r="Q42" s="83">
        <f t="shared" si="13"/>
        <v>100</v>
      </c>
      <c r="R42" s="83">
        <f t="shared" si="13"/>
        <v>100</v>
      </c>
      <c r="S42" s="83">
        <f t="shared" si="13"/>
        <v>100</v>
      </c>
      <c r="T42" s="83">
        <f t="shared" si="13"/>
        <v>100</v>
      </c>
      <c r="U42" s="83">
        <f t="shared" si="13"/>
        <v>100</v>
      </c>
      <c r="V42" s="83">
        <f t="shared" si="13"/>
        <v>100</v>
      </c>
      <c r="W42" s="83">
        <f t="shared" si="13"/>
        <v>100</v>
      </c>
      <c r="X42" s="83">
        <f t="shared" ref="X42:AG50" si="15">$F$6</f>
        <v>100</v>
      </c>
      <c r="Y42" s="83">
        <f t="shared" si="15"/>
        <v>100</v>
      </c>
      <c r="Z42" s="83">
        <f t="shared" si="15"/>
        <v>100</v>
      </c>
      <c r="AA42" s="83">
        <f t="shared" si="15"/>
        <v>100</v>
      </c>
      <c r="AB42" s="83">
        <f t="shared" si="15"/>
        <v>100</v>
      </c>
      <c r="AC42" s="83">
        <f t="shared" si="15"/>
        <v>100</v>
      </c>
      <c r="AD42" s="83">
        <f t="shared" si="15"/>
        <v>100</v>
      </c>
      <c r="AE42" s="83">
        <f t="shared" si="15"/>
        <v>100</v>
      </c>
      <c r="AF42" s="83">
        <f t="shared" si="15"/>
        <v>100</v>
      </c>
      <c r="AG42" s="83">
        <f t="shared" si="15"/>
        <v>100</v>
      </c>
      <c r="AH42" s="83">
        <f t="shared" ref="AH42:AP50" si="16">$F$6</f>
        <v>100</v>
      </c>
      <c r="AI42" s="83">
        <f t="shared" si="16"/>
        <v>100</v>
      </c>
      <c r="AJ42" s="83">
        <f t="shared" si="16"/>
        <v>100</v>
      </c>
      <c r="AK42" s="83">
        <f t="shared" si="16"/>
        <v>100</v>
      </c>
      <c r="AL42" s="83">
        <f t="shared" si="16"/>
        <v>100</v>
      </c>
      <c r="AM42" s="83">
        <f t="shared" si="16"/>
        <v>100</v>
      </c>
      <c r="AN42" s="83">
        <f t="shared" si="16"/>
        <v>100</v>
      </c>
      <c r="AO42" s="83">
        <f t="shared" si="16"/>
        <v>100</v>
      </c>
      <c r="AP42" s="83">
        <f t="shared" si="16"/>
        <v>100</v>
      </c>
      <c r="AQ42" s="83">
        <f t="shared" ref="AQ42:AQ50" si="17">$F$6</f>
        <v>100</v>
      </c>
      <c r="AR42" s="92">
        <f t="shared" si="14"/>
        <v>10</v>
      </c>
      <c r="AS42" s="86">
        <f t="shared" si="14"/>
        <v>10</v>
      </c>
      <c r="AT42" s="86">
        <f t="shared" si="14"/>
        <v>10</v>
      </c>
      <c r="AU42" s="86">
        <f t="shared" si="14"/>
        <v>10</v>
      </c>
      <c r="AV42" s="86">
        <f t="shared" si="14"/>
        <v>10</v>
      </c>
      <c r="AW42" s="86">
        <f t="shared" si="14"/>
        <v>10</v>
      </c>
      <c r="AX42" s="86">
        <f t="shared" si="14"/>
        <v>10</v>
      </c>
      <c r="AY42" s="87">
        <f t="shared" si="14"/>
        <v>10</v>
      </c>
      <c r="AZ42" s="72">
        <f t="shared" si="14"/>
        <v>10</v>
      </c>
      <c r="BA42" s="35">
        <v>24</v>
      </c>
    </row>
    <row r="43" spans="2:53" x14ac:dyDescent="0.25">
      <c r="B43" s="34">
        <v>25</v>
      </c>
      <c r="C43" s="72">
        <f t="shared" si="12"/>
        <v>100</v>
      </c>
      <c r="D43" s="74">
        <f t="shared" si="12"/>
        <v>100</v>
      </c>
      <c r="E43" s="75">
        <f t="shared" si="12"/>
        <v>100</v>
      </c>
      <c r="F43" s="75">
        <f t="shared" si="12"/>
        <v>100</v>
      </c>
      <c r="G43" s="75">
        <f t="shared" si="12"/>
        <v>100</v>
      </c>
      <c r="H43" s="75">
        <f t="shared" si="12"/>
        <v>100</v>
      </c>
      <c r="I43" s="75">
        <f t="shared" si="12"/>
        <v>100</v>
      </c>
      <c r="J43" s="75">
        <f t="shared" si="12"/>
        <v>100</v>
      </c>
      <c r="K43" s="75">
        <f t="shared" si="12"/>
        <v>100</v>
      </c>
      <c r="L43" s="109">
        <f t="shared" si="13"/>
        <v>100</v>
      </c>
      <c r="M43" s="83">
        <f t="shared" si="13"/>
        <v>100</v>
      </c>
      <c r="N43" s="83">
        <f t="shared" si="13"/>
        <v>100</v>
      </c>
      <c r="O43" s="83">
        <f t="shared" si="13"/>
        <v>100</v>
      </c>
      <c r="P43" s="83">
        <f t="shared" si="13"/>
        <v>100</v>
      </c>
      <c r="Q43" s="83">
        <f t="shared" si="13"/>
        <v>100</v>
      </c>
      <c r="R43" s="83">
        <f t="shared" si="13"/>
        <v>100</v>
      </c>
      <c r="S43" s="83">
        <f t="shared" si="13"/>
        <v>100</v>
      </c>
      <c r="T43" s="83">
        <f t="shared" si="13"/>
        <v>100</v>
      </c>
      <c r="U43" s="83">
        <f t="shared" si="13"/>
        <v>100</v>
      </c>
      <c r="V43" s="83">
        <f t="shared" si="13"/>
        <v>100</v>
      </c>
      <c r="W43" s="83">
        <f t="shared" si="13"/>
        <v>100</v>
      </c>
      <c r="X43" s="83">
        <f t="shared" si="15"/>
        <v>100</v>
      </c>
      <c r="Y43" s="83">
        <f t="shared" si="15"/>
        <v>100</v>
      </c>
      <c r="Z43" s="83">
        <f t="shared" si="15"/>
        <v>100</v>
      </c>
      <c r="AA43" s="83">
        <f t="shared" si="15"/>
        <v>100</v>
      </c>
      <c r="AB43" s="83">
        <f t="shared" si="15"/>
        <v>100</v>
      </c>
      <c r="AC43" s="83">
        <f t="shared" si="15"/>
        <v>100</v>
      </c>
      <c r="AD43" s="83">
        <f t="shared" si="15"/>
        <v>100</v>
      </c>
      <c r="AE43" s="83">
        <f t="shared" si="15"/>
        <v>100</v>
      </c>
      <c r="AF43" s="83">
        <f t="shared" si="15"/>
        <v>100</v>
      </c>
      <c r="AG43" s="83">
        <f t="shared" si="15"/>
        <v>100</v>
      </c>
      <c r="AH43" s="83">
        <f t="shared" si="16"/>
        <v>100</v>
      </c>
      <c r="AI43" s="83">
        <f t="shared" si="16"/>
        <v>100</v>
      </c>
      <c r="AJ43" s="83">
        <f t="shared" si="16"/>
        <v>100</v>
      </c>
      <c r="AK43" s="83">
        <f t="shared" si="16"/>
        <v>100</v>
      </c>
      <c r="AL43" s="83">
        <f t="shared" si="16"/>
        <v>100</v>
      </c>
      <c r="AM43" s="83">
        <f t="shared" si="16"/>
        <v>100</v>
      </c>
      <c r="AN43" s="83">
        <f t="shared" si="16"/>
        <v>100</v>
      </c>
      <c r="AO43" s="83">
        <f t="shared" si="16"/>
        <v>100</v>
      </c>
      <c r="AP43" s="83">
        <f t="shared" si="16"/>
        <v>100</v>
      </c>
      <c r="AQ43" s="83">
        <f t="shared" si="17"/>
        <v>100</v>
      </c>
      <c r="AR43" s="92">
        <f t="shared" si="14"/>
        <v>10</v>
      </c>
      <c r="AS43" s="86">
        <f t="shared" si="14"/>
        <v>10</v>
      </c>
      <c r="AT43" s="86">
        <f t="shared" si="14"/>
        <v>10</v>
      </c>
      <c r="AU43" s="86">
        <f t="shared" si="14"/>
        <v>10</v>
      </c>
      <c r="AV43" s="86">
        <f t="shared" si="14"/>
        <v>10</v>
      </c>
      <c r="AW43" s="86">
        <f t="shared" si="14"/>
        <v>10</v>
      </c>
      <c r="AX43" s="86">
        <f t="shared" si="14"/>
        <v>10</v>
      </c>
      <c r="AY43" s="87">
        <f t="shared" si="14"/>
        <v>10</v>
      </c>
      <c r="AZ43" s="72">
        <f t="shared" si="14"/>
        <v>10</v>
      </c>
      <c r="BA43" s="35">
        <v>25</v>
      </c>
    </row>
    <row r="44" spans="2:53" x14ac:dyDescent="0.25">
      <c r="B44" s="34">
        <v>26</v>
      </c>
      <c r="C44" s="72">
        <f t="shared" si="12"/>
        <v>100</v>
      </c>
      <c r="D44" s="74">
        <f t="shared" si="12"/>
        <v>100</v>
      </c>
      <c r="E44" s="75">
        <f t="shared" si="12"/>
        <v>100</v>
      </c>
      <c r="F44" s="75">
        <f t="shared" si="12"/>
        <v>100</v>
      </c>
      <c r="G44" s="75">
        <f t="shared" si="12"/>
        <v>100</v>
      </c>
      <c r="H44" s="75">
        <f t="shared" si="12"/>
        <v>100</v>
      </c>
      <c r="I44" s="75">
        <f t="shared" si="12"/>
        <v>100</v>
      </c>
      <c r="J44" s="75">
        <f t="shared" si="12"/>
        <v>100</v>
      </c>
      <c r="K44" s="75">
        <f t="shared" si="12"/>
        <v>100</v>
      </c>
      <c r="L44" s="109">
        <f t="shared" si="13"/>
        <v>100</v>
      </c>
      <c r="M44" s="83">
        <f t="shared" si="13"/>
        <v>100</v>
      </c>
      <c r="N44" s="83">
        <f t="shared" si="13"/>
        <v>100</v>
      </c>
      <c r="O44" s="83">
        <f t="shared" si="13"/>
        <v>100</v>
      </c>
      <c r="P44" s="83">
        <f t="shared" si="13"/>
        <v>100</v>
      </c>
      <c r="Q44" s="83">
        <f t="shared" si="13"/>
        <v>100</v>
      </c>
      <c r="R44" s="83">
        <f t="shared" si="13"/>
        <v>100</v>
      </c>
      <c r="S44" s="83">
        <f t="shared" si="13"/>
        <v>100</v>
      </c>
      <c r="T44" s="83">
        <f t="shared" si="13"/>
        <v>100</v>
      </c>
      <c r="U44" s="83">
        <f t="shared" si="13"/>
        <v>100</v>
      </c>
      <c r="V44" s="83">
        <f t="shared" si="13"/>
        <v>100</v>
      </c>
      <c r="W44" s="83">
        <f t="shared" si="13"/>
        <v>100</v>
      </c>
      <c r="X44" s="83">
        <f t="shared" si="15"/>
        <v>100</v>
      </c>
      <c r="Y44" s="83">
        <f t="shared" si="15"/>
        <v>100</v>
      </c>
      <c r="Z44" s="83">
        <f t="shared" si="15"/>
        <v>100</v>
      </c>
      <c r="AA44" s="83">
        <f t="shared" si="15"/>
        <v>100</v>
      </c>
      <c r="AB44" s="83">
        <f t="shared" si="15"/>
        <v>100</v>
      </c>
      <c r="AC44" s="83">
        <f t="shared" si="15"/>
        <v>100</v>
      </c>
      <c r="AD44" s="83">
        <f t="shared" si="15"/>
        <v>100</v>
      </c>
      <c r="AE44" s="83">
        <f t="shared" si="15"/>
        <v>100</v>
      </c>
      <c r="AF44" s="83">
        <f t="shared" si="15"/>
        <v>100</v>
      </c>
      <c r="AG44" s="83">
        <f t="shared" si="15"/>
        <v>100</v>
      </c>
      <c r="AH44" s="83">
        <f t="shared" si="16"/>
        <v>100</v>
      </c>
      <c r="AI44" s="83">
        <f t="shared" si="16"/>
        <v>100</v>
      </c>
      <c r="AJ44" s="83">
        <f t="shared" si="16"/>
        <v>100</v>
      </c>
      <c r="AK44" s="83">
        <f t="shared" si="16"/>
        <v>100</v>
      </c>
      <c r="AL44" s="83">
        <f t="shared" si="16"/>
        <v>100</v>
      </c>
      <c r="AM44" s="83">
        <f t="shared" si="16"/>
        <v>100</v>
      </c>
      <c r="AN44" s="83">
        <f t="shared" si="16"/>
        <v>100</v>
      </c>
      <c r="AO44" s="83">
        <f t="shared" si="16"/>
        <v>100</v>
      </c>
      <c r="AP44" s="83">
        <f t="shared" si="16"/>
        <v>100</v>
      </c>
      <c r="AQ44" s="83">
        <f t="shared" si="17"/>
        <v>100</v>
      </c>
      <c r="AR44" s="92">
        <f t="shared" si="14"/>
        <v>10</v>
      </c>
      <c r="AS44" s="86">
        <f t="shared" si="14"/>
        <v>10</v>
      </c>
      <c r="AT44" s="86">
        <f t="shared" si="14"/>
        <v>10</v>
      </c>
      <c r="AU44" s="86">
        <f t="shared" si="14"/>
        <v>10</v>
      </c>
      <c r="AV44" s="86">
        <f t="shared" si="14"/>
        <v>10</v>
      </c>
      <c r="AW44" s="86">
        <f t="shared" si="14"/>
        <v>10</v>
      </c>
      <c r="AX44" s="86">
        <f t="shared" si="14"/>
        <v>10</v>
      </c>
      <c r="AY44" s="87">
        <f t="shared" si="14"/>
        <v>10</v>
      </c>
      <c r="AZ44" s="72">
        <f t="shared" si="14"/>
        <v>10</v>
      </c>
      <c r="BA44" s="35">
        <v>26</v>
      </c>
    </row>
    <row r="45" spans="2:53" x14ac:dyDescent="0.25">
      <c r="B45" s="34">
        <v>27</v>
      </c>
      <c r="C45" s="72">
        <f t="shared" si="12"/>
        <v>100</v>
      </c>
      <c r="D45" s="74">
        <f t="shared" si="12"/>
        <v>100</v>
      </c>
      <c r="E45" s="75">
        <f t="shared" si="12"/>
        <v>100</v>
      </c>
      <c r="F45" s="75">
        <f t="shared" si="12"/>
        <v>100</v>
      </c>
      <c r="G45" s="75">
        <f t="shared" si="12"/>
        <v>100</v>
      </c>
      <c r="H45" s="75">
        <f t="shared" si="12"/>
        <v>100</v>
      </c>
      <c r="I45" s="75">
        <f t="shared" si="12"/>
        <v>100</v>
      </c>
      <c r="J45" s="75">
        <f t="shared" si="12"/>
        <v>100</v>
      </c>
      <c r="K45" s="75">
        <f t="shared" si="12"/>
        <v>100</v>
      </c>
      <c r="L45" s="109">
        <f t="shared" si="13"/>
        <v>100</v>
      </c>
      <c r="M45" s="83">
        <f t="shared" si="13"/>
        <v>100</v>
      </c>
      <c r="N45" s="83">
        <f t="shared" si="13"/>
        <v>100</v>
      </c>
      <c r="O45" s="83">
        <f t="shared" si="13"/>
        <v>100</v>
      </c>
      <c r="P45" s="83">
        <f t="shared" si="13"/>
        <v>100</v>
      </c>
      <c r="Q45" s="83">
        <f t="shared" si="13"/>
        <v>100</v>
      </c>
      <c r="R45" s="83">
        <f t="shared" si="13"/>
        <v>100</v>
      </c>
      <c r="S45" s="83">
        <f t="shared" si="13"/>
        <v>100</v>
      </c>
      <c r="T45" s="83">
        <f t="shared" si="13"/>
        <v>100</v>
      </c>
      <c r="U45" s="83">
        <f t="shared" si="13"/>
        <v>100</v>
      </c>
      <c r="V45" s="83">
        <f t="shared" si="13"/>
        <v>100</v>
      </c>
      <c r="W45" s="83">
        <f t="shared" si="13"/>
        <v>100</v>
      </c>
      <c r="X45" s="83">
        <f t="shared" si="15"/>
        <v>100</v>
      </c>
      <c r="Y45" s="83">
        <f t="shared" si="15"/>
        <v>100</v>
      </c>
      <c r="Z45" s="83">
        <f t="shared" si="15"/>
        <v>100</v>
      </c>
      <c r="AA45" s="83">
        <f t="shared" si="15"/>
        <v>100</v>
      </c>
      <c r="AB45" s="83">
        <f t="shared" si="15"/>
        <v>100</v>
      </c>
      <c r="AC45" s="83">
        <f t="shared" si="15"/>
        <v>100</v>
      </c>
      <c r="AD45" s="83">
        <f t="shared" si="15"/>
        <v>100</v>
      </c>
      <c r="AE45" s="83">
        <f t="shared" si="15"/>
        <v>100</v>
      </c>
      <c r="AF45" s="83">
        <f t="shared" si="15"/>
        <v>100</v>
      </c>
      <c r="AG45" s="83">
        <f t="shared" si="15"/>
        <v>100</v>
      </c>
      <c r="AH45" s="83">
        <f t="shared" si="16"/>
        <v>100</v>
      </c>
      <c r="AI45" s="83">
        <f t="shared" si="16"/>
        <v>100</v>
      </c>
      <c r="AJ45" s="83">
        <f t="shared" si="16"/>
        <v>100</v>
      </c>
      <c r="AK45" s="83">
        <f t="shared" si="16"/>
        <v>100</v>
      </c>
      <c r="AL45" s="83">
        <f t="shared" si="16"/>
        <v>100</v>
      </c>
      <c r="AM45" s="83">
        <f t="shared" si="16"/>
        <v>100</v>
      </c>
      <c r="AN45" s="83">
        <f t="shared" si="16"/>
        <v>100</v>
      </c>
      <c r="AO45" s="83">
        <f t="shared" si="16"/>
        <v>100</v>
      </c>
      <c r="AP45" s="83">
        <f t="shared" si="16"/>
        <v>100</v>
      </c>
      <c r="AQ45" s="83">
        <f t="shared" si="17"/>
        <v>100</v>
      </c>
      <c r="AR45" s="92">
        <f t="shared" si="14"/>
        <v>10</v>
      </c>
      <c r="AS45" s="86">
        <f t="shared" si="14"/>
        <v>10</v>
      </c>
      <c r="AT45" s="86">
        <f t="shared" si="14"/>
        <v>10</v>
      </c>
      <c r="AU45" s="86">
        <f t="shared" si="14"/>
        <v>10</v>
      </c>
      <c r="AV45" s="86">
        <f t="shared" si="14"/>
        <v>10</v>
      </c>
      <c r="AW45" s="86">
        <f t="shared" si="14"/>
        <v>10</v>
      </c>
      <c r="AX45" s="86">
        <f t="shared" si="14"/>
        <v>10</v>
      </c>
      <c r="AY45" s="87">
        <f t="shared" si="14"/>
        <v>10</v>
      </c>
      <c r="AZ45" s="72">
        <f t="shared" si="14"/>
        <v>10</v>
      </c>
      <c r="BA45" s="35">
        <v>27</v>
      </c>
    </row>
    <row r="46" spans="2:53" x14ac:dyDescent="0.25">
      <c r="B46" s="34">
        <v>28</v>
      </c>
      <c r="C46" s="72">
        <f t="shared" si="12"/>
        <v>100</v>
      </c>
      <c r="D46" s="74">
        <f t="shared" si="12"/>
        <v>100</v>
      </c>
      <c r="E46" s="75">
        <f t="shared" si="12"/>
        <v>100</v>
      </c>
      <c r="F46" s="75">
        <f t="shared" si="12"/>
        <v>100</v>
      </c>
      <c r="G46" s="75">
        <f t="shared" si="12"/>
        <v>100</v>
      </c>
      <c r="H46" s="75">
        <f t="shared" si="12"/>
        <v>100</v>
      </c>
      <c r="I46" s="75">
        <f t="shared" si="12"/>
        <v>100</v>
      </c>
      <c r="J46" s="75">
        <f t="shared" si="12"/>
        <v>100</v>
      </c>
      <c r="K46" s="75">
        <f t="shared" si="12"/>
        <v>100</v>
      </c>
      <c r="L46" s="109">
        <f t="shared" si="13"/>
        <v>100</v>
      </c>
      <c r="M46" s="83">
        <f t="shared" si="13"/>
        <v>100</v>
      </c>
      <c r="N46" s="83">
        <f t="shared" si="13"/>
        <v>100</v>
      </c>
      <c r="O46" s="83">
        <f t="shared" si="13"/>
        <v>100</v>
      </c>
      <c r="P46" s="83">
        <f t="shared" si="13"/>
        <v>100</v>
      </c>
      <c r="Q46" s="83">
        <f t="shared" si="13"/>
        <v>100</v>
      </c>
      <c r="R46" s="83">
        <f t="shared" si="13"/>
        <v>100</v>
      </c>
      <c r="S46" s="83">
        <f t="shared" si="13"/>
        <v>100</v>
      </c>
      <c r="T46" s="83">
        <f t="shared" si="13"/>
        <v>100</v>
      </c>
      <c r="U46" s="83">
        <f t="shared" si="13"/>
        <v>100</v>
      </c>
      <c r="V46" s="83">
        <f t="shared" si="13"/>
        <v>100</v>
      </c>
      <c r="W46" s="83">
        <f t="shared" si="13"/>
        <v>100</v>
      </c>
      <c r="X46" s="83">
        <f t="shared" si="15"/>
        <v>100</v>
      </c>
      <c r="Y46" s="83">
        <f t="shared" si="15"/>
        <v>100</v>
      </c>
      <c r="Z46" s="83">
        <f t="shared" si="15"/>
        <v>100</v>
      </c>
      <c r="AA46" s="83">
        <f t="shared" si="15"/>
        <v>100</v>
      </c>
      <c r="AB46" s="83">
        <f t="shared" si="15"/>
        <v>100</v>
      </c>
      <c r="AC46" s="83">
        <f t="shared" si="15"/>
        <v>100</v>
      </c>
      <c r="AD46" s="83">
        <f t="shared" si="15"/>
        <v>100</v>
      </c>
      <c r="AE46" s="83">
        <f t="shared" si="15"/>
        <v>100</v>
      </c>
      <c r="AF46" s="83">
        <f t="shared" si="15"/>
        <v>100</v>
      </c>
      <c r="AG46" s="83">
        <f t="shared" si="15"/>
        <v>100</v>
      </c>
      <c r="AH46" s="83">
        <f t="shared" si="16"/>
        <v>100</v>
      </c>
      <c r="AI46" s="83">
        <f t="shared" si="16"/>
        <v>100</v>
      </c>
      <c r="AJ46" s="83">
        <f t="shared" si="16"/>
        <v>100</v>
      </c>
      <c r="AK46" s="83">
        <f t="shared" si="16"/>
        <v>100</v>
      </c>
      <c r="AL46" s="83">
        <f t="shared" si="16"/>
        <v>100</v>
      </c>
      <c r="AM46" s="83">
        <f t="shared" si="16"/>
        <v>100</v>
      </c>
      <c r="AN46" s="83">
        <f t="shared" si="16"/>
        <v>100</v>
      </c>
      <c r="AO46" s="83">
        <f t="shared" si="16"/>
        <v>100</v>
      </c>
      <c r="AP46" s="83">
        <f t="shared" si="16"/>
        <v>100</v>
      </c>
      <c r="AQ46" s="83">
        <f t="shared" si="17"/>
        <v>100</v>
      </c>
      <c r="AR46" s="92">
        <f t="shared" si="14"/>
        <v>10</v>
      </c>
      <c r="AS46" s="86">
        <f t="shared" si="14"/>
        <v>10</v>
      </c>
      <c r="AT46" s="86">
        <f t="shared" si="14"/>
        <v>10</v>
      </c>
      <c r="AU46" s="86">
        <f t="shared" si="14"/>
        <v>10</v>
      </c>
      <c r="AV46" s="86">
        <f t="shared" si="14"/>
        <v>10</v>
      </c>
      <c r="AW46" s="86">
        <f t="shared" si="14"/>
        <v>10</v>
      </c>
      <c r="AX46" s="86">
        <f t="shared" si="14"/>
        <v>10</v>
      </c>
      <c r="AY46" s="87">
        <f t="shared" si="14"/>
        <v>10</v>
      </c>
      <c r="AZ46" s="72">
        <f t="shared" si="14"/>
        <v>10</v>
      </c>
      <c r="BA46" s="35">
        <v>28</v>
      </c>
    </row>
    <row r="47" spans="2:53" x14ac:dyDescent="0.25">
      <c r="B47" s="34">
        <v>29</v>
      </c>
      <c r="C47" s="72">
        <f t="shared" si="12"/>
        <v>100</v>
      </c>
      <c r="D47" s="74">
        <f t="shared" si="12"/>
        <v>100</v>
      </c>
      <c r="E47" s="75">
        <f t="shared" si="12"/>
        <v>100</v>
      </c>
      <c r="F47" s="75">
        <f t="shared" si="12"/>
        <v>100</v>
      </c>
      <c r="G47" s="75">
        <f t="shared" si="12"/>
        <v>100</v>
      </c>
      <c r="H47" s="75">
        <f t="shared" si="12"/>
        <v>100</v>
      </c>
      <c r="I47" s="75">
        <f t="shared" si="12"/>
        <v>100</v>
      </c>
      <c r="J47" s="75">
        <f t="shared" si="12"/>
        <v>100</v>
      </c>
      <c r="K47" s="75">
        <f t="shared" si="12"/>
        <v>100</v>
      </c>
      <c r="L47" s="109">
        <f t="shared" si="13"/>
        <v>100</v>
      </c>
      <c r="M47" s="83">
        <f t="shared" si="13"/>
        <v>100</v>
      </c>
      <c r="N47" s="83">
        <f t="shared" si="13"/>
        <v>100</v>
      </c>
      <c r="O47" s="83">
        <f t="shared" si="13"/>
        <v>100</v>
      </c>
      <c r="P47" s="83">
        <f t="shared" si="13"/>
        <v>100</v>
      </c>
      <c r="Q47" s="83">
        <f t="shared" si="13"/>
        <v>100</v>
      </c>
      <c r="R47" s="83">
        <f t="shared" si="13"/>
        <v>100</v>
      </c>
      <c r="S47" s="83">
        <f t="shared" si="13"/>
        <v>100</v>
      </c>
      <c r="T47" s="83">
        <f t="shared" si="13"/>
        <v>100</v>
      </c>
      <c r="U47" s="83">
        <f t="shared" si="13"/>
        <v>100</v>
      </c>
      <c r="V47" s="83">
        <f t="shared" si="13"/>
        <v>100</v>
      </c>
      <c r="W47" s="83">
        <f t="shared" si="13"/>
        <v>100</v>
      </c>
      <c r="X47" s="83">
        <f t="shared" si="15"/>
        <v>100</v>
      </c>
      <c r="Y47" s="83">
        <f t="shared" si="15"/>
        <v>100</v>
      </c>
      <c r="Z47" s="83">
        <f t="shared" si="15"/>
        <v>100</v>
      </c>
      <c r="AA47" s="83">
        <f t="shared" si="15"/>
        <v>100</v>
      </c>
      <c r="AB47" s="83">
        <f t="shared" si="15"/>
        <v>100</v>
      </c>
      <c r="AC47" s="83">
        <f t="shared" si="15"/>
        <v>100</v>
      </c>
      <c r="AD47" s="83">
        <f t="shared" si="15"/>
        <v>100</v>
      </c>
      <c r="AE47" s="83">
        <f t="shared" si="15"/>
        <v>100</v>
      </c>
      <c r="AF47" s="83">
        <f t="shared" si="15"/>
        <v>100</v>
      </c>
      <c r="AG47" s="83">
        <f t="shared" si="15"/>
        <v>100</v>
      </c>
      <c r="AH47" s="83">
        <f t="shared" si="16"/>
        <v>100</v>
      </c>
      <c r="AI47" s="83">
        <f t="shared" si="16"/>
        <v>100</v>
      </c>
      <c r="AJ47" s="83">
        <f t="shared" si="16"/>
        <v>100</v>
      </c>
      <c r="AK47" s="83">
        <f t="shared" si="16"/>
        <v>100</v>
      </c>
      <c r="AL47" s="83">
        <f t="shared" si="16"/>
        <v>100</v>
      </c>
      <c r="AM47" s="83">
        <f t="shared" si="16"/>
        <v>100</v>
      </c>
      <c r="AN47" s="83">
        <f t="shared" si="16"/>
        <v>100</v>
      </c>
      <c r="AO47" s="83">
        <f t="shared" si="16"/>
        <v>100</v>
      </c>
      <c r="AP47" s="83">
        <f t="shared" si="16"/>
        <v>100</v>
      </c>
      <c r="AQ47" s="83">
        <f t="shared" si="17"/>
        <v>100</v>
      </c>
      <c r="AR47" s="92">
        <f t="shared" si="14"/>
        <v>10</v>
      </c>
      <c r="AS47" s="86">
        <f t="shared" si="14"/>
        <v>10</v>
      </c>
      <c r="AT47" s="86">
        <f t="shared" si="14"/>
        <v>10</v>
      </c>
      <c r="AU47" s="86">
        <f t="shared" si="14"/>
        <v>10</v>
      </c>
      <c r="AV47" s="86">
        <f t="shared" si="14"/>
        <v>10</v>
      </c>
      <c r="AW47" s="86">
        <f t="shared" si="14"/>
        <v>10</v>
      </c>
      <c r="AX47" s="86">
        <f t="shared" si="14"/>
        <v>10</v>
      </c>
      <c r="AY47" s="87">
        <f t="shared" si="14"/>
        <v>10</v>
      </c>
      <c r="AZ47" s="72">
        <f t="shared" si="14"/>
        <v>10</v>
      </c>
      <c r="BA47" s="35">
        <v>29</v>
      </c>
    </row>
    <row r="48" spans="2:53" x14ac:dyDescent="0.25">
      <c r="B48" s="34">
        <v>30</v>
      </c>
      <c r="C48" s="72">
        <f t="shared" ref="C48:K50" si="18">$F$5</f>
        <v>100</v>
      </c>
      <c r="D48" s="74">
        <f t="shared" si="18"/>
        <v>100</v>
      </c>
      <c r="E48" s="75">
        <f t="shared" si="18"/>
        <v>100</v>
      </c>
      <c r="F48" s="75">
        <f t="shared" si="18"/>
        <v>100</v>
      </c>
      <c r="G48" s="75">
        <f t="shared" si="18"/>
        <v>100</v>
      </c>
      <c r="H48" s="75">
        <f t="shared" si="18"/>
        <v>100</v>
      </c>
      <c r="I48" s="75">
        <f t="shared" si="18"/>
        <v>100</v>
      </c>
      <c r="J48" s="75">
        <f t="shared" si="18"/>
        <v>100</v>
      </c>
      <c r="K48" s="75">
        <f t="shared" si="18"/>
        <v>100</v>
      </c>
      <c r="L48" s="109">
        <f t="shared" ref="L48:W50" si="19">$F$6</f>
        <v>100</v>
      </c>
      <c r="M48" s="83">
        <f t="shared" si="19"/>
        <v>100</v>
      </c>
      <c r="N48" s="83">
        <f t="shared" si="19"/>
        <v>100</v>
      </c>
      <c r="O48" s="83">
        <f t="shared" si="19"/>
        <v>100</v>
      </c>
      <c r="P48" s="83">
        <f t="shared" si="19"/>
        <v>100</v>
      </c>
      <c r="Q48" s="83">
        <f t="shared" si="19"/>
        <v>100</v>
      </c>
      <c r="R48" s="83">
        <f t="shared" si="19"/>
        <v>100</v>
      </c>
      <c r="S48" s="83">
        <f t="shared" si="19"/>
        <v>100</v>
      </c>
      <c r="T48" s="83">
        <f t="shared" si="19"/>
        <v>100</v>
      </c>
      <c r="U48" s="83">
        <f t="shared" si="19"/>
        <v>100</v>
      </c>
      <c r="V48" s="83">
        <f t="shared" si="19"/>
        <v>100</v>
      </c>
      <c r="W48" s="83">
        <f t="shared" si="19"/>
        <v>100</v>
      </c>
      <c r="X48" s="83">
        <f t="shared" si="15"/>
        <v>100</v>
      </c>
      <c r="Y48" s="83">
        <f t="shared" si="15"/>
        <v>100</v>
      </c>
      <c r="Z48" s="83">
        <f t="shared" si="15"/>
        <v>100</v>
      </c>
      <c r="AA48" s="83">
        <f t="shared" si="15"/>
        <v>100</v>
      </c>
      <c r="AB48" s="83">
        <f t="shared" si="15"/>
        <v>100</v>
      </c>
      <c r="AC48" s="83">
        <f t="shared" si="15"/>
        <v>100</v>
      </c>
      <c r="AD48" s="83">
        <f t="shared" si="15"/>
        <v>100</v>
      </c>
      <c r="AE48" s="83">
        <f t="shared" si="15"/>
        <v>100</v>
      </c>
      <c r="AF48" s="83">
        <f t="shared" si="15"/>
        <v>100</v>
      </c>
      <c r="AG48" s="83">
        <f t="shared" si="15"/>
        <v>100</v>
      </c>
      <c r="AH48" s="83">
        <f t="shared" si="16"/>
        <v>100</v>
      </c>
      <c r="AI48" s="83">
        <f t="shared" si="16"/>
        <v>100</v>
      </c>
      <c r="AJ48" s="83">
        <f t="shared" si="16"/>
        <v>100</v>
      </c>
      <c r="AK48" s="83">
        <f t="shared" si="16"/>
        <v>100</v>
      </c>
      <c r="AL48" s="83">
        <f t="shared" si="16"/>
        <v>100</v>
      </c>
      <c r="AM48" s="83">
        <f t="shared" si="16"/>
        <v>100</v>
      </c>
      <c r="AN48" s="83">
        <f t="shared" si="16"/>
        <v>100</v>
      </c>
      <c r="AO48" s="83">
        <f t="shared" si="16"/>
        <v>100</v>
      </c>
      <c r="AP48" s="83">
        <f t="shared" si="16"/>
        <v>100</v>
      </c>
      <c r="AQ48" s="83">
        <f t="shared" si="17"/>
        <v>100</v>
      </c>
      <c r="AR48" s="92">
        <f t="shared" si="14"/>
        <v>10</v>
      </c>
      <c r="AS48" s="86">
        <f t="shared" si="14"/>
        <v>10</v>
      </c>
      <c r="AT48" s="86">
        <f t="shared" si="14"/>
        <v>10</v>
      </c>
      <c r="AU48" s="86">
        <f t="shared" si="14"/>
        <v>10</v>
      </c>
      <c r="AV48" s="86">
        <f t="shared" si="14"/>
        <v>10</v>
      </c>
      <c r="AW48" s="86">
        <f t="shared" si="14"/>
        <v>10</v>
      </c>
      <c r="AX48" s="86">
        <f t="shared" si="14"/>
        <v>10</v>
      </c>
      <c r="AY48" s="87">
        <f t="shared" si="14"/>
        <v>10</v>
      </c>
      <c r="AZ48" s="72">
        <f t="shared" si="14"/>
        <v>10</v>
      </c>
      <c r="BA48" s="35">
        <v>30</v>
      </c>
    </row>
    <row r="49" spans="2:53" x14ac:dyDescent="0.25">
      <c r="B49" s="34">
        <v>31</v>
      </c>
      <c r="C49" s="72">
        <f t="shared" si="18"/>
        <v>100</v>
      </c>
      <c r="D49" s="74">
        <f t="shared" si="18"/>
        <v>100</v>
      </c>
      <c r="E49" s="75">
        <f t="shared" si="18"/>
        <v>100</v>
      </c>
      <c r="F49" s="75">
        <f t="shared" si="18"/>
        <v>100</v>
      </c>
      <c r="G49" s="75">
        <f t="shared" si="18"/>
        <v>100</v>
      </c>
      <c r="H49" s="75">
        <f t="shared" si="18"/>
        <v>100</v>
      </c>
      <c r="I49" s="75">
        <f t="shared" si="18"/>
        <v>100</v>
      </c>
      <c r="J49" s="75">
        <f t="shared" si="18"/>
        <v>100</v>
      </c>
      <c r="K49" s="75">
        <f t="shared" si="18"/>
        <v>100</v>
      </c>
      <c r="L49" s="109">
        <f t="shared" si="19"/>
        <v>100</v>
      </c>
      <c r="M49" s="83">
        <f t="shared" si="19"/>
        <v>100</v>
      </c>
      <c r="N49" s="83">
        <f t="shared" si="19"/>
        <v>100</v>
      </c>
      <c r="O49" s="83">
        <f t="shared" si="19"/>
        <v>100</v>
      </c>
      <c r="P49" s="83">
        <f t="shared" si="19"/>
        <v>100</v>
      </c>
      <c r="Q49" s="83">
        <f t="shared" si="19"/>
        <v>100</v>
      </c>
      <c r="R49" s="83">
        <f t="shared" si="19"/>
        <v>100</v>
      </c>
      <c r="S49" s="83">
        <f t="shared" si="19"/>
        <v>100</v>
      </c>
      <c r="T49" s="83">
        <f t="shared" si="19"/>
        <v>100</v>
      </c>
      <c r="U49" s="83">
        <f t="shared" si="19"/>
        <v>100</v>
      </c>
      <c r="V49" s="83">
        <f t="shared" si="19"/>
        <v>100</v>
      </c>
      <c r="W49" s="83">
        <f t="shared" si="19"/>
        <v>100</v>
      </c>
      <c r="X49" s="83">
        <f t="shared" si="15"/>
        <v>100</v>
      </c>
      <c r="Y49" s="83">
        <f t="shared" si="15"/>
        <v>100</v>
      </c>
      <c r="Z49" s="83">
        <f t="shared" si="15"/>
        <v>100</v>
      </c>
      <c r="AA49" s="83">
        <f t="shared" si="15"/>
        <v>100</v>
      </c>
      <c r="AB49" s="83">
        <f t="shared" si="15"/>
        <v>100</v>
      </c>
      <c r="AC49" s="83">
        <f t="shared" si="15"/>
        <v>100</v>
      </c>
      <c r="AD49" s="83">
        <f t="shared" si="15"/>
        <v>100</v>
      </c>
      <c r="AE49" s="83">
        <f t="shared" si="15"/>
        <v>100</v>
      </c>
      <c r="AF49" s="83">
        <f t="shared" si="15"/>
        <v>100</v>
      </c>
      <c r="AG49" s="83">
        <f t="shared" si="15"/>
        <v>100</v>
      </c>
      <c r="AH49" s="83">
        <f t="shared" si="16"/>
        <v>100</v>
      </c>
      <c r="AI49" s="83">
        <f t="shared" si="16"/>
        <v>100</v>
      </c>
      <c r="AJ49" s="83">
        <f t="shared" si="16"/>
        <v>100</v>
      </c>
      <c r="AK49" s="83">
        <f t="shared" si="16"/>
        <v>100</v>
      </c>
      <c r="AL49" s="83">
        <f t="shared" si="16"/>
        <v>100</v>
      </c>
      <c r="AM49" s="83">
        <f t="shared" si="16"/>
        <v>100</v>
      </c>
      <c r="AN49" s="83">
        <f t="shared" si="16"/>
        <v>100</v>
      </c>
      <c r="AO49" s="83">
        <f t="shared" si="16"/>
        <v>100</v>
      </c>
      <c r="AP49" s="83">
        <f t="shared" si="16"/>
        <v>100</v>
      </c>
      <c r="AQ49" s="83">
        <f t="shared" si="17"/>
        <v>100</v>
      </c>
      <c r="AR49" s="92">
        <f t="shared" ref="AR49:AZ58" si="20">$F$8</f>
        <v>10</v>
      </c>
      <c r="AS49" s="86">
        <f t="shared" si="20"/>
        <v>10</v>
      </c>
      <c r="AT49" s="86">
        <f t="shared" si="20"/>
        <v>10</v>
      </c>
      <c r="AU49" s="86">
        <f t="shared" si="20"/>
        <v>10</v>
      </c>
      <c r="AV49" s="86">
        <f t="shared" si="20"/>
        <v>10</v>
      </c>
      <c r="AW49" s="86">
        <f t="shared" si="20"/>
        <v>10</v>
      </c>
      <c r="AX49" s="86">
        <f t="shared" si="20"/>
        <v>10</v>
      </c>
      <c r="AY49" s="87">
        <f t="shared" si="20"/>
        <v>10</v>
      </c>
      <c r="AZ49" s="72">
        <f t="shared" si="20"/>
        <v>10</v>
      </c>
      <c r="BA49" s="35">
        <v>31</v>
      </c>
    </row>
    <row r="50" spans="2:53" x14ac:dyDescent="0.25">
      <c r="B50" s="34">
        <v>32</v>
      </c>
      <c r="C50" s="72">
        <f t="shared" si="18"/>
        <v>100</v>
      </c>
      <c r="D50" s="74">
        <f t="shared" si="18"/>
        <v>100</v>
      </c>
      <c r="E50" s="75">
        <f t="shared" si="18"/>
        <v>100</v>
      </c>
      <c r="F50" s="75">
        <f t="shared" si="18"/>
        <v>100</v>
      </c>
      <c r="G50" s="75">
        <f t="shared" si="18"/>
        <v>100</v>
      </c>
      <c r="H50" s="75">
        <f t="shared" si="18"/>
        <v>100</v>
      </c>
      <c r="I50" s="75">
        <f t="shared" si="18"/>
        <v>100</v>
      </c>
      <c r="J50" s="75">
        <f t="shared" si="18"/>
        <v>100</v>
      </c>
      <c r="K50" s="75">
        <f t="shared" si="18"/>
        <v>100</v>
      </c>
      <c r="L50" s="109">
        <f t="shared" si="19"/>
        <v>100</v>
      </c>
      <c r="M50" s="83">
        <f t="shared" si="19"/>
        <v>100</v>
      </c>
      <c r="N50" s="83">
        <f t="shared" si="19"/>
        <v>100</v>
      </c>
      <c r="O50" s="83">
        <f t="shared" si="19"/>
        <v>100</v>
      </c>
      <c r="P50" s="83">
        <f t="shared" si="19"/>
        <v>100</v>
      </c>
      <c r="Q50" s="83">
        <f t="shared" si="19"/>
        <v>100</v>
      </c>
      <c r="R50" s="83">
        <f t="shared" si="19"/>
        <v>100</v>
      </c>
      <c r="S50" s="83">
        <f t="shared" si="19"/>
        <v>100</v>
      </c>
      <c r="T50" s="83">
        <f t="shared" si="19"/>
        <v>100</v>
      </c>
      <c r="U50" s="83">
        <f t="shared" si="19"/>
        <v>100</v>
      </c>
      <c r="V50" s="83">
        <f t="shared" si="19"/>
        <v>100</v>
      </c>
      <c r="W50" s="83">
        <f t="shared" si="19"/>
        <v>100</v>
      </c>
      <c r="X50" s="83">
        <f t="shared" si="15"/>
        <v>100</v>
      </c>
      <c r="Y50" s="83">
        <f t="shared" si="15"/>
        <v>100</v>
      </c>
      <c r="Z50" s="83">
        <f t="shared" si="15"/>
        <v>100</v>
      </c>
      <c r="AA50" s="83">
        <f t="shared" si="15"/>
        <v>100</v>
      </c>
      <c r="AB50" s="83">
        <f t="shared" si="15"/>
        <v>100</v>
      </c>
      <c r="AC50" s="83">
        <f t="shared" si="15"/>
        <v>100</v>
      </c>
      <c r="AD50" s="83">
        <f t="shared" si="15"/>
        <v>100</v>
      </c>
      <c r="AE50" s="83">
        <f t="shared" si="15"/>
        <v>100</v>
      </c>
      <c r="AF50" s="83">
        <f t="shared" si="15"/>
        <v>100</v>
      </c>
      <c r="AG50" s="83">
        <f t="shared" si="15"/>
        <v>100</v>
      </c>
      <c r="AH50" s="83">
        <f t="shared" si="16"/>
        <v>100</v>
      </c>
      <c r="AI50" s="83">
        <f t="shared" si="16"/>
        <v>100</v>
      </c>
      <c r="AJ50" s="83">
        <f t="shared" si="16"/>
        <v>100</v>
      </c>
      <c r="AK50" s="83">
        <f t="shared" si="16"/>
        <v>100</v>
      </c>
      <c r="AL50" s="83">
        <f t="shared" si="16"/>
        <v>100</v>
      </c>
      <c r="AM50" s="83">
        <f t="shared" si="16"/>
        <v>100</v>
      </c>
      <c r="AN50" s="83">
        <f t="shared" si="16"/>
        <v>100</v>
      </c>
      <c r="AO50" s="83">
        <f t="shared" si="16"/>
        <v>100</v>
      </c>
      <c r="AP50" s="83">
        <f t="shared" si="16"/>
        <v>100</v>
      </c>
      <c r="AQ50" s="83">
        <f t="shared" si="17"/>
        <v>100</v>
      </c>
      <c r="AR50" s="92">
        <f t="shared" si="20"/>
        <v>10</v>
      </c>
      <c r="AS50" s="86">
        <f t="shared" si="20"/>
        <v>10</v>
      </c>
      <c r="AT50" s="86">
        <f t="shared" si="20"/>
        <v>10</v>
      </c>
      <c r="AU50" s="86">
        <f t="shared" si="20"/>
        <v>10</v>
      </c>
      <c r="AV50" s="86">
        <f t="shared" si="20"/>
        <v>10</v>
      </c>
      <c r="AW50" s="86">
        <f t="shared" si="20"/>
        <v>10</v>
      </c>
      <c r="AX50" s="86">
        <f t="shared" si="20"/>
        <v>10</v>
      </c>
      <c r="AY50" s="87">
        <f t="shared" si="20"/>
        <v>10</v>
      </c>
      <c r="AZ50" s="72">
        <f t="shared" si="20"/>
        <v>10</v>
      </c>
      <c r="BA50" s="35">
        <v>32</v>
      </c>
    </row>
    <row r="51" spans="2:53" x14ac:dyDescent="0.25">
      <c r="B51" s="34">
        <v>33</v>
      </c>
      <c r="C51" s="72">
        <f t="shared" ref="C51:R55" si="21">$F$7</f>
        <v>1</v>
      </c>
      <c r="D51" s="95">
        <f t="shared" si="21"/>
        <v>1</v>
      </c>
      <c r="E51" s="96">
        <f t="shared" si="21"/>
        <v>1</v>
      </c>
      <c r="F51" s="96">
        <f t="shared" si="21"/>
        <v>1</v>
      </c>
      <c r="G51" s="96">
        <f t="shared" si="21"/>
        <v>1</v>
      </c>
      <c r="H51" s="96">
        <f t="shared" si="21"/>
        <v>1</v>
      </c>
      <c r="I51" s="96">
        <f t="shared" si="21"/>
        <v>1</v>
      </c>
      <c r="J51" s="96">
        <f t="shared" si="21"/>
        <v>1</v>
      </c>
      <c r="K51" s="96">
        <f t="shared" si="21"/>
        <v>1</v>
      </c>
      <c r="L51" s="96">
        <f t="shared" si="21"/>
        <v>1</v>
      </c>
      <c r="M51" s="96">
        <f t="shared" si="21"/>
        <v>1</v>
      </c>
      <c r="N51" s="96">
        <f t="shared" si="21"/>
        <v>1</v>
      </c>
      <c r="O51" s="96">
        <f t="shared" si="21"/>
        <v>1</v>
      </c>
      <c r="P51" s="96">
        <f t="shared" si="21"/>
        <v>1</v>
      </c>
      <c r="Q51" s="96">
        <f t="shared" si="21"/>
        <v>1</v>
      </c>
      <c r="R51" s="96">
        <f t="shared" si="21"/>
        <v>1</v>
      </c>
      <c r="S51" s="96">
        <f t="shared" ref="S51:AH55" si="22">$F$7</f>
        <v>1</v>
      </c>
      <c r="T51" s="96">
        <f t="shared" si="22"/>
        <v>1</v>
      </c>
      <c r="U51" s="96">
        <f t="shared" si="22"/>
        <v>1</v>
      </c>
      <c r="V51" s="96">
        <f t="shared" si="22"/>
        <v>1</v>
      </c>
      <c r="W51" s="96">
        <f t="shared" si="22"/>
        <v>1</v>
      </c>
      <c r="X51" s="96">
        <f t="shared" si="22"/>
        <v>1</v>
      </c>
      <c r="Y51" s="96">
        <f t="shared" si="22"/>
        <v>1</v>
      </c>
      <c r="Z51" s="96">
        <f t="shared" si="22"/>
        <v>1</v>
      </c>
      <c r="AA51" s="96">
        <f t="shared" si="22"/>
        <v>1</v>
      </c>
      <c r="AB51" s="96">
        <f t="shared" si="22"/>
        <v>1</v>
      </c>
      <c r="AC51" s="96">
        <f t="shared" si="22"/>
        <v>1</v>
      </c>
      <c r="AD51" s="96">
        <f t="shared" si="22"/>
        <v>1</v>
      </c>
      <c r="AE51" s="96">
        <f t="shared" si="22"/>
        <v>1</v>
      </c>
      <c r="AF51" s="96">
        <f t="shared" si="22"/>
        <v>1</v>
      </c>
      <c r="AG51" s="96">
        <f t="shared" si="22"/>
        <v>1</v>
      </c>
      <c r="AH51" s="96">
        <f t="shared" si="22"/>
        <v>1</v>
      </c>
      <c r="AI51" s="96">
        <f t="shared" ref="AG51:AQ55" si="23">$F$7</f>
        <v>1</v>
      </c>
      <c r="AJ51" s="96">
        <f t="shared" si="23"/>
        <v>1</v>
      </c>
      <c r="AK51" s="96">
        <f t="shared" si="23"/>
        <v>1</v>
      </c>
      <c r="AL51" s="96">
        <f t="shared" si="23"/>
        <v>1</v>
      </c>
      <c r="AM51" s="96">
        <f t="shared" si="23"/>
        <v>1</v>
      </c>
      <c r="AN51" s="96">
        <f t="shared" si="23"/>
        <v>1</v>
      </c>
      <c r="AO51" s="96">
        <f t="shared" si="23"/>
        <v>1</v>
      </c>
      <c r="AP51" s="96">
        <f t="shared" si="23"/>
        <v>1</v>
      </c>
      <c r="AQ51" s="97">
        <f t="shared" si="23"/>
        <v>1</v>
      </c>
      <c r="AR51" s="92">
        <f t="shared" si="20"/>
        <v>10</v>
      </c>
      <c r="AS51" s="86">
        <f t="shared" si="20"/>
        <v>10</v>
      </c>
      <c r="AT51" s="86">
        <f t="shared" si="20"/>
        <v>10</v>
      </c>
      <c r="AU51" s="86">
        <f t="shared" si="20"/>
        <v>10</v>
      </c>
      <c r="AV51" s="86">
        <f t="shared" si="20"/>
        <v>10</v>
      </c>
      <c r="AW51" s="86">
        <f t="shared" si="20"/>
        <v>10</v>
      </c>
      <c r="AX51" s="86">
        <f t="shared" si="20"/>
        <v>10</v>
      </c>
      <c r="AY51" s="87">
        <f t="shared" si="20"/>
        <v>10</v>
      </c>
      <c r="AZ51" s="72">
        <f t="shared" si="20"/>
        <v>10</v>
      </c>
      <c r="BA51" s="35">
        <v>33</v>
      </c>
    </row>
    <row r="52" spans="2:53" x14ac:dyDescent="0.25">
      <c r="B52" s="34">
        <v>34</v>
      </c>
      <c r="C52" s="72">
        <f t="shared" si="21"/>
        <v>1</v>
      </c>
      <c r="D52" s="77">
        <f t="shared" si="21"/>
        <v>1</v>
      </c>
      <c r="E52" s="78">
        <f t="shared" si="21"/>
        <v>1</v>
      </c>
      <c r="F52" s="78">
        <f t="shared" si="21"/>
        <v>1</v>
      </c>
      <c r="G52" s="78">
        <f t="shared" si="21"/>
        <v>1</v>
      </c>
      <c r="H52" s="78">
        <f t="shared" si="21"/>
        <v>1</v>
      </c>
      <c r="I52" s="78">
        <f t="shared" si="21"/>
        <v>1</v>
      </c>
      <c r="J52" s="78">
        <f t="shared" si="21"/>
        <v>1</v>
      </c>
      <c r="K52" s="78">
        <f t="shared" si="21"/>
        <v>1</v>
      </c>
      <c r="L52" s="78">
        <f t="shared" si="21"/>
        <v>1</v>
      </c>
      <c r="M52" s="78">
        <f t="shared" si="21"/>
        <v>1</v>
      </c>
      <c r="N52" s="78">
        <f t="shared" si="21"/>
        <v>1</v>
      </c>
      <c r="O52" s="78">
        <f t="shared" si="21"/>
        <v>1</v>
      </c>
      <c r="P52" s="78">
        <f t="shared" si="21"/>
        <v>1</v>
      </c>
      <c r="Q52" s="78">
        <f t="shared" si="21"/>
        <v>1</v>
      </c>
      <c r="R52" s="78">
        <f t="shared" si="21"/>
        <v>1</v>
      </c>
      <c r="S52" s="78">
        <f t="shared" si="22"/>
        <v>1</v>
      </c>
      <c r="T52" s="78">
        <f t="shared" si="22"/>
        <v>1</v>
      </c>
      <c r="U52" s="78">
        <f t="shared" si="22"/>
        <v>1</v>
      </c>
      <c r="V52" s="78">
        <f t="shared" si="22"/>
        <v>1</v>
      </c>
      <c r="W52" s="78">
        <f t="shared" si="22"/>
        <v>1</v>
      </c>
      <c r="X52" s="78">
        <f t="shared" si="22"/>
        <v>1</v>
      </c>
      <c r="Y52" s="78">
        <f t="shared" si="22"/>
        <v>1</v>
      </c>
      <c r="Z52" s="78">
        <f t="shared" si="22"/>
        <v>1</v>
      </c>
      <c r="AA52" s="78">
        <f t="shared" si="22"/>
        <v>1</v>
      </c>
      <c r="AB52" s="78">
        <f t="shared" si="22"/>
        <v>1</v>
      </c>
      <c r="AC52" s="78">
        <f t="shared" si="22"/>
        <v>1</v>
      </c>
      <c r="AD52" s="78">
        <f t="shared" si="22"/>
        <v>1</v>
      </c>
      <c r="AE52" s="78">
        <f t="shared" si="22"/>
        <v>1</v>
      </c>
      <c r="AF52" s="78">
        <f t="shared" si="22"/>
        <v>1</v>
      </c>
      <c r="AG52" s="78">
        <f t="shared" si="23"/>
        <v>1</v>
      </c>
      <c r="AH52" s="78">
        <f t="shared" si="23"/>
        <v>1</v>
      </c>
      <c r="AI52" s="78">
        <f t="shared" si="23"/>
        <v>1</v>
      </c>
      <c r="AJ52" s="78">
        <f t="shared" si="23"/>
        <v>1</v>
      </c>
      <c r="AK52" s="78">
        <f t="shared" si="23"/>
        <v>1</v>
      </c>
      <c r="AL52" s="78">
        <f t="shared" si="23"/>
        <v>1</v>
      </c>
      <c r="AM52" s="78">
        <f t="shared" si="23"/>
        <v>1</v>
      </c>
      <c r="AN52" s="78">
        <f t="shared" si="23"/>
        <v>1</v>
      </c>
      <c r="AO52" s="78">
        <f t="shared" si="23"/>
        <v>1</v>
      </c>
      <c r="AP52" s="78">
        <f t="shared" si="23"/>
        <v>1</v>
      </c>
      <c r="AQ52" s="79">
        <f t="shared" si="23"/>
        <v>1</v>
      </c>
      <c r="AR52" s="92">
        <f t="shared" si="20"/>
        <v>10</v>
      </c>
      <c r="AS52" s="86">
        <f t="shared" si="20"/>
        <v>10</v>
      </c>
      <c r="AT52" s="86">
        <f t="shared" si="20"/>
        <v>10</v>
      </c>
      <c r="AU52" s="86">
        <f t="shared" si="20"/>
        <v>10</v>
      </c>
      <c r="AV52" s="86">
        <f t="shared" si="20"/>
        <v>10</v>
      </c>
      <c r="AW52" s="86">
        <f t="shared" si="20"/>
        <v>10</v>
      </c>
      <c r="AX52" s="86">
        <f t="shared" si="20"/>
        <v>10</v>
      </c>
      <c r="AY52" s="87">
        <f t="shared" si="20"/>
        <v>10</v>
      </c>
      <c r="AZ52" s="72">
        <f t="shared" si="20"/>
        <v>10</v>
      </c>
      <c r="BA52" s="35">
        <v>34</v>
      </c>
    </row>
    <row r="53" spans="2:53" x14ac:dyDescent="0.25">
      <c r="B53" s="34">
        <v>35</v>
      </c>
      <c r="C53" s="72">
        <f t="shared" si="21"/>
        <v>1</v>
      </c>
      <c r="D53" s="77">
        <f t="shared" si="21"/>
        <v>1</v>
      </c>
      <c r="E53" s="78">
        <f t="shared" si="21"/>
        <v>1</v>
      </c>
      <c r="F53" s="78">
        <f t="shared" si="21"/>
        <v>1</v>
      </c>
      <c r="G53" s="78">
        <f t="shared" si="21"/>
        <v>1</v>
      </c>
      <c r="H53" s="78">
        <f t="shared" si="21"/>
        <v>1</v>
      </c>
      <c r="I53" s="78">
        <f t="shared" si="21"/>
        <v>1</v>
      </c>
      <c r="J53" s="78">
        <f t="shared" si="21"/>
        <v>1</v>
      </c>
      <c r="K53" s="78">
        <f t="shared" si="21"/>
        <v>1</v>
      </c>
      <c r="L53" s="78">
        <f t="shared" si="21"/>
        <v>1</v>
      </c>
      <c r="M53" s="78">
        <f t="shared" si="21"/>
        <v>1</v>
      </c>
      <c r="N53" s="78">
        <f t="shared" si="21"/>
        <v>1</v>
      </c>
      <c r="O53" s="78">
        <f t="shared" si="21"/>
        <v>1</v>
      </c>
      <c r="P53" s="78">
        <f t="shared" si="21"/>
        <v>1</v>
      </c>
      <c r="Q53" s="78">
        <f t="shared" si="21"/>
        <v>1</v>
      </c>
      <c r="R53" s="78">
        <f t="shared" si="21"/>
        <v>1</v>
      </c>
      <c r="S53" s="78">
        <f t="shared" si="22"/>
        <v>1</v>
      </c>
      <c r="T53" s="78">
        <f t="shared" si="22"/>
        <v>1</v>
      </c>
      <c r="U53" s="78">
        <f t="shared" si="22"/>
        <v>1</v>
      </c>
      <c r="V53" s="78">
        <f t="shared" si="22"/>
        <v>1</v>
      </c>
      <c r="W53" s="78">
        <f t="shared" si="22"/>
        <v>1</v>
      </c>
      <c r="X53" s="78">
        <f t="shared" si="22"/>
        <v>1</v>
      </c>
      <c r="Y53" s="78">
        <f t="shared" si="22"/>
        <v>1</v>
      </c>
      <c r="Z53" s="78">
        <f t="shared" si="22"/>
        <v>1</v>
      </c>
      <c r="AA53" s="78">
        <f t="shared" si="22"/>
        <v>1</v>
      </c>
      <c r="AB53" s="78">
        <f t="shared" si="22"/>
        <v>1</v>
      </c>
      <c r="AC53" s="78">
        <f t="shared" si="22"/>
        <v>1</v>
      </c>
      <c r="AD53" s="78">
        <f t="shared" si="22"/>
        <v>1</v>
      </c>
      <c r="AE53" s="78">
        <f t="shared" si="22"/>
        <v>1</v>
      </c>
      <c r="AF53" s="78">
        <f t="shared" si="22"/>
        <v>1</v>
      </c>
      <c r="AG53" s="78">
        <f t="shared" si="23"/>
        <v>1</v>
      </c>
      <c r="AH53" s="78">
        <f t="shared" si="23"/>
        <v>1</v>
      </c>
      <c r="AI53" s="78">
        <f t="shared" si="23"/>
        <v>1</v>
      </c>
      <c r="AJ53" s="78">
        <f t="shared" si="23"/>
        <v>1</v>
      </c>
      <c r="AK53" s="78">
        <f t="shared" si="23"/>
        <v>1</v>
      </c>
      <c r="AL53" s="78">
        <f t="shared" si="23"/>
        <v>1</v>
      </c>
      <c r="AM53" s="78">
        <f t="shared" si="23"/>
        <v>1</v>
      </c>
      <c r="AN53" s="78">
        <f t="shared" si="23"/>
        <v>1</v>
      </c>
      <c r="AO53" s="78">
        <f t="shared" si="23"/>
        <v>1</v>
      </c>
      <c r="AP53" s="78">
        <f t="shared" si="23"/>
        <v>1</v>
      </c>
      <c r="AQ53" s="79">
        <f t="shared" si="23"/>
        <v>1</v>
      </c>
      <c r="AR53" s="92">
        <f t="shared" si="20"/>
        <v>10</v>
      </c>
      <c r="AS53" s="86">
        <f t="shared" si="20"/>
        <v>10</v>
      </c>
      <c r="AT53" s="86">
        <f t="shared" si="20"/>
        <v>10</v>
      </c>
      <c r="AU53" s="86">
        <f t="shared" si="20"/>
        <v>10</v>
      </c>
      <c r="AV53" s="86">
        <f t="shared" si="20"/>
        <v>10</v>
      </c>
      <c r="AW53" s="86">
        <f t="shared" si="20"/>
        <v>10</v>
      </c>
      <c r="AX53" s="86">
        <f t="shared" si="20"/>
        <v>10</v>
      </c>
      <c r="AY53" s="87">
        <f t="shared" si="20"/>
        <v>10</v>
      </c>
      <c r="AZ53" s="72">
        <f t="shared" si="20"/>
        <v>10</v>
      </c>
      <c r="BA53" s="35">
        <v>35</v>
      </c>
    </row>
    <row r="54" spans="2:53" x14ac:dyDescent="0.25">
      <c r="B54" s="34">
        <v>36</v>
      </c>
      <c r="C54" s="72">
        <f t="shared" si="21"/>
        <v>1</v>
      </c>
      <c r="D54" s="77">
        <f t="shared" si="21"/>
        <v>1</v>
      </c>
      <c r="E54" s="78">
        <f t="shared" si="21"/>
        <v>1</v>
      </c>
      <c r="F54" s="78">
        <f t="shared" si="21"/>
        <v>1</v>
      </c>
      <c r="G54" s="78">
        <f t="shared" si="21"/>
        <v>1</v>
      </c>
      <c r="H54" s="78">
        <f t="shared" si="21"/>
        <v>1</v>
      </c>
      <c r="I54" s="78">
        <f t="shared" si="21"/>
        <v>1</v>
      </c>
      <c r="J54" s="78">
        <f t="shared" si="21"/>
        <v>1</v>
      </c>
      <c r="K54" s="78">
        <f t="shared" si="21"/>
        <v>1</v>
      </c>
      <c r="L54" s="78">
        <f t="shared" si="21"/>
        <v>1</v>
      </c>
      <c r="M54" s="78">
        <f t="shared" si="21"/>
        <v>1</v>
      </c>
      <c r="N54" s="78">
        <f t="shared" si="21"/>
        <v>1</v>
      </c>
      <c r="O54" s="78">
        <f t="shared" si="21"/>
        <v>1</v>
      </c>
      <c r="P54" s="78">
        <f t="shared" si="21"/>
        <v>1</v>
      </c>
      <c r="Q54" s="78">
        <f t="shared" si="21"/>
        <v>1</v>
      </c>
      <c r="R54" s="78">
        <f t="shared" si="21"/>
        <v>1</v>
      </c>
      <c r="S54" s="78">
        <f t="shared" si="22"/>
        <v>1</v>
      </c>
      <c r="T54" s="78">
        <f t="shared" si="22"/>
        <v>1</v>
      </c>
      <c r="U54" s="78">
        <f t="shared" si="22"/>
        <v>1</v>
      </c>
      <c r="V54" s="78">
        <f t="shared" si="22"/>
        <v>1</v>
      </c>
      <c r="W54" s="78">
        <f t="shared" si="22"/>
        <v>1</v>
      </c>
      <c r="X54" s="78">
        <f t="shared" si="22"/>
        <v>1</v>
      </c>
      <c r="Y54" s="78">
        <f t="shared" si="22"/>
        <v>1</v>
      </c>
      <c r="Z54" s="78">
        <f t="shared" si="22"/>
        <v>1</v>
      </c>
      <c r="AA54" s="78">
        <f t="shared" si="22"/>
        <v>1</v>
      </c>
      <c r="AB54" s="78">
        <f t="shared" si="22"/>
        <v>1</v>
      </c>
      <c r="AC54" s="78">
        <f t="shared" si="22"/>
        <v>1</v>
      </c>
      <c r="AD54" s="78">
        <f t="shared" si="22"/>
        <v>1</v>
      </c>
      <c r="AE54" s="78">
        <f t="shared" si="22"/>
        <v>1</v>
      </c>
      <c r="AF54" s="78">
        <f t="shared" si="22"/>
        <v>1</v>
      </c>
      <c r="AG54" s="78">
        <f t="shared" si="23"/>
        <v>1</v>
      </c>
      <c r="AH54" s="78">
        <f t="shared" si="23"/>
        <v>1</v>
      </c>
      <c r="AI54" s="78">
        <f t="shared" si="23"/>
        <v>1</v>
      </c>
      <c r="AJ54" s="78">
        <f t="shared" si="23"/>
        <v>1</v>
      </c>
      <c r="AK54" s="78">
        <f t="shared" si="23"/>
        <v>1</v>
      </c>
      <c r="AL54" s="78">
        <f t="shared" si="23"/>
        <v>1</v>
      </c>
      <c r="AM54" s="78">
        <f t="shared" si="23"/>
        <v>1</v>
      </c>
      <c r="AN54" s="78">
        <f t="shared" si="23"/>
        <v>1</v>
      </c>
      <c r="AO54" s="78">
        <f t="shared" si="23"/>
        <v>1</v>
      </c>
      <c r="AP54" s="78">
        <f t="shared" si="23"/>
        <v>1</v>
      </c>
      <c r="AQ54" s="79">
        <f t="shared" si="23"/>
        <v>1</v>
      </c>
      <c r="AR54" s="92">
        <f t="shared" si="20"/>
        <v>10</v>
      </c>
      <c r="AS54" s="86">
        <f t="shared" si="20"/>
        <v>10</v>
      </c>
      <c r="AT54" s="86">
        <f t="shared" si="20"/>
        <v>10</v>
      </c>
      <c r="AU54" s="86">
        <f t="shared" si="20"/>
        <v>10</v>
      </c>
      <c r="AV54" s="86">
        <f t="shared" si="20"/>
        <v>10</v>
      </c>
      <c r="AW54" s="86">
        <f t="shared" si="20"/>
        <v>10</v>
      </c>
      <c r="AX54" s="86">
        <f t="shared" si="20"/>
        <v>10</v>
      </c>
      <c r="AY54" s="87">
        <f t="shared" si="20"/>
        <v>10</v>
      </c>
      <c r="AZ54" s="72">
        <f t="shared" si="20"/>
        <v>10</v>
      </c>
      <c r="BA54" s="35">
        <v>36</v>
      </c>
    </row>
    <row r="55" spans="2:53" x14ac:dyDescent="0.25">
      <c r="B55" s="34">
        <v>37</v>
      </c>
      <c r="C55" s="72">
        <f t="shared" si="21"/>
        <v>1</v>
      </c>
      <c r="D55" s="77">
        <f t="shared" si="21"/>
        <v>1</v>
      </c>
      <c r="E55" s="78">
        <f t="shared" si="21"/>
        <v>1</v>
      </c>
      <c r="F55" s="78">
        <f t="shared" si="21"/>
        <v>1</v>
      </c>
      <c r="G55" s="78">
        <f t="shared" si="21"/>
        <v>1</v>
      </c>
      <c r="H55" s="78">
        <f t="shared" si="21"/>
        <v>1</v>
      </c>
      <c r="I55" s="78">
        <f t="shared" si="21"/>
        <v>1</v>
      </c>
      <c r="J55" s="78">
        <f t="shared" si="21"/>
        <v>1</v>
      </c>
      <c r="K55" s="78">
        <f t="shared" si="21"/>
        <v>1</v>
      </c>
      <c r="L55" s="78">
        <f t="shared" si="21"/>
        <v>1</v>
      </c>
      <c r="M55" s="78">
        <f t="shared" si="21"/>
        <v>1</v>
      </c>
      <c r="N55" s="78">
        <f t="shared" si="21"/>
        <v>1</v>
      </c>
      <c r="O55" s="78">
        <f t="shared" si="21"/>
        <v>1</v>
      </c>
      <c r="P55" s="78">
        <f t="shared" si="21"/>
        <v>1</v>
      </c>
      <c r="Q55" s="78">
        <f t="shared" si="21"/>
        <v>1</v>
      </c>
      <c r="R55" s="78">
        <f t="shared" si="21"/>
        <v>1</v>
      </c>
      <c r="S55" s="78">
        <f t="shared" si="22"/>
        <v>1</v>
      </c>
      <c r="T55" s="78">
        <f t="shared" si="22"/>
        <v>1</v>
      </c>
      <c r="U55" s="78">
        <f t="shared" si="22"/>
        <v>1</v>
      </c>
      <c r="V55" s="78">
        <f t="shared" si="22"/>
        <v>1</v>
      </c>
      <c r="W55" s="78">
        <f t="shared" si="22"/>
        <v>1</v>
      </c>
      <c r="X55" s="78">
        <f t="shared" si="22"/>
        <v>1</v>
      </c>
      <c r="Y55" s="78">
        <f t="shared" si="22"/>
        <v>1</v>
      </c>
      <c r="Z55" s="78">
        <f t="shared" si="22"/>
        <v>1</v>
      </c>
      <c r="AA55" s="78">
        <f t="shared" si="22"/>
        <v>1</v>
      </c>
      <c r="AB55" s="78">
        <f t="shared" si="22"/>
        <v>1</v>
      </c>
      <c r="AC55" s="78">
        <f t="shared" si="22"/>
        <v>1</v>
      </c>
      <c r="AD55" s="78">
        <f t="shared" si="22"/>
        <v>1</v>
      </c>
      <c r="AE55" s="78">
        <f t="shared" si="22"/>
        <v>1</v>
      </c>
      <c r="AF55" s="78">
        <f t="shared" si="22"/>
        <v>1</v>
      </c>
      <c r="AG55" s="78">
        <f t="shared" si="23"/>
        <v>1</v>
      </c>
      <c r="AH55" s="78">
        <f t="shared" si="23"/>
        <v>1</v>
      </c>
      <c r="AI55" s="78">
        <f t="shared" si="23"/>
        <v>1</v>
      </c>
      <c r="AJ55" s="78">
        <f t="shared" si="23"/>
        <v>1</v>
      </c>
      <c r="AK55" s="78">
        <f t="shared" si="23"/>
        <v>1</v>
      </c>
      <c r="AL55" s="78">
        <f t="shared" si="23"/>
        <v>1</v>
      </c>
      <c r="AM55" s="78">
        <f t="shared" si="23"/>
        <v>1</v>
      </c>
      <c r="AN55" s="78">
        <f t="shared" si="23"/>
        <v>1</v>
      </c>
      <c r="AO55" s="78">
        <f t="shared" si="23"/>
        <v>1</v>
      </c>
      <c r="AP55" s="78">
        <f t="shared" si="23"/>
        <v>1</v>
      </c>
      <c r="AQ55" s="79">
        <f t="shared" si="23"/>
        <v>1</v>
      </c>
      <c r="AR55" s="92">
        <f t="shared" si="20"/>
        <v>10</v>
      </c>
      <c r="AS55" s="86">
        <f t="shared" si="20"/>
        <v>10</v>
      </c>
      <c r="AT55" s="86">
        <f t="shared" si="20"/>
        <v>10</v>
      </c>
      <c r="AU55" s="86">
        <f t="shared" si="20"/>
        <v>10</v>
      </c>
      <c r="AV55" s="86">
        <f t="shared" si="20"/>
        <v>10</v>
      </c>
      <c r="AW55" s="86">
        <f t="shared" si="20"/>
        <v>10</v>
      </c>
      <c r="AX55" s="86">
        <f t="shared" si="20"/>
        <v>10</v>
      </c>
      <c r="AY55" s="87">
        <f t="shared" si="20"/>
        <v>10</v>
      </c>
      <c r="AZ55" s="72">
        <f t="shared" si="20"/>
        <v>10</v>
      </c>
      <c r="BA55" s="35">
        <v>37</v>
      </c>
    </row>
    <row r="56" spans="2:53" x14ac:dyDescent="0.25">
      <c r="B56" s="34">
        <v>38</v>
      </c>
      <c r="C56" s="72">
        <f t="shared" ref="C56:L68" si="24">$F$7</f>
        <v>1</v>
      </c>
      <c r="D56" s="77">
        <f t="shared" si="24"/>
        <v>1</v>
      </c>
      <c r="E56" s="78">
        <f t="shared" si="24"/>
        <v>1</v>
      </c>
      <c r="F56" s="78">
        <f t="shared" si="24"/>
        <v>1</v>
      </c>
      <c r="G56" s="78">
        <f t="shared" si="24"/>
        <v>1</v>
      </c>
      <c r="H56" s="78">
        <f t="shared" si="24"/>
        <v>1</v>
      </c>
      <c r="I56" s="78">
        <f t="shared" si="24"/>
        <v>1</v>
      </c>
      <c r="J56" s="78">
        <f t="shared" si="24"/>
        <v>1</v>
      </c>
      <c r="K56" s="78">
        <f t="shared" si="24"/>
        <v>1</v>
      </c>
      <c r="L56" s="78">
        <f t="shared" si="24"/>
        <v>1</v>
      </c>
      <c r="M56" s="78">
        <f t="shared" ref="M56:V68" si="25">$F$7</f>
        <v>1</v>
      </c>
      <c r="N56" s="78">
        <f t="shared" si="25"/>
        <v>1</v>
      </c>
      <c r="O56" s="78">
        <f t="shared" si="25"/>
        <v>1</v>
      </c>
      <c r="P56" s="78">
        <f t="shared" si="25"/>
        <v>1</v>
      </c>
      <c r="Q56" s="78">
        <f t="shared" si="25"/>
        <v>1</v>
      </c>
      <c r="R56" s="78">
        <f t="shared" si="25"/>
        <v>1</v>
      </c>
      <c r="S56" s="78">
        <f t="shared" si="25"/>
        <v>1</v>
      </c>
      <c r="T56" s="78">
        <f t="shared" si="25"/>
        <v>1</v>
      </c>
      <c r="U56" s="78">
        <f t="shared" si="25"/>
        <v>1</v>
      </c>
      <c r="V56" s="78">
        <f t="shared" si="25"/>
        <v>1</v>
      </c>
      <c r="W56" s="78">
        <f t="shared" ref="W56:AF68" si="26">$F$7</f>
        <v>1</v>
      </c>
      <c r="X56" s="78">
        <f t="shared" si="26"/>
        <v>1</v>
      </c>
      <c r="Y56" s="78">
        <f t="shared" si="26"/>
        <v>1</v>
      </c>
      <c r="Z56" s="78">
        <f t="shared" si="26"/>
        <v>1</v>
      </c>
      <c r="AA56" s="78">
        <f t="shared" si="26"/>
        <v>1</v>
      </c>
      <c r="AB56" s="78">
        <f t="shared" si="26"/>
        <v>1</v>
      </c>
      <c r="AC56" s="78">
        <f t="shared" si="26"/>
        <v>1</v>
      </c>
      <c r="AD56" s="78">
        <f t="shared" si="26"/>
        <v>1</v>
      </c>
      <c r="AE56" s="78">
        <f t="shared" si="26"/>
        <v>1</v>
      </c>
      <c r="AF56" s="78">
        <f t="shared" si="26"/>
        <v>1</v>
      </c>
      <c r="AG56" s="78">
        <f t="shared" ref="AG56:AP68" si="27">$F$7</f>
        <v>1</v>
      </c>
      <c r="AH56" s="78">
        <f t="shared" si="27"/>
        <v>1</v>
      </c>
      <c r="AI56" s="78">
        <f t="shared" si="27"/>
        <v>1</v>
      </c>
      <c r="AJ56" s="78">
        <f t="shared" si="27"/>
        <v>1</v>
      </c>
      <c r="AK56" s="78">
        <f t="shared" si="27"/>
        <v>1</v>
      </c>
      <c r="AL56" s="78">
        <f t="shared" si="27"/>
        <v>1</v>
      </c>
      <c r="AM56" s="78">
        <f t="shared" si="27"/>
        <v>1</v>
      </c>
      <c r="AN56" s="78">
        <f t="shared" si="27"/>
        <v>1</v>
      </c>
      <c r="AO56" s="78">
        <f t="shared" si="27"/>
        <v>1</v>
      </c>
      <c r="AP56" s="78">
        <f t="shared" si="27"/>
        <v>1</v>
      </c>
      <c r="AQ56" s="79">
        <f t="shared" ref="AQ56:AQ68" si="28">$F$7</f>
        <v>1</v>
      </c>
      <c r="AR56" s="92">
        <f t="shared" si="20"/>
        <v>10</v>
      </c>
      <c r="AS56" s="86">
        <f t="shared" si="20"/>
        <v>10</v>
      </c>
      <c r="AT56" s="86">
        <f t="shared" si="20"/>
        <v>10</v>
      </c>
      <c r="AU56" s="86">
        <f t="shared" si="20"/>
        <v>10</v>
      </c>
      <c r="AV56" s="86">
        <f t="shared" si="20"/>
        <v>10</v>
      </c>
      <c r="AW56" s="86">
        <f t="shared" si="20"/>
        <v>10</v>
      </c>
      <c r="AX56" s="86">
        <f t="shared" si="20"/>
        <v>10</v>
      </c>
      <c r="AY56" s="87">
        <f t="shared" si="20"/>
        <v>10</v>
      </c>
      <c r="AZ56" s="72">
        <f t="shared" si="20"/>
        <v>10</v>
      </c>
      <c r="BA56" s="35">
        <v>38</v>
      </c>
    </row>
    <row r="57" spans="2:53" x14ac:dyDescent="0.25">
      <c r="B57" s="34">
        <v>39</v>
      </c>
      <c r="C57" s="72">
        <f t="shared" si="24"/>
        <v>1</v>
      </c>
      <c r="D57" s="77">
        <f t="shared" si="24"/>
        <v>1</v>
      </c>
      <c r="E57" s="78">
        <f t="shared" si="24"/>
        <v>1</v>
      </c>
      <c r="F57" s="78">
        <f t="shared" si="24"/>
        <v>1</v>
      </c>
      <c r="G57" s="78">
        <f t="shared" si="24"/>
        <v>1</v>
      </c>
      <c r="H57" s="78">
        <f t="shared" si="24"/>
        <v>1</v>
      </c>
      <c r="I57" s="78">
        <f t="shared" si="24"/>
        <v>1</v>
      </c>
      <c r="J57" s="78">
        <f t="shared" si="24"/>
        <v>1</v>
      </c>
      <c r="K57" s="78">
        <f t="shared" si="24"/>
        <v>1</v>
      </c>
      <c r="L57" s="78">
        <f t="shared" si="24"/>
        <v>1</v>
      </c>
      <c r="M57" s="78">
        <f t="shared" si="25"/>
        <v>1</v>
      </c>
      <c r="N57" s="78">
        <f t="shared" si="25"/>
        <v>1</v>
      </c>
      <c r="O57" s="78">
        <f t="shared" si="25"/>
        <v>1</v>
      </c>
      <c r="P57" s="78">
        <f t="shared" si="25"/>
        <v>1</v>
      </c>
      <c r="Q57" s="78">
        <f t="shared" si="25"/>
        <v>1</v>
      </c>
      <c r="R57" s="78">
        <f t="shared" si="25"/>
        <v>1</v>
      </c>
      <c r="S57" s="78">
        <f t="shared" si="25"/>
        <v>1</v>
      </c>
      <c r="T57" s="78">
        <f t="shared" si="25"/>
        <v>1</v>
      </c>
      <c r="U57" s="78">
        <f t="shared" si="25"/>
        <v>1</v>
      </c>
      <c r="V57" s="78">
        <f t="shared" si="25"/>
        <v>1</v>
      </c>
      <c r="W57" s="78">
        <f t="shared" si="26"/>
        <v>1</v>
      </c>
      <c r="X57" s="78">
        <f t="shared" si="26"/>
        <v>1</v>
      </c>
      <c r="Y57" s="78">
        <f t="shared" si="26"/>
        <v>1</v>
      </c>
      <c r="Z57" s="78">
        <f t="shared" si="26"/>
        <v>1</v>
      </c>
      <c r="AA57" s="78">
        <f t="shared" si="26"/>
        <v>1</v>
      </c>
      <c r="AB57" s="78">
        <f t="shared" si="26"/>
        <v>1</v>
      </c>
      <c r="AC57" s="78">
        <f t="shared" si="26"/>
        <v>1</v>
      </c>
      <c r="AD57" s="78">
        <f t="shared" si="26"/>
        <v>1</v>
      </c>
      <c r="AE57" s="78">
        <f t="shared" si="26"/>
        <v>1</v>
      </c>
      <c r="AF57" s="78">
        <f t="shared" si="26"/>
        <v>1</v>
      </c>
      <c r="AG57" s="78">
        <f t="shared" si="27"/>
        <v>1</v>
      </c>
      <c r="AH57" s="78">
        <f t="shared" si="27"/>
        <v>1</v>
      </c>
      <c r="AI57" s="78">
        <f t="shared" si="27"/>
        <v>1</v>
      </c>
      <c r="AJ57" s="78">
        <f t="shared" si="27"/>
        <v>1</v>
      </c>
      <c r="AK57" s="78">
        <f t="shared" si="27"/>
        <v>1</v>
      </c>
      <c r="AL57" s="78">
        <f t="shared" si="27"/>
        <v>1</v>
      </c>
      <c r="AM57" s="78">
        <f t="shared" si="27"/>
        <v>1</v>
      </c>
      <c r="AN57" s="78">
        <f t="shared" si="27"/>
        <v>1</v>
      </c>
      <c r="AO57" s="78">
        <f t="shared" si="27"/>
        <v>1</v>
      </c>
      <c r="AP57" s="78">
        <f t="shared" si="27"/>
        <v>1</v>
      </c>
      <c r="AQ57" s="79">
        <f t="shared" si="28"/>
        <v>1</v>
      </c>
      <c r="AR57" s="92">
        <f t="shared" si="20"/>
        <v>10</v>
      </c>
      <c r="AS57" s="86">
        <f t="shared" si="20"/>
        <v>10</v>
      </c>
      <c r="AT57" s="86">
        <f t="shared" si="20"/>
        <v>10</v>
      </c>
      <c r="AU57" s="86">
        <f t="shared" si="20"/>
        <v>10</v>
      </c>
      <c r="AV57" s="86">
        <f t="shared" si="20"/>
        <v>10</v>
      </c>
      <c r="AW57" s="86">
        <f t="shared" si="20"/>
        <v>10</v>
      </c>
      <c r="AX57" s="86">
        <f t="shared" si="20"/>
        <v>10</v>
      </c>
      <c r="AY57" s="87">
        <f t="shared" si="20"/>
        <v>10</v>
      </c>
      <c r="AZ57" s="72">
        <f t="shared" si="20"/>
        <v>10</v>
      </c>
      <c r="BA57" s="35">
        <v>39</v>
      </c>
    </row>
    <row r="58" spans="2:53" x14ac:dyDescent="0.25">
      <c r="B58" s="34">
        <v>40</v>
      </c>
      <c r="C58" s="72">
        <f t="shared" si="24"/>
        <v>1</v>
      </c>
      <c r="D58" s="77">
        <f t="shared" si="24"/>
        <v>1</v>
      </c>
      <c r="E58" s="78">
        <f t="shared" si="24"/>
        <v>1</v>
      </c>
      <c r="F58" s="78">
        <f t="shared" si="24"/>
        <v>1</v>
      </c>
      <c r="G58" s="78">
        <f t="shared" si="24"/>
        <v>1</v>
      </c>
      <c r="H58" s="78">
        <f t="shared" si="24"/>
        <v>1</v>
      </c>
      <c r="I58" s="78">
        <f t="shared" si="24"/>
        <v>1</v>
      </c>
      <c r="J58" s="78">
        <f t="shared" si="24"/>
        <v>1</v>
      </c>
      <c r="K58" s="78">
        <f t="shared" si="24"/>
        <v>1</v>
      </c>
      <c r="L58" s="78">
        <f t="shared" si="24"/>
        <v>1</v>
      </c>
      <c r="M58" s="78">
        <f t="shared" si="25"/>
        <v>1</v>
      </c>
      <c r="N58" s="78">
        <f t="shared" si="25"/>
        <v>1</v>
      </c>
      <c r="O58" s="78">
        <f t="shared" si="25"/>
        <v>1</v>
      </c>
      <c r="P58" s="78">
        <f t="shared" si="25"/>
        <v>1</v>
      </c>
      <c r="Q58" s="78">
        <f t="shared" si="25"/>
        <v>1</v>
      </c>
      <c r="R58" s="78">
        <f t="shared" si="25"/>
        <v>1</v>
      </c>
      <c r="S58" s="78">
        <f t="shared" si="25"/>
        <v>1</v>
      </c>
      <c r="T58" s="78">
        <f t="shared" si="25"/>
        <v>1</v>
      </c>
      <c r="U58" s="78">
        <f t="shared" si="25"/>
        <v>1</v>
      </c>
      <c r="V58" s="78">
        <f t="shared" si="25"/>
        <v>1</v>
      </c>
      <c r="W58" s="78">
        <f t="shared" si="26"/>
        <v>1</v>
      </c>
      <c r="X58" s="78">
        <f t="shared" si="26"/>
        <v>1</v>
      </c>
      <c r="Y58" s="78">
        <f t="shared" si="26"/>
        <v>1</v>
      </c>
      <c r="Z58" s="78">
        <f t="shared" si="26"/>
        <v>1</v>
      </c>
      <c r="AA58" s="78">
        <f t="shared" si="26"/>
        <v>1</v>
      </c>
      <c r="AB58" s="78">
        <f t="shared" si="26"/>
        <v>1</v>
      </c>
      <c r="AC58" s="78">
        <f t="shared" si="26"/>
        <v>1</v>
      </c>
      <c r="AD58" s="78">
        <f t="shared" si="26"/>
        <v>1</v>
      </c>
      <c r="AE58" s="78">
        <f t="shared" si="26"/>
        <v>1</v>
      </c>
      <c r="AF58" s="78">
        <f t="shared" si="26"/>
        <v>1</v>
      </c>
      <c r="AG58" s="78">
        <f t="shared" si="27"/>
        <v>1</v>
      </c>
      <c r="AH58" s="78">
        <f t="shared" si="27"/>
        <v>1</v>
      </c>
      <c r="AI58" s="78">
        <f t="shared" si="27"/>
        <v>1</v>
      </c>
      <c r="AJ58" s="78">
        <f t="shared" si="27"/>
        <v>1</v>
      </c>
      <c r="AK58" s="78">
        <f t="shared" si="27"/>
        <v>1</v>
      </c>
      <c r="AL58" s="78">
        <f t="shared" si="27"/>
        <v>1</v>
      </c>
      <c r="AM58" s="78">
        <f t="shared" si="27"/>
        <v>1</v>
      </c>
      <c r="AN58" s="78">
        <f t="shared" si="27"/>
        <v>1</v>
      </c>
      <c r="AO58" s="78">
        <f t="shared" si="27"/>
        <v>1</v>
      </c>
      <c r="AP58" s="78">
        <f t="shared" si="27"/>
        <v>1</v>
      </c>
      <c r="AQ58" s="79">
        <f t="shared" si="28"/>
        <v>1</v>
      </c>
      <c r="AR58" s="92">
        <f t="shared" si="20"/>
        <v>10</v>
      </c>
      <c r="AS58" s="86">
        <f t="shared" si="20"/>
        <v>10</v>
      </c>
      <c r="AT58" s="86">
        <f t="shared" si="20"/>
        <v>10</v>
      </c>
      <c r="AU58" s="86">
        <f t="shared" si="20"/>
        <v>10</v>
      </c>
      <c r="AV58" s="86">
        <f t="shared" si="20"/>
        <v>10</v>
      </c>
      <c r="AW58" s="86">
        <f t="shared" si="20"/>
        <v>10</v>
      </c>
      <c r="AX58" s="86">
        <f t="shared" si="20"/>
        <v>10</v>
      </c>
      <c r="AY58" s="87">
        <f t="shared" si="20"/>
        <v>10</v>
      </c>
      <c r="AZ58" s="72">
        <f t="shared" si="20"/>
        <v>10</v>
      </c>
      <c r="BA58" s="35">
        <v>40</v>
      </c>
    </row>
    <row r="59" spans="2:53" x14ac:dyDescent="0.25">
      <c r="B59" s="34">
        <v>41</v>
      </c>
      <c r="C59" s="72">
        <f t="shared" si="24"/>
        <v>1</v>
      </c>
      <c r="D59" s="77">
        <f t="shared" si="24"/>
        <v>1</v>
      </c>
      <c r="E59" s="78">
        <f t="shared" si="24"/>
        <v>1</v>
      </c>
      <c r="F59" s="78">
        <f t="shared" si="24"/>
        <v>1</v>
      </c>
      <c r="G59" s="78">
        <f t="shared" si="24"/>
        <v>1</v>
      </c>
      <c r="H59" s="78">
        <f t="shared" si="24"/>
        <v>1</v>
      </c>
      <c r="I59" s="78">
        <f t="shared" si="24"/>
        <v>1</v>
      </c>
      <c r="J59" s="78">
        <f t="shared" si="24"/>
        <v>1</v>
      </c>
      <c r="K59" s="78">
        <f t="shared" si="24"/>
        <v>1</v>
      </c>
      <c r="L59" s="78">
        <f t="shared" si="24"/>
        <v>1</v>
      </c>
      <c r="M59" s="78">
        <f t="shared" si="25"/>
        <v>1</v>
      </c>
      <c r="N59" s="78">
        <f t="shared" si="25"/>
        <v>1</v>
      </c>
      <c r="O59" s="78">
        <f t="shared" si="25"/>
        <v>1</v>
      </c>
      <c r="P59" s="78">
        <f t="shared" si="25"/>
        <v>1</v>
      </c>
      <c r="Q59" s="78">
        <f t="shared" si="25"/>
        <v>1</v>
      </c>
      <c r="R59" s="78">
        <f t="shared" si="25"/>
        <v>1</v>
      </c>
      <c r="S59" s="78">
        <f t="shared" si="25"/>
        <v>1</v>
      </c>
      <c r="T59" s="78">
        <f t="shared" si="25"/>
        <v>1</v>
      </c>
      <c r="U59" s="78">
        <f t="shared" si="25"/>
        <v>1</v>
      </c>
      <c r="V59" s="78">
        <f t="shared" si="25"/>
        <v>1</v>
      </c>
      <c r="W59" s="78">
        <f t="shared" si="26"/>
        <v>1</v>
      </c>
      <c r="X59" s="78">
        <f t="shared" si="26"/>
        <v>1</v>
      </c>
      <c r="Y59" s="78">
        <f t="shared" si="26"/>
        <v>1</v>
      </c>
      <c r="Z59" s="78">
        <f t="shared" si="26"/>
        <v>1</v>
      </c>
      <c r="AA59" s="78">
        <f t="shared" si="26"/>
        <v>1</v>
      </c>
      <c r="AB59" s="78">
        <f t="shared" si="26"/>
        <v>1</v>
      </c>
      <c r="AC59" s="78">
        <f t="shared" si="26"/>
        <v>1</v>
      </c>
      <c r="AD59" s="78">
        <f t="shared" si="26"/>
        <v>1</v>
      </c>
      <c r="AE59" s="78">
        <f t="shared" si="26"/>
        <v>1</v>
      </c>
      <c r="AF59" s="78">
        <f t="shared" si="26"/>
        <v>1</v>
      </c>
      <c r="AG59" s="78">
        <f t="shared" si="27"/>
        <v>1</v>
      </c>
      <c r="AH59" s="78">
        <f t="shared" si="27"/>
        <v>1</v>
      </c>
      <c r="AI59" s="78">
        <f t="shared" si="27"/>
        <v>1</v>
      </c>
      <c r="AJ59" s="78">
        <f t="shared" si="27"/>
        <v>1</v>
      </c>
      <c r="AK59" s="78">
        <f t="shared" si="27"/>
        <v>1</v>
      </c>
      <c r="AL59" s="78">
        <f t="shared" si="27"/>
        <v>1</v>
      </c>
      <c r="AM59" s="78">
        <f t="shared" si="27"/>
        <v>1</v>
      </c>
      <c r="AN59" s="78">
        <f t="shared" si="27"/>
        <v>1</v>
      </c>
      <c r="AO59" s="78">
        <f t="shared" si="27"/>
        <v>1</v>
      </c>
      <c r="AP59" s="78">
        <f t="shared" si="27"/>
        <v>1</v>
      </c>
      <c r="AQ59" s="79">
        <f t="shared" si="28"/>
        <v>1</v>
      </c>
      <c r="AR59" s="92">
        <f t="shared" ref="AR59:AZ68" si="29">$F$8</f>
        <v>10</v>
      </c>
      <c r="AS59" s="86">
        <f t="shared" si="29"/>
        <v>10</v>
      </c>
      <c r="AT59" s="86">
        <f t="shared" si="29"/>
        <v>10</v>
      </c>
      <c r="AU59" s="86">
        <f t="shared" si="29"/>
        <v>10</v>
      </c>
      <c r="AV59" s="86">
        <f t="shared" si="29"/>
        <v>10</v>
      </c>
      <c r="AW59" s="86">
        <f t="shared" si="29"/>
        <v>10</v>
      </c>
      <c r="AX59" s="86">
        <f t="shared" si="29"/>
        <v>10</v>
      </c>
      <c r="AY59" s="87">
        <f t="shared" si="29"/>
        <v>10</v>
      </c>
      <c r="AZ59" s="72">
        <f t="shared" si="29"/>
        <v>10</v>
      </c>
      <c r="BA59" s="35">
        <v>41</v>
      </c>
    </row>
    <row r="60" spans="2:53" x14ac:dyDescent="0.25">
      <c r="B60" s="34">
        <v>42</v>
      </c>
      <c r="C60" s="72">
        <f t="shared" si="24"/>
        <v>1</v>
      </c>
      <c r="D60" s="77">
        <f t="shared" si="24"/>
        <v>1</v>
      </c>
      <c r="E60" s="78">
        <f t="shared" si="24"/>
        <v>1</v>
      </c>
      <c r="F60" s="78">
        <f t="shared" si="24"/>
        <v>1</v>
      </c>
      <c r="G60" s="78">
        <f t="shared" si="24"/>
        <v>1</v>
      </c>
      <c r="H60" s="78">
        <f t="shared" si="24"/>
        <v>1</v>
      </c>
      <c r="I60" s="78">
        <f t="shared" si="24"/>
        <v>1</v>
      </c>
      <c r="J60" s="78">
        <f t="shared" si="24"/>
        <v>1</v>
      </c>
      <c r="K60" s="78">
        <f t="shared" si="24"/>
        <v>1</v>
      </c>
      <c r="L60" s="78">
        <f t="shared" si="24"/>
        <v>1</v>
      </c>
      <c r="M60" s="78">
        <f t="shared" si="25"/>
        <v>1</v>
      </c>
      <c r="N60" s="78">
        <f t="shared" si="25"/>
        <v>1</v>
      </c>
      <c r="O60" s="78">
        <f t="shared" si="25"/>
        <v>1</v>
      </c>
      <c r="P60" s="78">
        <f t="shared" si="25"/>
        <v>1</v>
      </c>
      <c r="Q60" s="78">
        <f t="shared" si="25"/>
        <v>1</v>
      </c>
      <c r="R60" s="78">
        <f t="shared" si="25"/>
        <v>1</v>
      </c>
      <c r="S60" s="78">
        <f t="shared" si="25"/>
        <v>1</v>
      </c>
      <c r="T60" s="78">
        <f t="shared" si="25"/>
        <v>1</v>
      </c>
      <c r="U60" s="78">
        <f t="shared" si="25"/>
        <v>1</v>
      </c>
      <c r="V60" s="78">
        <f t="shared" si="25"/>
        <v>1</v>
      </c>
      <c r="W60" s="78">
        <f t="shared" si="26"/>
        <v>1</v>
      </c>
      <c r="X60" s="78">
        <f t="shared" si="26"/>
        <v>1</v>
      </c>
      <c r="Y60" s="78">
        <f t="shared" si="26"/>
        <v>1</v>
      </c>
      <c r="Z60" s="78">
        <f t="shared" si="26"/>
        <v>1</v>
      </c>
      <c r="AA60" s="78">
        <f t="shared" si="26"/>
        <v>1</v>
      </c>
      <c r="AB60" s="78">
        <f t="shared" si="26"/>
        <v>1</v>
      </c>
      <c r="AC60" s="78">
        <f t="shared" si="26"/>
        <v>1</v>
      </c>
      <c r="AD60" s="78">
        <f t="shared" si="26"/>
        <v>1</v>
      </c>
      <c r="AE60" s="78">
        <f t="shared" si="26"/>
        <v>1</v>
      </c>
      <c r="AF60" s="78">
        <f t="shared" si="26"/>
        <v>1</v>
      </c>
      <c r="AG60" s="78">
        <f t="shared" si="27"/>
        <v>1</v>
      </c>
      <c r="AH60" s="78">
        <f t="shared" si="27"/>
        <v>1</v>
      </c>
      <c r="AI60" s="78">
        <f t="shared" si="27"/>
        <v>1</v>
      </c>
      <c r="AJ60" s="78">
        <f t="shared" si="27"/>
        <v>1</v>
      </c>
      <c r="AK60" s="78">
        <f t="shared" si="27"/>
        <v>1</v>
      </c>
      <c r="AL60" s="78">
        <f t="shared" si="27"/>
        <v>1</v>
      </c>
      <c r="AM60" s="78">
        <f t="shared" si="27"/>
        <v>1</v>
      </c>
      <c r="AN60" s="78">
        <f t="shared" si="27"/>
        <v>1</v>
      </c>
      <c r="AO60" s="78">
        <f t="shared" si="27"/>
        <v>1</v>
      </c>
      <c r="AP60" s="78">
        <f t="shared" si="27"/>
        <v>1</v>
      </c>
      <c r="AQ60" s="79">
        <f t="shared" si="28"/>
        <v>1</v>
      </c>
      <c r="AR60" s="92">
        <f t="shared" si="29"/>
        <v>10</v>
      </c>
      <c r="AS60" s="86">
        <f t="shared" si="29"/>
        <v>10</v>
      </c>
      <c r="AT60" s="86">
        <f t="shared" si="29"/>
        <v>10</v>
      </c>
      <c r="AU60" s="86">
        <f t="shared" si="29"/>
        <v>10</v>
      </c>
      <c r="AV60" s="86">
        <f t="shared" si="29"/>
        <v>10</v>
      </c>
      <c r="AW60" s="86">
        <f t="shared" si="29"/>
        <v>10</v>
      </c>
      <c r="AX60" s="86">
        <f t="shared" si="29"/>
        <v>10</v>
      </c>
      <c r="AY60" s="87">
        <f t="shared" si="29"/>
        <v>10</v>
      </c>
      <c r="AZ60" s="72">
        <f t="shared" si="29"/>
        <v>10</v>
      </c>
      <c r="BA60" s="35">
        <v>42</v>
      </c>
    </row>
    <row r="61" spans="2:53" x14ac:dyDescent="0.25">
      <c r="B61" s="34">
        <v>43</v>
      </c>
      <c r="C61" s="72">
        <f t="shared" si="24"/>
        <v>1</v>
      </c>
      <c r="D61" s="77">
        <f t="shared" si="24"/>
        <v>1</v>
      </c>
      <c r="E61" s="78">
        <f t="shared" si="24"/>
        <v>1</v>
      </c>
      <c r="F61" s="78">
        <f t="shared" si="24"/>
        <v>1</v>
      </c>
      <c r="G61" s="78">
        <f t="shared" si="24"/>
        <v>1</v>
      </c>
      <c r="H61" s="78">
        <f t="shared" si="24"/>
        <v>1</v>
      </c>
      <c r="I61" s="78">
        <f t="shared" si="24"/>
        <v>1</v>
      </c>
      <c r="J61" s="78">
        <f t="shared" si="24"/>
        <v>1</v>
      </c>
      <c r="K61" s="78">
        <f t="shared" si="24"/>
        <v>1</v>
      </c>
      <c r="L61" s="78">
        <f t="shared" si="24"/>
        <v>1</v>
      </c>
      <c r="M61" s="78">
        <f t="shared" si="25"/>
        <v>1</v>
      </c>
      <c r="N61" s="78">
        <f t="shared" si="25"/>
        <v>1</v>
      </c>
      <c r="O61" s="78">
        <f t="shared" si="25"/>
        <v>1</v>
      </c>
      <c r="P61" s="78">
        <f t="shared" si="25"/>
        <v>1</v>
      </c>
      <c r="Q61" s="78">
        <f t="shared" si="25"/>
        <v>1</v>
      </c>
      <c r="R61" s="78">
        <f t="shared" si="25"/>
        <v>1</v>
      </c>
      <c r="S61" s="78">
        <f t="shared" si="25"/>
        <v>1</v>
      </c>
      <c r="T61" s="78">
        <f t="shared" si="25"/>
        <v>1</v>
      </c>
      <c r="U61" s="78">
        <f t="shared" si="25"/>
        <v>1</v>
      </c>
      <c r="V61" s="78">
        <f t="shared" si="25"/>
        <v>1</v>
      </c>
      <c r="W61" s="78">
        <f t="shared" si="26"/>
        <v>1</v>
      </c>
      <c r="X61" s="78">
        <f t="shared" si="26"/>
        <v>1</v>
      </c>
      <c r="Y61" s="78">
        <f t="shared" si="26"/>
        <v>1</v>
      </c>
      <c r="Z61" s="78">
        <f t="shared" si="26"/>
        <v>1</v>
      </c>
      <c r="AA61" s="78">
        <f t="shared" si="26"/>
        <v>1</v>
      </c>
      <c r="AB61" s="78">
        <f t="shared" si="26"/>
        <v>1</v>
      </c>
      <c r="AC61" s="78">
        <f t="shared" si="26"/>
        <v>1</v>
      </c>
      <c r="AD61" s="78">
        <f t="shared" si="26"/>
        <v>1</v>
      </c>
      <c r="AE61" s="78">
        <f t="shared" si="26"/>
        <v>1</v>
      </c>
      <c r="AF61" s="78">
        <f t="shared" si="26"/>
        <v>1</v>
      </c>
      <c r="AG61" s="78">
        <f t="shared" si="27"/>
        <v>1</v>
      </c>
      <c r="AH61" s="78">
        <f t="shared" si="27"/>
        <v>1</v>
      </c>
      <c r="AI61" s="78">
        <f t="shared" si="27"/>
        <v>1</v>
      </c>
      <c r="AJ61" s="78">
        <f t="shared" si="27"/>
        <v>1</v>
      </c>
      <c r="AK61" s="78">
        <f t="shared" si="27"/>
        <v>1</v>
      </c>
      <c r="AL61" s="78">
        <f t="shared" si="27"/>
        <v>1</v>
      </c>
      <c r="AM61" s="78">
        <f t="shared" si="27"/>
        <v>1</v>
      </c>
      <c r="AN61" s="78">
        <f t="shared" si="27"/>
        <v>1</v>
      </c>
      <c r="AO61" s="78">
        <f t="shared" si="27"/>
        <v>1</v>
      </c>
      <c r="AP61" s="78">
        <f t="shared" si="27"/>
        <v>1</v>
      </c>
      <c r="AQ61" s="79">
        <f t="shared" si="28"/>
        <v>1</v>
      </c>
      <c r="AR61" s="92">
        <f t="shared" si="29"/>
        <v>10</v>
      </c>
      <c r="AS61" s="86">
        <f t="shared" si="29"/>
        <v>10</v>
      </c>
      <c r="AT61" s="86">
        <f t="shared" si="29"/>
        <v>10</v>
      </c>
      <c r="AU61" s="86">
        <f t="shared" si="29"/>
        <v>10</v>
      </c>
      <c r="AV61" s="86">
        <f t="shared" si="29"/>
        <v>10</v>
      </c>
      <c r="AW61" s="86">
        <f t="shared" si="29"/>
        <v>10</v>
      </c>
      <c r="AX61" s="86">
        <f t="shared" si="29"/>
        <v>10</v>
      </c>
      <c r="AY61" s="87">
        <f t="shared" si="29"/>
        <v>10</v>
      </c>
      <c r="AZ61" s="72">
        <f t="shared" si="29"/>
        <v>10</v>
      </c>
      <c r="BA61" s="35">
        <v>43</v>
      </c>
    </row>
    <row r="62" spans="2:53" x14ac:dyDescent="0.25">
      <c r="B62" s="34">
        <v>44</v>
      </c>
      <c r="C62" s="72">
        <f t="shared" si="24"/>
        <v>1</v>
      </c>
      <c r="D62" s="77">
        <f t="shared" si="24"/>
        <v>1</v>
      </c>
      <c r="E62" s="78">
        <f t="shared" si="24"/>
        <v>1</v>
      </c>
      <c r="F62" s="78">
        <f t="shared" si="24"/>
        <v>1</v>
      </c>
      <c r="G62" s="78">
        <f t="shared" si="24"/>
        <v>1</v>
      </c>
      <c r="H62" s="78">
        <f t="shared" si="24"/>
        <v>1</v>
      </c>
      <c r="I62" s="78">
        <f t="shared" si="24"/>
        <v>1</v>
      </c>
      <c r="J62" s="78">
        <f t="shared" si="24"/>
        <v>1</v>
      </c>
      <c r="K62" s="78">
        <f t="shared" si="24"/>
        <v>1</v>
      </c>
      <c r="L62" s="78">
        <f t="shared" si="24"/>
        <v>1</v>
      </c>
      <c r="M62" s="78">
        <f t="shared" si="25"/>
        <v>1</v>
      </c>
      <c r="N62" s="78">
        <f t="shared" si="25"/>
        <v>1</v>
      </c>
      <c r="O62" s="78">
        <f t="shared" si="25"/>
        <v>1</v>
      </c>
      <c r="P62" s="78">
        <f t="shared" si="25"/>
        <v>1</v>
      </c>
      <c r="Q62" s="78">
        <f t="shared" si="25"/>
        <v>1</v>
      </c>
      <c r="R62" s="78">
        <f t="shared" si="25"/>
        <v>1</v>
      </c>
      <c r="S62" s="78">
        <f t="shared" si="25"/>
        <v>1</v>
      </c>
      <c r="T62" s="78">
        <f t="shared" si="25"/>
        <v>1</v>
      </c>
      <c r="U62" s="78">
        <f t="shared" si="25"/>
        <v>1</v>
      </c>
      <c r="V62" s="78">
        <f t="shared" si="25"/>
        <v>1</v>
      </c>
      <c r="W62" s="78">
        <f t="shared" si="26"/>
        <v>1</v>
      </c>
      <c r="X62" s="78">
        <f t="shared" si="26"/>
        <v>1</v>
      </c>
      <c r="Y62" s="78">
        <f t="shared" si="26"/>
        <v>1</v>
      </c>
      <c r="Z62" s="78">
        <f t="shared" si="26"/>
        <v>1</v>
      </c>
      <c r="AA62" s="78">
        <f t="shared" si="26"/>
        <v>1</v>
      </c>
      <c r="AB62" s="78">
        <f t="shared" si="26"/>
        <v>1</v>
      </c>
      <c r="AC62" s="78">
        <f t="shared" si="26"/>
        <v>1</v>
      </c>
      <c r="AD62" s="78">
        <f t="shared" si="26"/>
        <v>1</v>
      </c>
      <c r="AE62" s="78">
        <f t="shared" si="26"/>
        <v>1</v>
      </c>
      <c r="AF62" s="78">
        <f t="shared" si="26"/>
        <v>1</v>
      </c>
      <c r="AG62" s="78">
        <f t="shared" si="27"/>
        <v>1</v>
      </c>
      <c r="AH62" s="78">
        <f t="shared" si="27"/>
        <v>1</v>
      </c>
      <c r="AI62" s="78">
        <f t="shared" si="27"/>
        <v>1</v>
      </c>
      <c r="AJ62" s="78">
        <f t="shared" si="27"/>
        <v>1</v>
      </c>
      <c r="AK62" s="78">
        <f t="shared" si="27"/>
        <v>1</v>
      </c>
      <c r="AL62" s="78">
        <f t="shared" si="27"/>
        <v>1</v>
      </c>
      <c r="AM62" s="78">
        <f t="shared" si="27"/>
        <v>1</v>
      </c>
      <c r="AN62" s="78">
        <f t="shared" si="27"/>
        <v>1</v>
      </c>
      <c r="AO62" s="78">
        <f t="shared" si="27"/>
        <v>1</v>
      </c>
      <c r="AP62" s="78">
        <f t="shared" si="27"/>
        <v>1</v>
      </c>
      <c r="AQ62" s="79">
        <f t="shared" si="28"/>
        <v>1</v>
      </c>
      <c r="AR62" s="92">
        <f t="shared" si="29"/>
        <v>10</v>
      </c>
      <c r="AS62" s="86">
        <f t="shared" si="29"/>
        <v>10</v>
      </c>
      <c r="AT62" s="86">
        <f t="shared" si="29"/>
        <v>10</v>
      </c>
      <c r="AU62" s="86">
        <f t="shared" si="29"/>
        <v>10</v>
      </c>
      <c r="AV62" s="86">
        <f t="shared" si="29"/>
        <v>10</v>
      </c>
      <c r="AW62" s="86">
        <f t="shared" si="29"/>
        <v>10</v>
      </c>
      <c r="AX62" s="86">
        <f t="shared" si="29"/>
        <v>10</v>
      </c>
      <c r="AY62" s="87">
        <f t="shared" si="29"/>
        <v>10</v>
      </c>
      <c r="AZ62" s="72">
        <f t="shared" si="29"/>
        <v>10</v>
      </c>
      <c r="BA62" s="35">
        <v>44</v>
      </c>
    </row>
    <row r="63" spans="2:53" x14ac:dyDescent="0.25">
      <c r="B63" s="34">
        <v>45</v>
      </c>
      <c r="C63" s="72">
        <f t="shared" si="24"/>
        <v>1</v>
      </c>
      <c r="D63" s="77">
        <f t="shared" si="24"/>
        <v>1</v>
      </c>
      <c r="E63" s="78">
        <f t="shared" si="24"/>
        <v>1</v>
      </c>
      <c r="F63" s="78">
        <f t="shared" si="24"/>
        <v>1</v>
      </c>
      <c r="G63" s="78">
        <f t="shared" si="24"/>
        <v>1</v>
      </c>
      <c r="H63" s="78">
        <f t="shared" si="24"/>
        <v>1</v>
      </c>
      <c r="I63" s="78">
        <f t="shared" si="24"/>
        <v>1</v>
      </c>
      <c r="J63" s="78">
        <f t="shared" si="24"/>
        <v>1</v>
      </c>
      <c r="K63" s="78">
        <f t="shared" si="24"/>
        <v>1</v>
      </c>
      <c r="L63" s="78">
        <f t="shared" si="24"/>
        <v>1</v>
      </c>
      <c r="M63" s="78">
        <f t="shared" si="25"/>
        <v>1</v>
      </c>
      <c r="N63" s="78">
        <f t="shared" si="25"/>
        <v>1</v>
      </c>
      <c r="O63" s="78">
        <f t="shared" si="25"/>
        <v>1</v>
      </c>
      <c r="P63" s="78">
        <f t="shared" si="25"/>
        <v>1</v>
      </c>
      <c r="Q63" s="78">
        <f t="shared" si="25"/>
        <v>1</v>
      </c>
      <c r="R63" s="78">
        <f t="shared" si="25"/>
        <v>1</v>
      </c>
      <c r="S63" s="78">
        <f t="shared" si="25"/>
        <v>1</v>
      </c>
      <c r="T63" s="78">
        <f t="shared" si="25"/>
        <v>1</v>
      </c>
      <c r="U63" s="78">
        <f t="shared" si="25"/>
        <v>1</v>
      </c>
      <c r="V63" s="78">
        <f t="shared" si="25"/>
        <v>1</v>
      </c>
      <c r="W63" s="78">
        <f t="shared" si="26"/>
        <v>1</v>
      </c>
      <c r="X63" s="78">
        <f t="shared" si="26"/>
        <v>1</v>
      </c>
      <c r="Y63" s="78">
        <f t="shared" si="26"/>
        <v>1</v>
      </c>
      <c r="Z63" s="78">
        <f t="shared" si="26"/>
        <v>1</v>
      </c>
      <c r="AA63" s="78">
        <f t="shared" si="26"/>
        <v>1</v>
      </c>
      <c r="AB63" s="78">
        <f t="shared" si="26"/>
        <v>1</v>
      </c>
      <c r="AC63" s="78">
        <f t="shared" si="26"/>
        <v>1</v>
      </c>
      <c r="AD63" s="78">
        <f t="shared" si="26"/>
        <v>1</v>
      </c>
      <c r="AE63" s="78">
        <f t="shared" si="26"/>
        <v>1</v>
      </c>
      <c r="AF63" s="78">
        <f t="shared" si="26"/>
        <v>1</v>
      </c>
      <c r="AG63" s="78">
        <f t="shared" si="27"/>
        <v>1</v>
      </c>
      <c r="AH63" s="78">
        <f t="shared" si="27"/>
        <v>1</v>
      </c>
      <c r="AI63" s="78">
        <f t="shared" si="27"/>
        <v>1</v>
      </c>
      <c r="AJ63" s="78">
        <f t="shared" si="27"/>
        <v>1</v>
      </c>
      <c r="AK63" s="78">
        <f t="shared" si="27"/>
        <v>1</v>
      </c>
      <c r="AL63" s="78">
        <f t="shared" si="27"/>
        <v>1</v>
      </c>
      <c r="AM63" s="78">
        <f t="shared" si="27"/>
        <v>1</v>
      </c>
      <c r="AN63" s="78">
        <f t="shared" si="27"/>
        <v>1</v>
      </c>
      <c r="AO63" s="78">
        <f t="shared" si="27"/>
        <v>1</v>
      </c>
      <c r="AP63" s="78">
        <f t="shared" si="27"/>
        <v>1</v>
      </c>
      <c r="AQ63" s="79">
        <f t="shared" si="28"/>
        <v>1</v>
      </c>
      <c r="AR63" s="92">
        <f t="shared" si="29"/>
        <v>10</v>
      </c>
      <c r="AS63" s="86">
        <f t="shared" si="29"/>
        <v>10</v>
      </c>
      <c r="AT63" s="86">
        <f t="shared" si="29"/>
        <v>10</v>
      </c>
      <c r="AU63" s="86">
        <f t="shared" si="29"/>
        <v>10</v>
      </c>
      <c r="AV63" s="86">
        <f t="shared" si="29"/>
        <v>10</v>
      </c>
      <c r="AW63" s="86">
        <f t="shared" si="29"/>
        <v>10</v>
      </c>
      <c r="AX63" s="86">
        <f t="shared" si="29"/>
        <v>10</v>
      </c>
      <c r="AY63" s="87">
        <f t="shared" si="29"/>
        <v>10</v>
      </c>
      <c r="AZ63" s="72">
        <f t="shared" si="29"/>
        <v>10</v>
      </c>
      <c r="BA63" s="35">
        <v>45</v>
      </c>
    </row>
    <row r="64" spans="2:53" x14ac:dyDescent="0.25">
      <c r="B64" s="34">
        <v>46</v>
      </c>
      <c r="C64" s="72">
        <f t="shared" si="24"/>
        <v>1</v>
      </c>
      <c r="D64" s="77">
        <f t="shared" si="24"/>
        <v>1</v>
      </c>
      <c r="E64" s="78">
        <f t="shared" si="24"/>
        <v>1</v>
      </c>
      <c r="F64" s="78">
        <f t="shared" si="24"/>
        <v>1</v>
      </c>
      <c r="G64" s="78">
        <f t="shared" si="24"/>
        <v>1</v>
      </c>
      <c r="H64" s="78">
        <f t="shared" si="24"/>
        <v>1</v>
      </c>
      <c r="I64" s="78">
        <f t="shared" si="24"/>
        <v>1</v>
      </c>
      <c r="J64" s="78">
        <f t="shared" si="24"/>
        <v>1</v>
      </c>
      <c r="K64" s="78">
        <f t="shared" si="24"/>
        <v>1</v>
      </c>
      <c r="L64" s="78">
        <f t="shared" si="24"/>
        <v>1</v>
      </c>
      <c r="M64" s="78">
        <f t="shared" si="25"/>
        <v>1</v>
      </c>
      <c r="N64" s="78">
        <f t="shared" si="25"/>
        <v>1</v>
      </c>
      <c r="O64" s="78">
        <f t="shared" si="25"/>
        <v>1</v>
      </c>
      <c r="P64" s="78">
        <f t="shared" si="25"/>
        <v>1</v>
      </c>
      <c r="Q64" s="78">
        <f t="shared" si="25"/>
        <v>1</v>
      </c>
      <c r="R64" s="78">
        <f t="shared" si="25"/>
        <v>1</v>
      </c>
      <c r="S64" s="78">
        <f t="shared" si="25"/>
        <v>1</v>
      </c>
      <c r="T64" s="78">
        <f t="shared" si="25"/>
        <v>1</v>
      </c>
      <c r="U64" s="78">
        <f t="shared" si="25"/>
        <v>1</v>
      </c>
      <c r="V64" s="78">
        <f t="shared" si="25"/>
        <v>1</v>
      </c>
      <c r="W64" s="78">
        <f t="shared" si="26"/>
        <v>1</v>
      </c>
      <c r="X64" s="78">
        <f t="shared" si="26"/>
        <v>1</v>
      </c>
      <c r="Y64" s="78">
        <f t="shared" si="26"/>
        <v>1</v>
      </c>
      <c r="Z64" s="78">
        <f t="shared" si="26"/>
        <v>1</v>
      </c>
      <c r="AA64" s="78">
        <f t="shared" si="26"/>
        <v>1</v>
      </c>
      <c r="AB64" s="78">
        <f t="shared" si="26"/>
        <v>1</v>
      </c>
      <c r="AC64" s="78">
        <f t="shared" si="26"/>
        <v>1</v>
      </c>
      <c r="AD64" s="78">
        <f t="shared" si="26"/>
        <v>1</v>
      </c>
      <c r="AE64" s="78">
        <f t="shared" si="26"/>
        <v>1</v>
      </c>
      <c r="AF64" s="78">
        <f t="shared" si="26"/>
        <v>1</v>
      </c>
      <c r="AG64" s="78">
        <f t="shared" si="27"/>
        <v>1</v>
      </c>
      <c r="AH64" s="78">
        <f t="shared" si="27"/>
        <v>1</v>
      </c>
      <c r="AI64" s="78">
        <f t="shared" si="27"/>
        <v>1</v>
      </c>
      <c r="AJ64" s="78">
        <f t="shared" si="27"/>
        <v>1</v>
      </c>
      <c r="AK64" s="78">
        <f t="shared" si="27"/>
        <v>1</v>
      </c>
      <c r="AL64" s="78">
        <f t="shared" si="27"/>
        <v>1</v>
      </c>
      <c r="AM64" s="78">
        <f t="shared" si="27"/>
        <v>1</v>
      </c>
      <c r="AN64" s="78">
        <f t="shared" si="27"/>
        <v>1</v>
      </c>
      <c r="AO64" s="78">
        <f t="shared" si="27"/>
        <v>1</v>
      </c>
      <c r="AP64" s="78">
        <f t="shared" si="27"/>
        <v>1</v>
      </c>
      <c r="AQ64" s="79">
        <f t="shared" si="28"/>
        <v>1</v>
      </c>
      <c r="AR64" s="92">
        <f t="shared" si="29"/>
        <v>10</v>
      </c>
      <c r="AS64" s="86">
        <f t="shared" si="29"/>
        <v>10</v>
      </c>
      <c r="AT64" s="86">
        <f t="shared" si="29"/>
        <v>10</v>
      </c>
      <c r="AU64" s="86">
        <f t="shared" si="29"/>
        <v>10</v>
      </c>
      <c r="AV64" s="86">
        <f t="shared" si="29"/>
        <v>10</v>
      </c>
      <c r="AW64" s="86">
        <f t="shared" si="29"/>
        <v>10</v>
      </c>
      <c r="AX64" s="86">
        <f t="shared" si="29"/>
        <v>10</v>
      </c>
      <c r="AY64" s="87">
        <f t="shared" si="29"/>
        <v>10</v>
      </c>
      <c r="AZ64" s="72">
        <f t="shared" si="29"/>
        <v>10</v>
      </c>
      <c r="BA64" s="35">
        <v>46</v>
      </c>
    </row>
    <row r="65" spans="2:53" x14ac:dyDescent="0.25">
      <c r="B65" s="34">
        <v>47</v>
      </c>
      <c r="C65" s="72">
        <f t="shared" si="24"/>
        <v>1</v>
      </c>
      <c r="D65" s="77">
        <f t="shared" si="24"/>
        <v>1</v>
      </c>
      <c r="E65" s="78">
        <f t="shared" si="24"/>
        <v>1</v>
      </c>
      <c r="F65" s="78">
        <f t="shared" si="24"/>
        <v>1</v>
      </c>
      <c r="G65" s="78">
        <f t="shared" si="24"/>
        <v>1</v>
      </c>
      <c r="H65" s="78">
        <f t="shared" si="24"/>
        <v>1</v>
      </c>
      <c r="I65" s="78">
        <f t="shared" si="24"/>
        <v>1</v>
      </c>
      <c r="J65" s="78">
        <f t="shared" si="24"/>
        <v>1</v>
      </c>
      <c r="K65" s="78">
        <f t="shared" si="24"/>
        <v>1</v>
      </c>
      <c r="L65" s="78">
        <f t="shared" si="24"/>
        <v>1</v>
      </c>
      <c r="M65" s="78">
        <f t="shared" si="25"/>
        <v>1</v>
      </c>
      <c r="N65" s="78">
        <f t="shared" si="25"/>
        <v>1</v>
      </c>
      <c r="O65" s="78">
        <f t="shared" si="25"/>
        <v>1</v>
      </c>
      <c r="P65" s="78">
        <f t="shared" si="25"/>
        <v>1</v>
      </c>
      <c r="Q65" s="78">
        <f t="shared" si="25"/>
        <v>1</v>
      </c>
      <c r="R65" s="78">
        <f t="shared" si="25"/>
        <v>1</v>
      </c>
      <c r="S65" s="78">
        <f t="shared" si="25"/>
        <v>1</v>
      </c>
      <c r="T65" s="78">
        <f t="shared" si="25"/>
        <v>1</v>
      </c>
      <c r="U65" s="78">
        <f t="shared" si="25"/>
        <v>1</v>
      </c>
      <c r="V65" s="78">
        <f t="shared" si="25"/>
        <v>1</v>
      </c>
      <c r="W65" s="78">
        <f t="shared" si="26"/>
        <v>1</v>
      </c>
      <c r="X65" s="78">
        <f t="shared" si="26"/>
        <v>1</v>
      </c>
      <c r="Y65" s="78">
        <f t="shared" si="26"/>
        <v>1</v>
      </c>
      <c r="Z65" s="78">
        <f t="shared" si="26"/>
        <v>1</v>
      </c>
      <c r="AA65" s="78">
        <f t="shared" si="26"/>
        <v>1</v>
      </c>
      <c r="AB65" s="78">
        <f t="shared" si="26"/>
        <v>1</v>
      </c>
      <c r="AC65" s="78">
        <f t="shared" si="26"/>
        <v>1</v>
      </c>
      <c r="AD65" s="78">
        <f t="shared" si="26"/>
        <v>1</v>
      </c>
      <c r="AE65" s="78">
        <f t="shared" si="26"/>
        <v>1</v>
      </c>
      <c r="AF65" s="78">
        <f t="shared" si="26"/>
        <v>1</v>
      </c>
      <c r="AG65" s="78">
        <f t="shared" si="27"/>
        <v>1</v>
      </c>
      <c r="AH65" s="78">
        <f t="shared" si="27"/>
        <v>1</v>
      </c>
      <c r="AI65" s="78">
        <f t="shared" si="27"/>
        <v>1</v>
      </c>
      <c r="AJ65" s="78">
        <f t="shared" si="27"/>
        <v>1</v>
      </c>
      <c r="AK65" s="78">
        <f t="shared" si="27"/>
        <v>1</v>
      </c>
      <c r="AL65" s="78">
        <f t="shared" si="27"/>
        <v>1</v>
      </c>
      <c r="AM65" s="78">
        <f t="shared" si="27"/>
        <v>1</v>
      </c>
      <c r="AN65" s="78">
        <f t="shared" si="27"/>
        <v>1</v>
      </c>
      <c r="AO65" s="78">
        <f t="shared" si="27"/>
        <v>1</v>
      </c>
      <c r="AP65" s="78">
        <f t="shared" si="27"/>
        <v>1</v>
      </c>
      <c r="AQ65" s="79">
        <f t="shared" si="28"/>
        <v>1</v>
      </c>
      <c r="AR65" s="92">
        <f t="shared" si="29"/>
        <v>10</v>
      </c>
      <c r="AS65" s="86">
        <f t="shared" si="29"/>
        <v>10</v>
      </c>
      <c r="AT65" s="86">
        <f t="shared" si="29"/>
        <v>10</v>
      </c>
      <c r="AU65" s="86">
        <f t="shared" si="29"/>
        <v>10</v>
      </c>
      <c r="AV65" s="86">
        <f t="shared" si="29"/>
        <v>10</v>
      </c>
      <c r="AW65" s="86">
        <f t="shared" si="29"/>
        <v>10</v>
      </c>
      <c r="AX65" s="86">
        <f t="shared" si="29"/>
        <v>10</v>
      </c>
      <c r="AY65" s="87">
        <f t="shared" si="29"/>
        <v>10</v>
      </c>
      <c r="AZ65" s="72">
        <f t="shared" si="29"/>
        <v>10</v>
      </c>
      <c r="BA65" s="35">
        <v>47</v>
      </c>
    </row>
    <row r="66" spans="2:53" x14ac:dyDescent="0.25">
      <c r="B66" s="34">
        <v>48</v>
      </c>
      <c r="C66" s="72">
        <f t="shared" si="24"/>
        <v>1</v>
      </c>
      <c r="D66" s="77">
        <f t="shared" si="24"/>
        <v>1</v>
      </c>
      <c r="E66" s="78">
        <f t="shared" si="24"/>
        <v>1</v>
      </c>
      <c r="F66" s="78">
        <f t="shared" si="24"/>
        <v>1</v>
      </c>
      <c r="G66" s="78">
        <f t="shared" si="24"/>
        <v>1</v>
      </c>
      <c r="H66" s="78">
        <f t="shared" si="24"/>
        <v>1</v>
      </c>
      <c r="I66" s="78">
        <f t="shared" si="24"/>
        <v>1</v>
      </c>
      <c r="J66" s="78">
        <f t="shared" si="24"/>
        <v>1</v>
      </c>
      <c r="K66" s="78">
        <f t="shared" si="24"/>
        <v>1</v>
      </c>
      <c r="L66" s="78">
        <f t="shared" si="24"/>
        <v>1</v>
      </c>
      <c r="M66" s="78">
        <f t="shared" si="25"/>
        <v>1</v>
      </c>
      <c r="N66" s="78">
        <f t="shared" si="25"/>
        <v>1</v>
      </c>
      <c r="O66" s="78">
        <f t="shared" si="25"/>
        <v>1</v>
      </c>
      <c r="P66" s="78">
        <f t="shared" si="25"/>
        <v>1</v>
      </c>
      <c r="Q66" s="78">
        <f t="shared" si="25"/>
        <v>1</v>
      </c>
      <c r="R66" s="78">
        <f t="shared" si="25"/>
        <v>1</v>
      </c>
      <c r="S66" s="78">
        <f t="shared" si="25"/>
        <v>1</v>
      </c>
      <c r="T66" s="78">
        <f t="shared" si="25"/>
        <v>1</v>
      </c>
      <c r="U66" s="78">
        <f t="shared" si="25"/>
        <v>1</v>
      </c>
      <c r="V66" s="78">
        <f t="shared" si="25"/>
        <v>1</v>
      </c>
      <c r="W66" s="78">
        <f t="shared" si="26"/>
        <v>1</v>
      </c>
      <c r="X66" s="78">
        <f t="shared" si="26"/>
        <v>1</v>
      </c>
      <c r="Y66" s="78">
        <f t="shared" si="26"/>
        <v>1</v>
      </c>
      <c r="Z66" s="78">
        <f t="shared" si="26"/>
        <v>1</v>
      </c>
      <c r="AA66" s="78">
        <f t="shared" si="26"/>
        <v>1</v>
      </c>
      <c r="AB66" s="78">
        <f t="shared" si="26"/>
        <v>1</v>
      </c>
      <c r="AC66" s="78">
        <f t="shared" si="26"/>
        <v>1</v>
      </c>
      <c r="AD66" s="78">
        <f t="shared" si="26"/>
        <v>1</v>
      </c>
      <c r="AE66" s="78">
        <f t="shared" si="26"/>
        <v>1</v>
      </c>
      <c r="AF66" s="78">
        <f t="shared" si="26"/>
        <v>1</v>
      </c>
      <c r="AG66" s="78">
        <f t="shared" si="27"/>
        <v>1</v>
      </c>
      <c r="AH66" s="78">
        <f t="shared" si="27"/>
        <v>1</v>
      </c>
      <c r="AI66" s="78">
        <f t="shared" si="27"/>
        <v>1</v>
      </c>
      <c r="AJ66" s="78">
        <f t="shared" si="27"/>
        <v>1</v>
      </c>
      <c r="AK66" s="78">
        <f t="shared" si="27"/>
        <v>1</v>
      </c>
      <c r="AL66" s="78">
        <f t="shared" si="27"/>
        <v>1</v>
      </c>
      <c r="AM66" s="78">
        <f t="shared" si="27"/>
        <v>1</v>
      </c>
      <c r="AN66" s="78">
        <f t="shared" si="27"/>
        <v>1</v>
      </c>
      <c r="AO66" s="78">
        <f t="shared" si="27"/>
        <v>1</v>
      </c>
      <c r="AP66" s="78">
        <f t="shared" si="27"/>
        <v>1</v>
      </c>
      <c r="AQ66" s="79">
        <f t="shared" si="28"/>
        <v>1</v>
      </c>
      <c r="AR66" s="92">
        <f t="shared" si="29"/>
        <v>10</v>
      </c>
      <c r="AS66" s="86">
        <f t="shared" si="29"/>
        <v>10</v>
      </c>
      <c r="AT66" s="86">
        <f t="shared" si="29"/>
        <v>10</v>
      </c>
      <c r="AU66" s="86">
        <f t="shared" si="29"/>
        <v>10</v>
      </c>
      <c r="AV66" s="86">
        <f t="shared" si="29"/>
        <v>10</v>
      </c>
      <c r="AW66" s="86">
        <f t="shared" si="29"/>
        <v>10</v>
      </c>
      <c r="AX66" s="86">
        <f t="shared" si="29"/>
        <v>10</v>
      </c>
      <c r="AY66" s="87">
        <f t="shared" si="29"/>
        <v>10</v>
      </c>
      <c r="AZ66" s="72">
        <f t="shared" si="29"/>
        <v>10</v>
      </c>
      <c r="BA66" s="35">
        <v>48</v>
      </c>
    </row>
    <row r="67" spans="2:53" x14ac:dyDescent="0.25">
      <c r="B67" s="34">
        <v>49</v>
      </c>
      <c r="C67" s="72">
        <f t="shared" si="24"/>
        <v>1</v>
      </c>
      <c r="D67" s="80">
        <f t="shared" si="24"/>
        <v>1</v>
      </c>
      <c r="E67" s="81">
        <f t="shared" si="24"/>
        <v>1</v>
      </c>
      <c r="F67" s="81">
        <f t="shared" si="24"/>
        <v>1</v>
      </c>
      <c r="G67" s="81">
        <f t="shared" si="24"/>
        <v>1</v>
      </c>
      <c r="H67" s="81">
        <f t="shared" si="24"/>
        <v>1</v>
      </c>
      <c r="I67" s="81">
        <f t="shared" si="24"/>
        <v>1</v>
      </c>
      <c r="J67" s="81">
        <f t="shared" si="24"/>
        <v>1</v>
      </c>
      <c r="K67" s="81">
        <f t="shared" si="24"/>
        <v>1</v>
      </c>
      <c r="L67" s="81">
        <f t="shared" si="24"/>
        <v>1</v>
      </c>
      <c r="M67" s="81">
        <f t="shared" si="25"/>
        <v>1</v>
      </c>
      <c r="N67" s="81">
        <f t="shared" si="25"/>
        <v>1</v>
      </c>
      <c r="O67" s="81">
        <f t="shared" si="25"/>
        <v>1</v>
      </c>
      <c r="P67" s="81">
        <f t="shared" si="25"/>
        <v>1</v>
      </c>
      <c r="Q67" s="81">
        <f t="shared" si="25"/>
        <v>1</v>
      </c>
      <c r="R67" s="81">
        <f t="shared" si="25"/>
        <v>1</v>
      </c>
      <c r="S67" s="81">
        <f t="shared" si="25"/>
        <v>1</v>
      </c>
      <c r="T67" s="81">
        <f t="shared" si="25"/>
        <v>1</v>
      </c>
      <c r="U67" s="81">
        <f t="shared" si="25"/>
        <v>1</v>
      </c>
      <c r="V67" s="81">
        <f t="shared" si="25"/>
        <v>1</v>
      </c>
      <c r="W67" s="81">
        <f t="shared" si="26"/>
        <v>1</v>
      </c>
      <c r="X67" s="81">
        <f t="shared" si="26"/>
        <v>1</v>
      </c>
      <c r="Y67" s="81">
        <f t="shared" si="26"/>
        <v>1</v>
      </c>
      <c r="Z67" s="81">
        <f t="shared" si="26"/>
        <v>1</v>
      </c>
      <c r="AA67" s="81">
        <f t="shared" si="26"/>
        <v>1</v>
      </c>
      <c r="AB67" s="81">
        <f t="shared" si="26"/>
        <v>1</v>
      </c>
      <c r="AC67" s="81">
        <f t="shared" si="26"/>
        <v>1</v>
      </c>
      <c r="AD67" s="81">
        <f t="shared" si="26"/>
        <v>1</v>
      </c>
      <c r="AE67" s="81">
        <f t="shared" si="26"/>
        <v>1</v>
      </c>
      <c r="AF67" s="81">
        <f t="shared" si="26"/>
        <v>1</v>
      </c>
      <c r="AG67" s="81">
        <f t="shared" si="27"/>
        <v>1</v>
      </c>
      <c r="AH67" s="81">
        <f t="shared" si="27"/>
        <v>1</v>
      </c>
      <c r="AI67" s="81">
        <f t="shared" si="27"/>
        <v>1</v>
      </c>
      <c r="AJ67" s="81">
        <f t="shared" si="27"/>
        <v>1</v>
      </c>
      <c r="AK67" s="81">
        <f t="shared" si="27"/>
        <v>1</v>
      </c>
      <c r="AL67" s="81">
        <f t="shared" si="27"/>
        <v>1</v>
      </c>
      <c r="AM67" s="81">
        <f t="shared" si="27"/>
        <v>1</v>
      </c>
      <c r="AN67" s="81">
        <f t="shared" si="27"/>
        <v>1</v>
      </c>
      <c r="AO67" s="81">
        <f t="shared" si="27"/>
        <v>1</v>
      </c>
      <c r="AP67" s="81">
        <f t="shared" si="27"/>
        <v>1</v>
      </c>
      <c r="AQ67" s="82">
        <f t="shared" si="28"/>
        <v>1</v>
      </c>
      <c r="AR67" s="93">
        <f t="shared" si="29"/>
        <v>10</v>
      </c>
      <c r="AS67" s="88">
        <f t="shared" si="29"/>
        <v>10</v>
      </c>
      <c r="AT67" s="88">
        <f t="shared" si="29"/>
        <v>10</v>
      </c>
      <c r="AU67" s="88">
        <f t="shared" si="29"/>
        <v>10</v>
      </c>
      <c r="AV67" s="88">
        <f t="shared" si="29"/>
        <v>10</v>
      </c>
      <c r="AW67" s="88">
        <f t="shared" si="29"/>
        <v>10</v>
      </c>
      <c r="AX67" s="88">
        <f t="shared" si="29"/>
        <v>10</v>
      </c>
      <c r="AY67" s="89">
        <f t="shared" si="29"/>
        <v>10</v>
      </c>
      <c r="AZ67" s="72">
        <f t="shared" si="29"/>
        <v>10</v>
      </c>
      <c r="BA67" s="35">
        <v>49</v>
      </c>
    </row>
    <row r="68" spans="2:53" x14ac:dyDescent="0.25">
      <c r="B68" s="34">
        <v>50</v>
      </c>
      <c r="C68" s="73">
        <f t="shared" si="24"/>
        <v>1</v>
      </c>
      <c r="D68" s="70">
        <f t="shared" si="24"/>
        <v>1</v>
      </c>
      <c r="E68" s="70">
        <f t="shared" si="24"/>
        <v>1</v>
      </c>
      <c r="F68" s="70">
        <f t="shared" si="24"/>
        <v>1</v>
      </c>
      <c r="G68" s="70">
        <f t="shared" si="24"/>
        <v>1</v>
      </c>
      <c r="H68" s="70">
        <f t="shared" si="24"/>
        <v>1</v>
      </c>
      <c r="I68" s="70">
        <f t="shared" si="24"/>
        <v>1</v>
      </c>
      <c r="J68" s="70">
        <f t="shared" si="24"/>
        <v>1</v>
      </c>
      <c r="K68" s="70">
        <f t="shared" si="24"/>
        <v>1</v>
      </c>
      <c r="L68" s="70">
        <f t="shared" si="24"/>
        <v>1</v>
      </c>
      <c r="M68" s="70">
        <f t="shared" si="25"/>
        <v>1</v>
      </c>
      <c r="N68" s="70">
        <f t="shared" si="25"/>
        <v>1</v>
      </c>
      <c r="O68" s="70">
        <f t="shared" si="25"/>
        <v>1</v>
      </c>
      <c r="P68" s="70">
        <f t="shared" si="25"/>
        <v>1</v>
      </c>
      <c r="Q68" s="70">
        <f t="shared" si="25"/>
        <v>1</v>
      </c>
      <c r="R68" s="70">
        <f t="shared" si="25"/>
        <v>1</v>
      </c>
      <c r="S68" s="70">
        <f t="shared" si="25"/>
        <v>1</v>
      </c>
      <c r="T68" s="70">
        <f t="shared" si="25"/>
        <v>1</v>
      </c>
      <c r="U68" s="70">
        <f t="shared" si="25"/>
        <v>1</v>
      </c>
      <c r="V68" s="70">
        <f t="shared" si="25"/>
        <v>1</v>
      </c>
      <c r="W68" s="70">
        <f t="shared" si="26"/>
        <v>1</v>
      </c>
      <c r="X68" s="70">
        <f t="shared" si="26"/>
        <v>1</v>
      </c>
      <c r="Y68" s="70">
        <f t="shared" si="26"/>
        <v>1</v>
      </c>
      <c r="Z68" s="70">
        <f t="shared" si="26"/>
        <v>1</v>
      </c>
      <c r="AA68" s="70">
        <f t="shared" si="26"/>
        <v>1</v>
      </c>
      <c r="AB68" s="70">
        <f t="shared" si="26"/>
        <v>1</v>
      </c>
      <c r="AC68" s="70">
        <f t="shared" si="26"/>
        <v>1</v>
      </c>
      <c r="AD68" s="70">
        <f t="shared" si="26"/>
        <v>1</v>
      </c>
      <c r="AE68" s="70">
        <f t="shared" si="26"/>
        <v>1</v>
      </c>
      <c r="AF68" s="70">
        <f t="shared" si="26"/>
        <v>1</v>
      </c>
      <c r="AG68" s="70">
        <f t="shared" si="27"/>
        <v>1</v>
      </c>
      <c r="AH68" s="70">
        <f t="shared" si="27"/>
        <v>1</v>
      </c>
      <c r="AI68" s="70">
        <f t="shared" si="27"/>
        <v>1</v>
      </c>
      <c r="AJ68" s="70">
        <f t="shared" si="27"/>
        <v>1</v>
      </c>
      <c r="AK68" s="70">
        <f t="shared" si="27"/>
        <v>1</v>
      </c>
      <c r="AL68" s="70">
        <f t="shared" si="27"/>
        <v>1</v>
      </c>
      <c r="AM68" s="70">
        <f t="shared" si="27"/>
        <v>1</v>
      </c>
      <c r="AN68" s="70">
        <f t="shared" si="27"/>
        <v>1</v>
      </c>
      <c r="AO68" s="70">
        <f t="shared" si="27"/>
        <v>1</v>
      </c>
      <c r="AP68" s="70">
        <f t="shared" si="27"/>
        <v>1</v>
      </c>
      <c r="AQ68" s="70">
        <f t="shared" si="28"/>
        <v>1</v>
      </c>
      <c r="AR68" s="70">
        <f t="shared" si="29"/>
        <v>10</v>
      </c>
      <c r="AS68" s="70">
        <f t="shared" si="29"/>
        <v>10</v>
      </c>
      <c r="AT68" s="70">
        <f t="shared" si="29"/>
        <v>10</v>
      </c>
      <c r="AU68" s="70">
        <f t="shared" si="29"/>
        <v>10</v>
      </c>
      <c r="AV68" s="70">
        <f t="shared" si="29"/>
        <v>10</v>
      </c>
      <c r="AW68" s="70">
        <f t="shared" si="29"/>
        <v>10</v>
      </c>
      <c r="AX68" s="70">
        <f t="shared" si="29"/>
        <v>10</v>
      </c>
      <c r="AY68" s="70">
        <f t="shared" si="29"/>
        <v>10</v>
      </c>
      <c r="AZ68" s="90">
        <f t="shared" si="29"/>
        <v>10</v>
      </c>
      <c r="BA68" s="35">
        <v>50</v>
      </c>
    </row>
    <row r="69" spans="2:53" x14ac:dyDescent="0.25">
      <c r="B69" s="36"/>
      <c r="C69" s="37">
        <v>1</v>
      </c>
      <c r="D69" s="37">
        <v>2</v>
      </c>
      <c r="E69" s="37">
        <v>3</v>
      </c>
      <c r="F69" s="37">
        <v>4</v>
      </c>
      <c r="G69" s="37">
        <v>5</v>
      </c>
      <c r="H69" s="37">
        <v>6</v>
      </c>
      <c r="I69" s="37">
        <v>7</v>
      </c>
      <c r="J69" s="37">
        <v>8</v>
      </c>
      <c r="K69" s="37">
        <v>9</v>
      </c>
      <c r="L69" s="37">
        <v>10</v>
      </c>
      <c r="M69" s="37">
        <v>11</v>
      </c>
      <c r="N69" s="37">
        <v>12</v>
      </c>
      <c r="O69" s="37">
        <v>13</v>
      </c>
      <c r="P69" s="37">
        <v>14</v>
      </c>
      <c r="Q69" s="37">
        <v>15</v>
      </c>
      <c r="R69" s="37">
        <v>16</v>
      </c>
      <c r="S69" s="37">
        <v>17</v>
      </c>
      <c r="T69" s="37">
        <v>18</v>
      </c>
      <c r="U69" s="37">
        <v>19</v>
      </c>
      <c r="V69" s="37">
        <v>20</v>
      </c>
      <c r="W69" s="37">
        <v>21</v>
      </c>
      <c r="X69" s="37">
        <v>22</v>
      </c>
      <c r="Y69" s="37">
        <v>23</v>
      </c>
      <c r="Z69" s="37">
        <v>24</v>
      </c>
      <c r="AA69" s="37">
        <v>25</v>
      </c>
      <c r="AB69" s="37">
        <v>26</v>
      </c>
      <c r="AC69" s="37">
        <v>27</v>
      </c>
      <c r="AD69" s="37">
        <v>28</v>
      </c>
      <c r="AE69" s="37">
        <v>29</v>
      </c>
      <c r="AF69" s="37">
        <v>30</v>
      </c>
      <c r="AG69" s="37">
        <v>31</v>
      </c>
      <c r="AH69" s="37">
        <v>32</v>
      </c>
      <c r="AI69" s="37">
        <v>33</v>
      </c>
      <c r="AJ69" s="37">
        <v>34</v>
      </c>
      <c r="AK69" s="37">
        <v>35</v>
      </c>
      <c r="AL69" s="37">
        <v>36</v>
      </c>
      <c r="AM69" s="37">
        <v>37</v>
      </c>
      <c r="AN69" s="37">
        <v>38</v>
      </c>
      <c r="AO69" s="37">
        <v>39</v>
      </c>
      <c r="AP69" s="37">
        <v>40</v>
      </c>
      <c r="AQ69" s="37">
        <v>41</v>
      </c>
      <c r="AR69" s="37">
        <v>42</v>
      </c>
      <c r="AS69" s="37">
        <v>43</v>
      </c>
      <c r="AT69" s="37">
        <v>44</v>
      </c>
      <c r="AU69" s="37">
        <v>45</v>
      </c>
      <c r="AV69" s="37">
        <v>46</v>
      </c>
      <c r="AW69" s="37">
        <v>47</v>
      </c>
      <c r="AX69" s="37">
        <v>48</v>
      </c>
      <c r="AY69" s="37">
        <v>49</v>
      </c>
      <c r="AZ69" s="37">
        <v>50</v>
      </c>
      <c r="BA69" s="38"/>
    </row>
  </sheetData>
  <pageMargins left="0.75" right="0.75" top="1" bottom="1" header="0.5" footer="0.5"/>
  <pageSetup paperSize="9" orientation="portrait" horizontalDpi="4294967293" verticalDpi="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69"/>
  <sheetViews>
    <sheetView topLeftCell="W3" zoomScale="75" workbookViewId="0">
      <selection activeCell="AG33" sqref="AG33"/>
    </sheetView>
  </sheetViews>
  <sheetFormatPr defaultColWidth="9.109375" defaultRowHeight="10.199999999999999" x14ac:dyDescent="0.2"/>
  <cols>
    <col min="1" max="2" width="4.6640625" style="3" customWidth="1"/>
    <col min="3" max="53" width="6.6640625" style="3" customWidth="1"/>
    <col min="54" max="16384" width="9.109375" style="3"/>
  </cols>
  <sheetData>
    <row r="1" spans="1:39" x14ac:dyDescent="0.2">
      <c r="A1" s="29" t="s">
        <v>7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69"/>
      <c r="V1" s="69"/>
      <c r="W1" s="69"/>
      <c r="X1" s="69"/>
      <c r="Y1" s="69"/>
      <c r="Z1" s="69"/>
      <c r="AA1" s="69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</row>
    <row r="2" spans="1:39" ht="11.4" x14ac:dyDescent="0.2"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69"/>
      <c r="V2" s="60" t="s">
        <v>16</v>
      </c>
      <c r="W2" s="61"/>
      <c r="X2" s="61"/>
      <c r="Y2" s="61"/>
      <c r="Z2" s="62"/>
      <c r="AA2" s="69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</row>
    <row r="3" spans="1:39" ht="11.4" x14ac:dyDescent="0.2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69"/>
      <c r="V3" s="54"/>
      <c r="W3" s="55"/>
      <c r="X3" s="55"/>
      <c r="Y3" s="55"/>
      <c r="Z3" s="56"/>
      <c r="AA3" s="69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</row>
    <row r="4" spans="1:39" ht="11.4" x14ac:dyDescent="0.2"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69"/>
      <c r="V4" s="54"/>
      <c r="W4" s="55"/>
      <c r="X4" s="55"/>
      <c r="Y4" s="55"/>
      <c r="Z4" s="56"/>
      <c r="AA4" s="69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</row>
    <row r="5" spans="1:39" ht="11.4" x14ac:dyDescent="0.2"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69"/>
      <c r="V5" s="54"/>
      <c r="W5" s="55"/>
      <c r="X5" s="55"/>
      <c r="Y5" s="55"/>
      <c r="Z5" s="56"/>
      <c r="AA5" s="69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</row>
    <row r="6" spans="1:39" ht="11.4" x14ac:dyDescent="0.2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69"/>
      <c r="V6" s="54"/>
      <c r="W6" s="55"/>
      <c r="X6" s="55"/>
      <c r="Y6" s="55"/>
      <c r="Z6" s="56"/>
      <c r="AA6" s="69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</row>
    <row r="7" spans="1:39" ht="11.4" x14ac:dyDescent="0.2"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69"/>
      <c r="V7" s="54"/>
      <c r="W7" s="55"/>
      <c r="X7" s="55"/>
      <c r="Y7" s="55"/>
      <c r="Z7" s="56"/>
      <c r="AA7" s="69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</row>
    <row r="8" spans="1:39" ht="11.4" x14ac:dyDescent="0.2"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69"/>
      <c r="V8" s="54"/>
      <c r="W8" s="55"/>
      <c r="X8" s="55"/>
      <c r="Y8" s="55"/>
      <c r="Z8" s="56"/>
      <c r="AA8" s="69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</row>
    <row r="9" spans="1:39" ht="11.4" x14ac:dyDescent="0.2"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69"/>
      <c r="V9" s="54"/>
      <c r="W9" s="55"/>
      <c r="X9" s="55"/>
      <c r="Y9" s="55"/>
      <c r="Z9" s="56"/>
      <c r="AA9" s="69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</row>
    <row r="10" spans="1:39" ht="11.4" x14ac:dyDescent="0.2"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69"/>
      <c r="V10" s="63"/>
      <c r="W10" s="64"/>
      <c r="X10" s="64"/>
      <c r="Y10" s="64"/>
      <c r="Z10" s="65"/>
      <c r="AA10" s="69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</row>
    <row r="11" spans="1:39" x14ac:dyDescent="0.2"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69"/>
      <c r="V11" s="69"/>
      <c r="W11" s="69"/>
      <c r="X11" s="69"/>
      <c r="Y11" s="69"/>
      <c r="Z11" s="69"/>
      <c r="AA11" s="69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</row>
    <row r="12" spans="1:39" x14ac:dyDescent="0.2"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</row>
    <row r="13" spans="1:39" x14ac:dyDescent="0.2"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</row>
    <row r="14" spans="1:39" x14ac:dyDescent="0.2"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</row>
    <row r="15" spans="1:39" x14ac:dyDescent="0.2"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</row>
    <row r="16" spans="1:39" x14ac:dyDescent="0.2"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</row>
    <row r="17" spans="2:53" x14ac:dyDescent="0.2"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</row>
    <row r="18" spans="2:53" x14ac:dyDescent="0.2">
      <c r="B18" s="31"/>
      <c r="C18" s="32">
        <v>1</v>
      </c>
      <c r="D18" s="32">
        <v>2</v>
      </c>
      <c r="E18" s="32">
        <v>3</v>
      </c>
      <c r="F18" s="32">
        <v>4</v>
      </c>
      <c r="G18" s="32">
        <v>5</v>
      </c>
      <c r="H18" s="32">
        <v>6</v>
      </c>
      <c r="I18" s="32">
        <v>7</v>
      </c>
      <c r="J18" s="32">
        <v>8</v>
      </c>
      <c r="K18" s="32">
        <v>9</v>
      </c>
      <c r="L18" s="32">
        <v>10</v>
      </c>
      <c r="M18" s="32">
        <v>11</v>
      </c>
      <c r="N18" s="32">
        <v>12</v>
      </c>
      <c r="O18" s="32">
        <v>13</v>
      </c>
      <c r="P18" s="32">
        <v>14</v>
      </c>
      <c r="Q18" s="32">
        <v>15</v>
      </c>
      <c r="R18" s="32">
        <v>16</v>
      </c>
      <c r="S18" s="32">
        <v>17</v>
      </c>
      <c r="T18" s="32">
        <v>18</v>
      </c>
      <c r="U18" s="32">
        <v>19</v>
      </c>
      <c r="V18" s="32">
        <v>20</v>
      </c>
      <c r="W18" s="32">
        <v>21</v>
      </c>
      <c r="X18" s="32">
        <v>22</v>
      </c>
      <c r="Y18" s="32">
        <v>23</v>
      </c>
      <c r="Z18" s="32">
        <v>24</v>
      </c>
      <c r="AA18" s="32">
        <v>25</v>
      </c>
      <c r="AB18" s="32">
        <v>26</v>
      </c>
      <c r="AC18" s="32">
        <v>27</v>
      </c>
      <c r="AD18" s="32">
        <v>28</v>
      </c>
      <c r="AE18" s="32">
        <v>29</v>
      </c>
      <c r="AF18" s="32">
        <v>30</v>
      </c>
      <c r="AG18" s="32">
        <v>31</v>
      </c>
      <c r="AH18" s="32">
        <v>32</v>
      </c>
      <c r="AI18" s="32">
        <v>33</v>
      </c>
      <c r="AJ18" s="32">
        <v>34</v>
      </c>
      <c r="AK18" s="32">
        <v>35</v>
      </c>
      <c r="AL18" s="32">
        <v>36</v>
      </c>
      <c r="AM18" s="32">
        <v>37</v>
      </c>
      <c r="AN18" s="32">
        <v>38</v>
      </c>
      <c r="AO18" s="32">
        <v>39</v>
      </c>
      <c r="AP18" s="32">
        <v>40</v>
      </c>
      <c r="AQ18" s="32">
        <v>41</v>
      </c>
      <c r="AR18" s="32">
        <v>42</v>
      </c>
      <c r="AS18" s="32">
        <v>43</v>
      </c>
      <c r="AT18" s="32">
        <v>44</v>
      </c>
      <c r="AU18" s="32">
        <v>45</v>
      </c>
      <c r="AV18" s="32">
        <v>46</v>
      </c>
      <c r="AW18" s="32">
        <v>47</v>
      </c>
      <c r="AX18" s="32">
        <v>48</v>
      </c>
      <c r="AY18" s="32">
        <v>49</v>
      </c>
      <c r="AZ18" s="32">
        <v>50</v>
      </c>
      <c r="BA18" s="33"/>
    </row>
    <row r="19" spans="2:53" x14ac:dyDescent="0.2">
      <c r="B19" s="34">
        <v>1</v>
      </c>
      <c r="C19" s="71">
        <f>RSeed!C19*(1-(MOVE!$C$6/RSeed!C19))</f>
        <v>1.2507578750764589E-2</v>
      </c>
      <c r="D19" s="70">
        <f>RSeed!D19*(1-(MOVE!$C$6/RSeed!D19))</f>
        <v>1.2507578750764589E-2</v>
      </c>
      <c r="E19" s="70">
        <f>RSeed!E19*(1-(MOVE!$C$6/RSeed!E19))</f>
        <v>1.2507578750764589E-2</v>
      </c>
      <c r="F19" s="70">
        <f>RSeed!F19*(1-(MOVE!$C$6/RSeed!F19))</f>
        <v>1.2507578750764589E-2</v>
      </c>
      <c r="G19" s="70">
        <f>RSeed!G19*(1-(MOVE!$C$6/RSeed!G19))</f>
        <v>1.2507578750764589E-2</v>
      </c>
      <c r="H19" s="70">
        <f>RSeed!H19*(1-(MOVE!$C$6/RSeed!H19))</f>
        <v>1.2507578750764589E-2</v>
      </c>
      <c r="I19" s="70">
        <f>RSeed!I19*(1-(MOVE!$C$6/RSeed!I19))</f>
        <v>1.2507578750764589E-2</v>
      </c>
      <c r="J19" s="70">
        <f>RSeed!J19*(1-(MOVE!$C$6/RSeed!J19))</f>
        <v>1.2507578750764589E-2</v>
      </c>
      <c r="K19" s="70">
        <f>RSeed!K19*(1-(MOVE!$C$6/RSeed!K19))</f>
        <v>1.2507578750764589E-2</v>
      </c>
      <c r="L19" s="70">
        <f>RSeed!L19*(1-(MOVE!$C$6/RSeed!L19))</f>
        <v>1.2507578750764589E-2</v>
      </c>
      <c r="M19" s="70">
        <f>RSeed!M19*(1-(MOVE!$C$6/RSeed!M19))</f>
        <v>1.2507578750764589E-2</v>
      </c>
      <c r="N19" s="70">
        <f>RSeed!N19*(1-(MOVE!$C$6/RSeed!N19))</f>
        <v>1.2507578750764589E-2</v>
      </c>
      <c r="O19" s="70">
        <f>RSeed!O19*(1-(MOVE!$C$6/RSeed!O19))</f>
        <v>1.2507578750764589E-2</v>
      </c>
      <c r="P19" s="70">
        <f>RSeed!P19*(1-(MOVE!$C$6/RSeed!P19))</f>
        <v>1.2507578750764589E-2</v>
      </c>
      <c r="Q19" s="70">
        <f>RSeed!Q19*(1-(MOVE!$C$6/RSeed!Q19))</f>
        <v>1.2507578750764589E-2</v>
      </c>
      <c r="R19" s="70">
        <f>RSeed!R19*(1-(MOVE!$C$6/RSeed!R19))</f>
        <v>1.2507578750764589E-2</v>
      </c>
      <c r="S19" s="70">
        <f>RSeed!S19*(1-(MOVE!$C$6/RSeed!S19))</f>
        <v>1.2507578750764589E-2</v>
      </c>
      <c r="T19" s="70">
        <f>RSeed!T19*(1-(MOVE!$C$6/RSeed!T19))</f>
        <v>1.2507578750764589E-2</v>
      </c>
      <c r="U19" s="70">
        <f>RSeed!U19*(1-(MOVE!$C$6/RSeed!U19))</f>
        <v>1.2507578750764589E-2</v>
      </c>
      <c r="V19" s="70">
        <f>RSeed!V19*(1-(MOVE!$C$6/RSeed!V19))</f>
        <v>1.2507578750764589E-2</v>
      </c>
      <c r="W19" s="70">
        <f>RSeed!W19*(1-(MOVE!$C$6/RSeed!W19))</f>
        <v>1.2507578750764589E-2</v>
      </c>
      <c r="X19" s="70">
        <f>RSeed!X19*(1-(MOVE!$C$6/RSeed!X19))</f>
        <v>1.2507578750764589E-2</v>
      </c>
      <c r="Y19" s="70">
        <f>RSeed!Y19*(1-(MOVE!$C$6/RSeed!Y19))</f>
        <v>1.2507578750764589E-2</v>
      </c>
      <c r="Z19" s="70">
        <f>RSeed!Z19*(1-(MOVE!$C$6/RSeed!Z19))</f>
        <v>1.2507578750764589E-2</v>
      </c>
      <c r="AA19" s="70">
        <f>RSeed!AA19*(1-(MOVE!$C$6/RSeed!AA19))</f>
        <v>1.2507578750764589E-2</v>
      </c>
      <c r="AB19" s="70">
        <f>RSeed!AB19*(1-(MOVE!$C$6/RSeed!AB19))</f>
        <v>1.2507578750764589E-2</v>
      </c>
      <c r="AC19" s="70">
        <f>RSeed!AC19*(1-(MOVE!$C$6/RSeed!AC19))</f>
        <v>1.2507578750764589E-2</v>
      </c>
      <c r="AD19" s="70">
        <f>RSeed!AD19*(1-(MOVE!$C$6/RSeed!AD19))</f>
        <v>1.2507578750764589E-2</v>
      </c>
      <c r="AE19" s="70">
        <f>RSeed!AE19*(1-(MOVE!$C$6/RSeed!AE19))</f>
        <v>1.2507578750764589E-2</v>
      </c>
      <c r="AF19" s="70">
        <f>RSeed!AF19*(1-(MOVE!$C$6/RSeed!AF19))</f>
        <v>1.2507578750764589E-2</v>
      </c>
      <c r="AG19" s="70">
        <f>RSeed!AG19*(1-(MOVE!$C$6/RSeed!AG19))</f>
        <v>1.2507578750764589E-2</v>
      </c>
      <c r="AH19" s="70">
        <f>RSeed!AH19*(1-(MOVE!$C$6/RSeed!AH19))</f>
        <v>1.2507578750764589E-2</v>
      </c>
      <c r="AI19" s="70">
        <f>RSeed!AI19*(1-(MOVE!$C$6/RSeed!AI19))</f>
        <v>1.2507578750764589E-2</v>
      </c>
      <c r="AJ19" s="70">
        <f>RSeed!AJ19*(1-(MOVE!$C$6/RSeed!AJ19))</f>
        <v>1.2507578750764589E-2</v>
      </c>
      <c r="AK19" s="70">
        <f>RSeed!AK19*(1-(MOVE!$C$6/RSeed!AK19))</f>
        <v>1.2507578750764589E-2</v>
      </c>
      <c r="AL19" s="70">
        <f>RSeed!AL19*(1-(MOVE!$C$6/RSeed!AL19))</f>
        <v>1.2507578750764589E-2</v>
      </c>
      <c r="AM19" s="70">
        <f>RSeed!AM19*(1-(MOVE!$C$6/RSeed!AM19))</f>
        <v>1.2507578750764589E-2</v>
      </c>
      <c r="AN19" s="70">
        <f>RSeed!AN19*(1-(MOVE!$C$6/RSeed!AN19))</f>
        <v>1.2507578750764589E-2</v>
      </c>
      <c r="AO19" s="70">
        <f>RSeed!AO19*(1-(MOVE!$C$6/RSeed!AO19))</f>
        <v>1.2507578750764589E-2</v>
      </c>
      <c r="AP19" s="70">
        <f>RSeed!AP19*(1-(MOVE!$C$6/RSeed!AP19))</f>
        <v>1.2507578750764589E-2</v>
      </c>
      <c r="AQ19" s="70">
        <f>RSeed!AQ19*(1-(MOVE!$C$6/RSeed!AQ19))</f>
        <v>1.2507578750764589E-2</v>
      </c>
      <c r="AR19" s="70">
        <f>RSeed!AR19*(1-(MOVE!$X$6/RSeed!AR19))</f>
        <v>1.2507578750764589E-2</v>
      </c>
      <c r="AS19" s="70">
        <f>RSeed!AS19*(1-(MOVE!$X$6/RSeed!AS19))</f>
        <v>1.2507578750764589E-2</v>
      </c>
      <c r="AT19" s="70">
        <f>RSeed!AT19*(1-(MOVE!$X$6/RSeed!AT19))</f>
        <v>1.2507578750764589E-2</v>
      </c>
      <c r="AU19" s="70">
        <f>RSeed!AU19*(1-(MOVE!$X$6/RSeed!AU19))</f>
        <v>1.2507578750764589E-2</v>
      </c>
      <c r="AV19" s="70">
        <f>RSeed!AV19*(1-(MOVE!$X$6/RSeed!AV19))</f>
        <v>1.2507578750764589E-2</v>
      </c>
      <c r="AW19" s="70">
        <f>RSeed!AW19*(1-(MOVE!$X$6/RSeed!AW19))</f>
        <v>1.2507578750764589E-2</v>
      </c>
      <c r="AX19" s="70">
        <f>RSeed!AX19*(1-(MOVE!$X$6/RSeed!AX19))</f>
        <v>1.2507578750764589E-2</v>
      </c>
      <c r="AY19" s="70">
        <f>RSeed!AY19*(1-(MOVE!$X$6/RSeed!AY19))</f>
        <v>1.2507578750764589E-2</v>
      </c>
      <c r="AZ19" s="85">
        <f>RSeed!AZ19*(1-(MOVE!$X$6/RSeed!AZ19))</f>
        <v>1.2507578750764589E-2</v>
      </c>
      <c r="BA19" s="35">
        <v>1</v>
      </c>
    </row>
    <row r="20" spans="2:53" x14ac:dyDescent="0.2">
      <c r="B20" s="34">
        <v>2</v>
      </c>
      <c r="C20" s="72">
        <f>RSeed!C20*(1-(MOVE!$C$6/RSeed!C20))</f>
        <v>1.2507578750764589E-2</v>
      </c>
      <c r="D20" s="31">
        <f>RSeed!D20*(1-(MOVE!$C$6/RSeed!D20))</f>
        <v>1.2507578750764589E-2</v>
      </c>
      <c r="E20" s="76">
        <f>RSeed!E20*(1-(MOVE!$C$6/RSeed!E20))</f>
        <v>1.2507578750764589E-2</v>
      </c>
      <c r="F20" s="76">
        <f>RSeed!F20*(1-(MOVE!$C$6/RSeed!F20))</f>
        <v>1.2507578750764589E-2</v>
      </c>
      <c r="G20" s="76">
        <f>RSeed!G20*(1-(MOVE!$C$6/RSeed!G20))</f>
        <v>1.2507578750764589E-2</v>
      </c>
      <c r="H20" s="76">
        <f>RSeed!H20*(1-(MOVE!$C$6/RSeed!H20))</f>
        <v>1.2507578750764589E-2</v>
      </c>
      <c r="I20" s="76">
        <f>RSeed!I20*(1-(MOVE!$C$6/RSeed!I20))</f>
        <v>1.2507578750764589E-2</v>
      </c>
      <c r="J20" s="76">
        <f>RSeed!J20*(1-(MOVE!$C$6/RSeed!J20))</f>
        <v>1.2507578750764589E-2</v>
      </c>
      <c r="K20" s="76">
        <f>RSeed!K20*(1-(MOVE!$C$6/RSeed!K20))</f>
        <v>1.2507578750764589E-2</v>
      </c>
      <c r="L20" s="76">
        <f>RSeed!L20*(1-(MOVE!$C$6/RSeed!L20))</f>
        <v>1.2507578750764589E-2</v>
      </c>
      <c r="M20" s="76">
        <f>RSeed!M20*(1-(MOVE!$C$6/RSeed!M20))</f>
        <v>1.2507578750764589E-2</v>
      </c>
      <c r="N20" s="76">
        <f>RSeed!N20*(1-(MOVE!$C$6/RSeed!N20))</f>
        <v>1.2507578750764589E-2</v>
      </c>
      <c r="O20" s="76">
        <f>RSeed!O20*(1-(MOVE!$C$6/RSeed!O20))</f>
        <v>1.2507578750764589E-2</v>
      </c>
      <c r="P20" s="76">
        <f>RSeed!P20*(1-(MOVE!$C$6/RSeed!P20))</f>
        <v>1.2507578750764589E-2</v>
      </c>
      <c r="Q20" s="76">
        <f>RSeed!Q20*(1-(MOVE!$C$6/RSeed!Q20))</f>
        <v>1.2507578750764589E-2</v>
      </c>
      <c r="R20" s="76">
        <f>RSeed!R20*(1-(MOVE!$C$6/RSeed!R20))</f>
        <v>1.2507578750764589E-2</v>
      </c>
      <c r="S20" s="76">
        <f>RSeed!S20*(1-(MOVE!$C$6/RSeed!S20))</f>
        <v>1.2507578750764589E-2</v>
      </c>
      <c r="T20" s="76">
        <f>RSeed!T20*(1-(MOVE!$C$6/RSeed!T20))</f>
        <v>1.2507578750764589E-2</v>
      </c>
      <c r="U20" s="76">
        <f>RSeed!U20*(1-(MOVE!$C$6/RSeed!U20))</f>
        <v>1.2507578750764589E-2</v>
      </c>
      <c r="V20" s="76">
        <f>RSeed!V20*(1-(MOVE!$C$6/RSeed!V20))</f>
        <v>1.2507578750764589E-2</v>
      </c>
      <c r="W20" s="76">
        <f>RSeed!W20*(1-(MOVE!$C$6/RSeed!W20))</f>
        <v>1.2507578750764589E-2</v>
      </c>
      <c r="X20" s="76">
        <f>RSeed!X20*(1-(MOVE!$C$6/RSeed!X20))</f>
        <v>1.2507578750764589E-2</v>
      </c>
      <c r="Y20" s="76">
        <f>RSeed!Y20*(1-(MOVE!$C$6/RSeed!Y20))</f>
        <v>1.2507578750764589E-2</v>
      </c>
      <c r="Z20" s="76">
        <f>RSeed!Z20*(1-(MOVE!$C$6/RSeed!Z20))</f>
        <v>1.2507578750764589E-2</v>
      </c>
      <c r="AA20" s="76">
        <f>RSeed!AA20*(1-(MOVE!$C$6/RSeed!AA20))</f>
        <v>1.2507578750764589E-2</v>
      </c>
      <c r="AB20" s="76">
        <f>RSeed!AB20*(1-(MOVE!$C$6/RSeed!AB20))</f>
        <v>1.2507578750764589E-2</v>
      </c>
      <c r="AC20" s="76">
        <f>RSeed!AC20*(1-(MOVE!$C$6/RSeed!AC20))</f>
        <v>1.2507578750764589E-2</v>
      </c>
      <c r="AD20" s="76">
        <f>RSeed!AD20*(1-(MOVE!$C$6/RSeed!AD20))</f>
        <v>1.2507578750764589E-2</v>
      </c>
      <c r="AE20" s="76">
        <f>RSeed!AE20*(1-(MOVE!$C$6/RSeed!AE20))</f>
        <v>1.2507578750764589E-2</v>
      </c>
      <c r="AF20" s="76">
        <f>RSeed!AF20*(1-(MOVE!$C$6/RSeed!AF20))</f>
        <v>1.2507578750764589E-2</v>
      </c>
      <c r="AG20" s="76">
        <f>RSeed!AG20*(1-(MOVE!$C$6/RSeed!AG20))</f>
        <v>1.2507578750764589E-2</v>
      </c>
      <c r="AH20" s="76">
        <f>RSeed!AH20*(1-(MOVE!$C$6/RSeed!AH20))</f>
        <v>1.2507578750764589E-2</v>
      </c>
      <c r="AI20" s="76">
        <f>RSeed!AI20*(1-(MOVE!$C$6/RSeed!AI20))</f>
        <v>1.2507578750764589E-2</v>
      </c>
      <c r="AJ20" s="76">
        <f>RSeed!AJ20*(1-(MOVE!$C$6/RSeed!AJ20))</f>
        <v>1.2507578750764589E-2</v>
      </c>
      <c r="AK20" s="76">
        <f>RSeed!AK20*(1-(MOVE!$C$6/RSeed!AK20))</f>
        <v>1.2507578750764589E-2</v>
      </c>
      <c r="AL20" s="76">
        <f>RSeed!AL20*(1-(MOVE!$C$6/RSeed!AL20))</f>
        <v>1.2507578750764589E-2</v>
      </c>
      <c r="AM20" s="76">
        <f>RSeed!AM20*(1-(MOVE!$C$6/RSeed!AM20))</f>
        <v>1.2507578750764589E-2</v>
      </c>
      <c r="AN20" s="76">
        <f>RSeed!AN20*(1-(MOVE!$C$6/RSeed!AN20))</f>
        <v>1.2507578750764589E-2</v>
      </c>
      <c r="AO20" s="76">
        <f>RSeed!AO20*(1-(MOVE!$C$6/RSeed!AO20))</f>
        <v>1.2507578750764589E-2</v>
      </c>
      <c r="AP20" s="76">
        <f>RSeed!AP20*(1-(MOVE!$C$6/RSeed!AP20))</f>
        <v>1.2507578750764589E-2</v>
      </c>
      <c r="AQ20" s="33">
        <f>RSeed!AQ20*(1-(MOVE!$C$6/RSeed!AQ20))</f>
        <v>1.2507578750764589E-2</v>
      </c>
      <c r="AR20" s="91">
        <f>RSeed!AR20*(1-(MOVE!$X$6/RSeed!AR20))</f>
        <v>1.2507578750764589E-2</v>
      </c>
      <c r="AS20" s="84">
        <f>RSeed!AS20*(1-(MOVE!$X$6/RSeed!AS20))</f>
        <v>1.2507578750764589E-2</v>
      </c>
      <c r="AT20" s="84">
        <f>RSeed!AT20*(1-(MOVE!$X$6/RSeed!AT20))</f>
        <v>1.2507578750764589E-2</v>
      </c>
      <c r="AU20" s="84">
        <f>RSeed!AU20*(1-(MOVE!$X$6/RSeed!AU20))</f>
        <v>1.2507578750764589E-2</v>
      </c>
      <c r="AV20" s="84">
        <f>RSeed!AV20*(1-(MOVE!$X$6/RSeed!AV20))</f>
        <v>1.2507578750764589E-2</v>
      </c>
      <c r="AW20" s="84">
        <f>RSeed!AW20*(1-(MOVE!$X$6/RSeed!AW20))</f>
        <v>1.2507578750764589E-2</v>
      </c>
      <c r="AX20" s="84">
        <f>RSeed!AX20*(1-(MOVE!$X$6/RSeed!AX20))</f>
        <v>1.2507578750764589E-2</v>
      </c>
      <c r="AY20" s="111">
        <f>RSeed!AY20*(1-(MOVE!$X$6/RSeed!AY20))</f>
        <v>1.2507578750764589E-2</v>
      </c>
      <c r="AZ20" s="72">
        <f>RSeed!AZ20*(1-(MOVE!$X$6/RSeed!AZ20))</f>
        <v>1.2507578750764589E-2</v>
      </c>
      <c r="BA20" s="35">
        <v>2</v>
      </c>
    </row>
    <row r="21" spans="2:53" x14ac:dyDescent="0.2">
      <c r="B21" s="34">
        <v>3</v>
      </c>
      <c r="C21" s="72">
        <f>RSeed!C21*(1-(MOVE!$C$6/RSeed!C21))</f>
        <v>1.2507578750764589E-2</v>
      </c>
      <c r="D21" s="74">
        <f>RSeed!D21*(1-(MOVE!$C$6/RSeed!D21))</f>
        <v>1.2507578750764589E-2</v>
      </c>
      <c r="E21" s="75">
        <f>RSeed!E21*(1-(MOVE!$C$6/RSeed!E21))</f>
        <v>1.2507578750764589E-2</v>
      </c>
      <c r="F21" s="75">
        <f>RSeed!F21*(1-(MOVE!$C$6/RSeed!F21))</f>
        <v>1.2507578750764589E-2</v>
      </c>
      <c r="G21" s="75">
        <f>RSeed!G21*(1-(MOVE!$C$6/RSeed!G21))</f>
        <v>1.2507578750764589E-2</v>
      </c>
      <c r="H21" s="75">
        <f>RSeed!H21*(1-(MOVE!$C$6/RSeed!H21))</f>
        <v>1.2507578750764589E-2</v>
      </c>
      <c r="I21" s="75">
        <f>RSeed!I21*(1-(MOVE!$C$6/RSeed!I21))</f>
        <v>1.2507578750764589E-2</v>
      </c>
      <c r="J21" s="75">
        <f>RSeed!J21*(1-(MOVE!$C$6/RSeed!J21))</f>
        <v>1.2507578750764589E-2</v>
      </c>
      <c r="K21" s="75">
        <f>RSeed!K21*(1-(MOVE!$C$6/RSeed!K21))</f>
        <v>1.2507578750764589E-2</v>
      </c>
      <c r="L21" s="75">
        <f>RSeed!L21*(1-(MOVE!$C$6/RSeed!L21))</f>
        <v>1.2507578750764589E-2</v>
      </c>
      <c r="M21" s="75">
        <f>RSeed!M21*(1-(MOVE!$C$6/RSeed!M21))</f>
        <v>1.2507578750764589E-2</v>
      </c>
      <c r="N21" s="75">
        <f>RSeed!N21*(1-(MOVE!$C$6/RSeed!N21))</f>
        <v>1.2507578750764589E-2</v>
      </c>
      <c r="O21" s="75">
        <f>RSeed!O21*(1-(MOVE!$C$6/RSeed!O21))</f>
        <v>1.2507578750764589E-2</v>
      </c>
      <c r="P21" s="75">
        <f>RSeed!P21*(1-(MOVE!$C$6/RSeed!P21))</f>
        <v>1.2507578750764589E-2</v>
      </c>
      <c r="Q21" s="75">
        <f>RSeed!Q21*(1-(MOVE!$C$6/RSeed!Q21))</f>
        <v>1.2507578750764589E-2</v>
      </c>
      <c r="R21" s="75">
        <f>RSeed!R21*(1-(MOVE!$C$6/RSeed!R21))</f>
        <v>1.2507578750764589E-2</v>
      </c>
      <c r="S21" s="75">
        <f>RSeed!S21*(1-(MOVE!$C$6/RSeed!S21))</f>
        <v>1.2507578750764589E-2</v>
      </c>
      <c r="T21" s="75">
        <f>RSeed!T21*(1-(MOVE!$C$6/RSeed!T21))</f>
        <v>1.2507578750764589E-2</v>
      </c>
      <c r="U21" s="75">
        <f>RSeed!U21*(1-(MOVE!$C$6/RSeed!U21))</f>
        <v>1.2507578750764589E-2</v>
      </c>
      <c r="V21" s="75">
        <f>RSeed!V21*(1-(MOVE!$C$6/RSeed!V21))</f>
        <v>1.2507578750764589E-2</v>
      </c>
      <c r="W21" s="75">
        <f>RSeed!W21*(1-(MOVE!$C$6/RSeed!W21))</f>
        <v>1.2507578750764589E-2</v>
      </c>
      <c r="X21" s="75">
        <f>RSeed!X21*(1-(MOVE!$C$6/RSeed!X21))</f>
        <v>1.2507578750764589E-2</v>
      </c>
      <c r="Y21" s="75">
        <f>RSeed!Y21*(1-(MOVE!$C$6/RSeed!Y21))</f>
        <v>1.2507578750764589E-2</v>
      </c>
      <c r="Z21" s="75">
        <f>RSeed!Z21*(1-(MOVE!$C$6/RSeed!Z21))</f>
        <v>1.2507578750764589E-2</v>
      </c>
      <c r="AA21" s="75">
        <f>RSeed!AA21*(1-(MOVE!$C$6/RSeed!AA21))</f>
        <v>1.2507578750764589E-2</v>
      </c>
      <c r="AB21" s="75">
        <f>RSeed!AB21*(1-(MOVE!$C$6/RSeed!AB21))</f>
        <v>1.2507578750764589E-2</v>
      </c>
      <c r="AC21" s="75">
        <f>RSeed!AC21*(1-(MOVE!$C$6/RSeed!AC21))</f>
        <v>1.2507578750764589E-2</v>
      </c>
      <c r="AD21" s="75">
        <f>RSeed!AD21*(1-(MOVE!$C$6/RSeed!AD21))</f>
        <v>1.2507578750764589E-2</v>
      </c>
      <c r="AE21" s="75">
        <f>RSeed!AE21*(1-(MOVE!$C$6/RSeed!AE21))</f>
        <v>1.2507578750764589E-2</v>
      </c>
      <c r="AF21" s="75">
        <f>RSeed!AF21*(1-(MOVE!$C$6/RSeed!AF21))</f>
        <v>1.2507578750764589E-2</v>
      </c>
      <c r="AG21" s="75">
        <f>RSeed!AG21*(1-(MOVE!$C$6/RSeed!AG21))</f>
        <v>1.2507578750764589E-2</v>
      </c>
      <c r="AH21" s="75">
        <f>RSeed!AH21*(1-(MOVE!$C$6/RSeed!AH21))</f>
        <v>1.2507578750764589E-2</v>
      </c>
      <c r="AI21" s="75">
        <f>RSeed!AI21*(1-(MOVE!$C$6/RSeed!AI21))</f>
        <v>1.2507578750764589E-2</v>
      </c>
      <c r="AJ21" s="75">
        <f>RSeed!AJ21*(1-(MOVE!$C$6/RSeed!AJ21))</f>
        <v>1.2507578750764589E-2</v>
      </c>
      <c r="AK21" s="75">
        <f>RSeed!AK21*(1-(MOVE!$C$6/RSeed!AK21))</f>
        <v>1.2507578750764589E-2</v>
      </c>
      <c r="AL21" s="75">
        <f>RSeed!AL21*(1-(MOVE!$C$6/RSeed!AL21))</f>
        <v>1.2507578750764589E-2</v>
      </c>
      <c r="AM21" s="75">
        <f>RSeed!AM21*(1-(MOVE!$C$6/RSeed!AM21))</f>
        <v>1.2507578750764589E-2</v>
      </c>
      <c r="AN21" s="75">
        <f>RSeed!AN21*(1-(MOVE!$C$6/RSeed!AN21))</f>
        <v>1.2507578750764589E-2</v>
      </c>
      <c r="AO21" s="75">
        <f>RSeed!AO21*(1-(MOVE!$C$6/RSeed!AO21))</f>
        <v>1.2507578750764589E-2</v>
      </c>
      <c r="AP21" s="75">
        <f>RSeed!AP21*(1-(MOVE!$C$6/RSeed!AP21))</f>
        <v>1.2507578750764589E-2</v>
      </c>
      <c r="AQ21" s="94">
        <f>RSeed!AQ21*(1-(MOVE!$C$6/RSeed!AQ21))</f>
        <v>1.2507578750764589E-2</v>
      </c>
      <c r="AR21" s="92">
        <f>RSeed!AR21*(1-(MOVE!$X$6/RSeed!AR21))</f>
        <v>1.2507578750764589E-2</v>
      </c>
      <c r="AS21" s="86">
        <f>RSeed!AS21*(1-(MOVE!$X$6/RSeed!AS21))</f>
        <v>1.2507578750764589E-2</v>
      </c>
      <c r="AT21" s="86">
        <f>RSeed!AT21*(1-(MOVE!$X$6/RSeed!AT21))</f>
        <v>1.2507578750764589E-2</v>
      </c>
      <c r="AU21" s="86">
        <f>RSeed!AU21*(1-(MOVE!$X$6/RSeed!AU21))</f>
        <v>1.2507578750764589E-2</v>
      </c>
      <c r="AV21" s="86">
        <f>RSeed!AV21*(1-(MOVE!$X$6/RSeed!AV21))</f>
        <v>1.2507578750764589E-2</v>
      </c>
      <c r="AW21" s="86">
        <f>RSeed!AW21*(1-(MOVE!$X$6/RSeed!AW21))</f>
        <v>1.2507578750764589E-2</v>
      </c>
      <c r="AX21" s="86">
        <f>RSeed!AX21*(1-(MOVE!$X$6/RSeed!AX21))</f>
        <v>1.2507578750764589E-2</v>
      </c>
      <c r="AY21" s="87">
        <f>RSeed!AY21*(1-(MOVE!$X$6/RSeed!AY21))</f>
        <v>1.2507578750764589E-2</v>
      </c>
      <c r="AZ21" s="72">
        <f>RSeed!AZ21*(1-(MOVE!$X$6/RSeed!AZ21))</f>
        <v>1.2507578750764589E-2</v>
      </c>
      <c r="BA21" s="35">
        <v>3</v>
      </c>
    </row>
    <row r="22" spans="2:53" x14ac:dyDescent="0.2">
      <c r="B22" s="34">
        <v>4</v>
      </c>
      <c r="C22" s="72">
        <f>RSeed!C22*(1-(MOVE!$C$6/RSeed!C22))</f>
        <v>1.2507578750764589E-2</v>
      </c>
      <c r="D22" s="74">
        <f>RSeed!D22*(1-(MOVE!$C$6/RSeed!D22))</f>
        <v>1.2507578750764589E-2</v>
      </c>
      <c r="E22" s="75">
        <f>RSeed!E22*(1-(MOVE!$C$6/RSeed!E22))</f>
        <v>1.2507578750764589E-2</v>
      </c>
      <c r="F22" s="75">
        <f>RSeed!F22*(1-(MOVE!$C$6/RSeed!F22))</f>
        <v>1.2507578750764589E-2</v>
      </c>
      <c r="G22" s="75">
        <f>RSeed!G22*(1-(MOVE!$C$6/RSeed!G22))</f>
        <v>1.2507578750764589E-2</v>
      </c>
      <c r="H22" s="75">
        <f>RSeed!H22*(1-(MOVE!$C$6/RSeed!H22))</f>
        <v>1.2507578750764589E-2</v>
      </c>
      <c r="I22" s="75">
        <f>RSeed!I22*(1-(MOVE!$C$6/RSeed!I22))</f>
        <v>1.2507578750764589E-2</v>
      </c>
      <c r="J22" s="75">
        <f>RSeed!J22*(1-(MOVE!$C$6/RSeed!J22))</f>
        <v>1.2507578750764589E-2</v>
      </c>
      <c r="K22" s="75">
        <f>RSeed!K22*(1-(MOVE!$C$6/RSeed!K22))</f>
        <v>1.2507578750764589E-2</v>
      </c>
      <c r="L22" s="75">
        <f>RSeed!L22*(1-(MOVE!$C$6/RSeed!L22))</f>
        <v>1.2507578750764589E-2</v>
      </c>
      <c r="M22" s="75">
        <f>RSeed!M22*(1-(MOVE!$C$6/RSeed!M22))</f>
        <v>1.2507578750764589E-2</v>
      </c>
      <c r="N22" s="75">
        <f>RSeed!N22*(1-(MOVE!$C$6/RSeed!N22))</f>
        <v>1.2507578750764589E-2</v>
      </c>
      <c r="O22" s="75">
        <f>RSeed!O22*(1-(MOVE!$C$6/RSeed!O22))</f>
        <v>1.2507578750764589E-2</v>
      </c>
      <c r="P22" s="75">
        <f>RSeed!P22*(1-(MOVE!$C$6/RSeed!P22))</f>
        <v>1.2507578750764589E-2</v>
      </c>
      <c r="Q22" s="75">
        <f>RSeed!Q22*(1-(MOVE!$C$6/RSeed!Q22))</f>
        <v>1.2507578750764589E-2</v>
      </c>
      <c r="R22" s="75">
        <f>RSeed!R22*(1-(MOVE!$C$6/RSeed!R22))</f>
        <v>1.2507578750764589E-2</v>
      </c>
      <c r="S22" s="75">
        <f>RSeed!S22*(1-(MOVE!$C$6/RSeed!S22))</f>
        <v>1.2507578750764589E-2</v>
      </c>
      <c r="T22" s="75">
        <f>RSeed!T22*(1-(MOVE!$C$6/RSeed!T22))</f>
        <v>1.2507578750764589E-2</v>
      </c>
      <c r="U22" s="75">
        <f>RSeed!U22*(1-(MOVE!$C$6/RSeed!U22))</f>
        <v>1.2507578750764589E-2</v>
      </c>
      <c r="V22" s="75">
        <f>RSeed!V22*(1-(MOVE!$C$6/RSeed!V22))</f>
        <v>1.2507578750764589E-2</v>
      </c>
      <c r="W22" s="75">
        <f>RSeed!W22*(1-(MOVE!$C$6/RSeed!W22))</f>
        <v>1.2507578750764589E-2</v>
      </c>
      <c r="X22" s="75">
        <f>RSeed!X22*(1-(MOVE!$C$6/RSeed!X22))</f>
        <v>1.2507578750764589E-2</v>
      </c>
      <c r="Y22" s="75">
        <f>RSeed!Y22*(1-(MOVE!$C$6/RSeed!Y22))</f>
        <v>1.2507578750764589E-2</v>
      </c>
      <c r="Z22" s="75">
        <f>RSeed!Z22*(1-(MOVE!$C$6/RSeed!Z22))</f>
        <v>1.2507578750764589E-2</v>
      </c>
      <c r="AA22" s="75">
        <f>RSeed!AA22*(1-(MOVE!$C$6/RSeed!AA22))</f>
        <v>1.2507578750764589E-2</v>
      </c>
      <c r="AB22" s="75">
        <f>RSeed!AB22*(1-(MOVE!$C$6/RSeed!AB22))</f>
        <v>1.2507578750764589E-2</v>
      </c>
      <c r="AC22" s="75">
        <f>RSeed!AC22*(1-(MOVE!$C$6/RSeed!AC22))</f>
        <v>1.2507578750764589E-2</v>
      </c>
      <c r="AD22" s="75">
        <f>RSeed!AD22*(1-(MOVE!$C$6/RSeed!AD22))</f>
        <v>1.2507578750764589E-2</v>
      </c>
      <c r="AE22" s="75">
        <f>RSeed!AE22*(1-(MOVE!$C$6/RSeed!AE22))</f>
        <v>1.2507578750764589E-2</v>
      </c>
      <c r="AF22" s="75">
        <f>RSeed!AF22*(1-(MOVE!$C$6/RSeed!AF22))</f>
        <v>1.2507578750764589E-2</v>
      </c>
      <c r="AG22" s="75">
        <f>RSeed!AG22*(1-(MOVE!$C$6/RSeed!AG22))</f>
        <v>1.2507578750764589E-2</v>
      </c>
      <c r="AH22" s="75">
        <f>RSeed!AH22*(1-(MOVE!$C$6/RSeed!AH22))</f>
        <v>1.2507578750764589E-2</v>
      </c>
      <c r="AI22" s="75">
        <f>RSeed!AI22*(1-(MOVE!$C$6/RSeed!AI22))</f>
        <v>1.2507578750764589E-2</v>
      </c>
      <c r="AJ22" s="75">
        <f>RSeed!AJ22*(1-(MOVE!$C$6/RSeed!AJ22))</f>
        <v>1.2507578750764589E-2</v>
      </c>
      <c r="AK22" s="75">
        <f>RSeed!AK22*(1-(MOVE!$C$6/RSeed!AK22))</f>
        <v>1.2507578750764589E-2</v>
      </c>
      <c r="AL22" s="75">
        <f>RSeed!AL22*(1-(MOVE!$C$6/RSeed!AL22))</f>
        <v>1.2507578750764589E-2</v>
      </c>
      <c r="AM22" s="75">
        <f>RSeed!AM22*(1-(MOVE!$C$6/RSeed!AM22))</f>
        <v>1.2507578750764589E-2</v>
      </c>
      <c r="AN22" s="75">
        <f>RSeed!AN22*(1-(MOVE!$C$6/RSeed!AN22))</f>
        <v>1.2507578750764589E-2</v>
      </c>
      <c r="AO22" s="75">
        <f>RSeed!AO22*(1-(MOVE!$C$6/RSeed!AO22))</f>
        <v>1.2507578750764589E-2</v>
      </c>
      <c r="AP22" s="75">
        <f>RSeed!AP22*(1-(MOVE!$C$6/RSeed!AP22))</f>
        <v>1.2507578750764589E-2</v>
      </c>
      <c r="AQ22" s="94">
        <f>RSeed!AQ22*(1-(MOVE!$C$6/RSeed!AQ22))</f>
        <v>1.2507578750764589E-2</v>
      </c>
      <c r="AR22" s="92">
        <f>RSeed!AR22*(1-(MOVE!$X$6/RSeed!AR22))</f>
        <v>1.2507578750764589E-2</v>
      </c>
      <c r="AS22" s="86">
        <f>RSeed!AS22*(1-(MOVE!$X$6/RSeed!AS22))</f>
        <v>1.2507578750764589E-2</v>
      </c>
      <c r="AT22" s="86">
        <f>RSeed!AT22*(1-(MOVE!$X$6/RSeed!AT22))</f>
        <v>1.2507578750764589E-2</v>
      </c>
      <c r="AU22" s="86">
        <f>RSeed!AU22*(1-(MOVE!$X$6/RSeed!AU22))</f>
        <v>1.2507578750764589E-2</v>
      </c>
      <c r="AV22" s="86">
        <f>RSeed!AV22*(1-(MOVE!$X$6/RSeed!AV22))</f>
        <v>1.2507578750764589E-2</v>
      </c>
      <c r="AW22" s="86">
        <f>RSeed!AW22*(1-(MOVE!$X$6/RSeed!AW22))</f>
        <v>1.2507578750764589E-2</v>
      </c>
      <c r="AX22" s="86">
        <f>RSeed!AX22*(1-(MOVE!$X$6/RSeed!AX22))</f>
        <v>1.2507578750764589E-2</v>
      </c>
      <c r="AY22" s="87">
        <f>RSeed!AY22*(1-(MOVE!$X$6/RSeed!AY22))</f>
        <v>1.2507578750764589E-2</v>
      </c>
      <c r="AZ22" s="72">
        <f>RSeed!AZ22*(1-(MOVE!$X$6/RSeed!AZ22))</f>
        <v>1.2507578750764589E-2</v>
      </c>
      <c r="BA22" s="35">
        <v>4</v>
      </c>
    </row>
    <row r="23" spans="2:53" x14ac:dyDescent="0.2">
      <c r="B23" s="34">
        <v>5</v>
      </c>
      <c r="C23" s="72">
        <f>RSeed!C23*(1-(MOVE!$C$6/RSeed!C23))</f>
        <v>1.2507578750764589E-2</v>
      </c>
      <c r="D23" s="74">
        <f>RSeed!D23*(1-(MOVE!$C$6/RSeed!D23))</f>
        <v>1.2507578750764589E-2</v>
      </c>
      <c r="E23" s="75">
        <f>RSeed!E23*(1-(MOVE!$C$6/RSeed!E23))</f>
        <v>1.2507578750764589E-2</v>
      </c>
      <c r="F23" s="75">
        <f>RSeed!F23*(1-(MOVE!$C$6/RSeed!F23))</f>
        <v>1.2507578750764589E-2</v>
      </c>
      <c r="G23" s="75">
        <f>RSeed!G23*(1-(MOVE!$C$6/RSeed!G23))</f>
        <v>1.2507578750764589E-2</v>
      </c>
      <c r="H23" s="75">
        <f>RSeed!H23*(1-(MOVE!$C$6/RSeed!H23))</f>
        <v>1.2507578750764589E-2</v>
      </c>
      <c r="I23" s="75">
        <f>RSeed!I23*(1-(MOVE!$C$6/RSeed!I23))</f>
        <v>1.2507578750764589E-2</v>
      </c>
      <c r="J23" s="75">
        <f>RSeed!J23*(1-(MOVE!$C$6/RSeed!J23))</f>
        <v>1.2507578750764589E-2</v>
      </c>
      <c r="K23" s="75">
        <f>RSeed!K23*(1-(MOVE!$C$6/RSeed!K23))</f>
        <v>1.2507578750764589E-2</v>
      </c>
      <c r="L23" s="75">
        <f>RSeed!L23*(1-(MOVE!$C$6/RSeed!L23))</f>
        <v>1.2507578750764589E-2</v>
      </c>
      <c r="M23" s="75">
        <f>RSeed!M23*(1-(MOVE!$C$6/RSeed!M23))</f>
        <v>1.2507578750764589E-2</v>
      </c>
      <c r="N23" s="75">
        <f>RSeed!N23*(1-(MOVE!$C$6/RSeed!N23))</f>
        <v>1.2507578750764589E-2</v>
      </c>
      <c r="O23" s="75">
        <f>RSeed!O23*(1-(MOVE!$C$6/RSeed!O23))</f>
        <v>1.2507578750764589E-2</v>
      </c>
      <c r="P23" s="75">
        <f>RSeed!P23*(1-(MOVE!$C$6/RSeed!P23))</f>
        <v>1.2507578750764589E-2</v>
      </c>
      <c r="Q23" s="75">
        <f>RSeed!Q23*(1-(MOVE!$C$6/RSeed!Q23))</f>
        <v>1.2507578750764589E-2</v>
      </c>
      <c r="R23" s="75">
        <f>RSeed!R23*(1-(MOVE!$C$6/RSeed!R23))</f>
        <v>1.2507578750764589E-2</v>
      </c>
      <c r="S23" s="75">
        <f>RSeed!S23*(1-(MOVE!$C$6/RSeed!S23))</f>
        <v>1.2507578750764589E-2</v>
      </c>
      <c r="T23" s="75">
        <f>RSeed!T23*(1-(MOVE!$C$6/RSeed!T23))</f>
        <v>1.2507578750764589E-2</v>
      </c>
      <c r="U23" s="75">
        <f>RSeed!U23*(1-(MOVE!$C$6/RSeed!U23))</f>
        <v>1.2507578750764589E-2</v>
      </c>
      <c r="V23" s="75">
        <f>RSeed!V23*(1-(MOVE!$C$6/RSeed!V23))</f>
        <v>1.2507578750764589E-2</v>
      </c>
      <c r="W23" s="75">
        <f>RSeed!W23*(1-(MOVE!$C$6/RSeed!W23))</f>
        <v>1.2507578750764589E-2</v>
      </c>
      <c r="X23" s="75">
        <f>RSeed!X23*(1-(MOVE!$C$6/RSeed!X23))</f>
        <v>1.2507578750764589E-2</v>
      </c>
      <c r="Y23" s="75">
        <f>RSeed!Y23*(1-(MOVE!$C$6/RSeed!Y23))</f>
        <v>1.2507578750764589E-2</v>
      </c>
      <c r="Z23" s="75">
        <f>RSeed!Z23*(1-(MOVE!$C$6/RSeed!Z23))</f>
        <v>1.2507578750764589E-2</v>
      </c>
      <c r="AA23" s="75">
        <f>RSeed!AA23*(1-(MOVE!$C$6/RSeed!AA23))</f>
        <v>1.2507578750764589E-2</v>
      </c>
      <c r="AB23" s="75">
        <f>RSeed!AB23*(1-(MOVE!$C$6/RSeed!AB23))</f>
        <v>1.2507578750764589E-2</v>
      </c>
      <c r="AC23" s="75">
        <f>RSeed!AC23*(1-(MOVE!$C$6/RSeed!AC23))</f>
        <v>1.2507578750764589E-2</v>
      </c>
      <c r="AD23" s="75">
        <f>RSeed!AD23*(1-(MOVE!$C$6/RSeed!AD23))</f>
        <v>1.2507578750764589E-2</v>
      </c>
      <c r="AE23" s="75">
        <f>RSeed!AE23*(1-(MOVE!$C$6/RSeed!AE23))</f>
        <v>1.2507578750764589E-2</v>
      </c>
      <c r="AF23" s="75">
        <f>RSeed!AF23*(1-(MOVE!$C$6/RSeed!AF23))</f>
        <v>1.2507578750764589E-2</v>
      </c>
      <c r="AG23" s="75">
        <f>RSeed!AG23*(1-(MOVE!$C$6/RSeed!AG23))</f>
        <v>1.2507578750764589E-2</v>
      </c>
      <c r="AH23" s="75">
        <f>RSeed!AH23*(1-(MOVE!$C$6/RSeed!AH23))</f>
        <v>1.2507578750764589E-2</v>
      </c>
      <c r="AI23" s="75">
        <f>RSeed!AI23*(1-(MOVE!$C$6/RSeed!AI23))</f>
        <v>1.2507578750764589E-2</v>
      </c>
      <c r="AJ23" s="75">
        <f>RSeed!AJ23*(1-(MOVE!$C$6/RSeed!AJ23))</f>
        <v>1.2507578750764589E-2</v>
      </c>
      <c r="AK23" s="75">
        <f>RSeed!AK23*(1-(MOVE!$C$6/RSeed!AK23))</f>
        <v>1.2507578750764589E-2</v>
      </c>
      <c r="AL23" s="75">
        <f>RSeed!AL23*(1-(MOVE!$C$6/RSeed!AL23))</f>
        <v>1.2507578750764589E-2</v>
      </c>
      <c r="AM23" s="75">
        <f>RSeed!AM23*(1-(MOVE!$C$6/RSeed!AM23))</f>
        <v>1.2507578750764589E-2</v>
      </c>
      <c r="AN23" s="75">
        <f>RSeed!AN23*(1-(MOVE!$C$6/RSeed!AN23))</f>
        <v>1.2507578750764589E-2</v>
      </c>
      <c r="AO23" s="75">
        <f>RSeed!AO23*(1-(MOVE!$C$6/RSeed!AO23))</f>
        <v>1.2507578750764589E-2</v>
      </c>
      <c r="AP23" s="75">
        <f>RSeed!AP23*(1-(MOVE!$C$6/RSeed!AP23))</f>
        <v>1.2507578750764589E-2</v>
      </c>
      <c r="AQ23" s="94">
        <f>RSeed!AQ23*(1-(MOVE!$C$6/RSeed!AQ23))</f>
        <v>1.2507578750764589E-2</v>
      </c>
      <c r="AR23" s="92">
        <f>RSeed!AR23*(1-(MOVE!$X$6/RSeed!AR23))</f>
        <v>1.2507578750764589E-2</v>
      </c>
      <c r="AS23" s="86">
        <f>RSeed!AS23*(1-(MOVE!$X$6/RSeed!AS23))</f>
        <v>1.2507578750764589E-2</v>
      </c>
      <c r="AT23" s="86">
        <f>RSeed!AT23*(1-(MOVE!$X$6/RSeed!AT23))</f>
        <v>1.2507578750764589E-2</v>
      </c>
      <c r="AU23" s="86">
        <f>RSeed!AU23*(1-(MOVE!$X$6/RSeed!AU23))</f>
        <v>1.2507578750764589E-2</v>
      </c>
      <c r="AV23" s="86">
        <f>RSeed!AV23*(1-(MOVE!$X$6/RSeed!AV23))</f>
        <v>1.2507578750764589E-2</v>
      </c>
      <c r="AW23" s="86">
        <f>RSeed!AW23*(1-(MOVE!$X$6/RSeed!AW23))</f>
        <v>1.2507578750764589E-2</v>
      </c>
      <c r="AX23" s="86">
        <f>RSeed!AX23*(1-(MOVE!$X$6/RSeed!AX23))</f>
        <v>1.2507578750764589E-2</v>
      </c>
      <c r="AY23" s="87">
        <f>RSeed!AY23*(1-(MOVE!$X$6/RSeed!AY23))</f>
        <v>1.2507578750764589E-2</v>
      </c>
      <c r="AZ23" s="72">
        <f>RSeed!AZ23*(1-(MOVE!$X$6/RSeed!AZ23))</f>
        <v>1.2507578750764589E-2</v>
      </c>
      <c r="BA23" s="35">
        <v>5</v>
      </c>
    </row>
    <row r="24" spans="2:53" x14ac:dyDescent="0.2">
      <c r="B24" s="34">
        <v>6</v>
      </c>
      <c r="C24" s="72">
        <f>RSeed!C24*(1-(MOVE!$C$6/RSeed!C24))</f>
        <v>1.2507578750764589E-2</v>
      </c>
      <c r="D24" s="74">
        <f>RSeed!D24*(1-(MOVE!$C$6/RSeed!D24))</f>
        <v>1.2507578750764589E-2</v>
      </c>
      <c r="E24" s="75">
        <f>RSeed!E24*(1-(MOVE!$C$6/RSeed!E24))</f>
        <v>1.2507578750764589E-2</v>
      </c>
      <c r="F24" s="75">
        <f>RSeed!F24*(1-(MOVE!$C$6/RSeed!F24))</f>
        <v>1.2507578750764589E-2</v>
      </c>
      <c r="G24" s="75">
        <f>RSeed!G24*(1-(MOVE!$C$6/RSeed!G24))</f>
        <v>1.2507578750764589E-2</v>
      </c>
      <c r="H24" s="75">
        <f>RSeed!H24*(1-(MOVE!$C$6/RSeed!H24))</f>
        <v>1.2507578750764589E-2</v>
      </c>
      <c r="I24" s="75">
        <f>RSeed!I24*(1-(MOVE!$C$6/RSeed!I24))</f>
        <v>1.2507578750764589E-2</v>
      </c>
      <c r="J24" s="75">
        <f>RSeed!J24*(1-(MOVE!$C$6/RSeed!J24))</f>
        <v>1.2507578750764589E-2</v>
      </c>
      <c r="K24" s="75">
        <f>RSeed!K24*(1-(MOVE!$C$6/RSeed!K24))</f>
        <v>1.2507578750764589E-2</v>
      </c>
      <c r="L24" s="75">
        <f>RSeed!L24*(1-(MOVE!$C$6/RSeed!L24))</f>
        <v>1.2507578750764589E-2</v>
      </c>
      <c r="M24" s="75">
        <f>RSeed!M24*(1-(MOVE!$C$6/RSeed!M24))</f>
        <v>1.2507578750764589E-2</v>
      </c>
      <c r="N24" s="75">
        <f>RSeed!N24*(1-(MOVE!$C$6/RSeed!N24))</f>
        <v>1.2507578750764589E-2</v>
      </c>
      <c r="O24" s="75">
        <f>RSeed!O24*(1-(MOVE!$C$6/RSeed!O24))</f>
        <v>1.2507578750764589E-2</v>
      </c>
      <c r="P24" s="75">
        <f>RSeed!P24*(1-(MOVE!$C$6/RSeed!P24))</f>
        <v>1.2507578750764589E-2</v>
      </c>
      <c r="Q24" s="75">
        <f>RSeed!Q24*(1-(MOVE!$C$6/RSeed!Q24))</f>
        <v>1.2507578750764589E-2</v>
      </c>
      <c r="R24" s="75">
        <f>RSeed!R24*(1-(MOVE!$C$6/RSeed!R24))</f>
        <v>1.2507578750764589E-2</v>
      </c>
      <c r="S24" s="75">
        <f>RSeed!S24*(1-(MOVE!$C$6/RSeed!S24))</f>
        <v>1.2507578750764589E-2</v>
      </c>
      <c r="T24" s="75">
        <f>RSeed!T24*(1-(MOVE!$C$6/RSeed!T24))</f>
        <v>1.2507578750764589E-2</v>
      </c>
      <c r="U24" s="75">
        <f>RSeed!U24*(1-(MOVE!$C$6/RSeed!U24))</f>
        <v>1.2507578750764589E-2</v>
      </c>
      <c r="V24" s="75">
        <f>RSeed!V24*(1-(MOVE!$C$6/RSeed!V24))</f>
        <v>1.2507578750764589E-2</v>
      </c>
      <c r="W24" s="75">
        <f>RSeed!W24*(1-(MOVE!$C$6/RSeed!W24))</f>
        <v>1.2507578750764589E-2</v>
      </c>
      <c r="X24" s="75">
        <f>RSeed!X24*(1-(MOVE!$C$6/RSeed!X24))</f>
        <v>1.2507578750764589E-2</v>
      </c>
      <c r="Y24" s="75">
        <f>RSeed!Y24*(1-(MOVE!$C$6/RSeed!Y24))</f>
        <v>1.2507578750764589E-2</v>
      </c>
      <c r="Z24" s="75">
        <f>RSeed!Z24*(1-(MOVE!$C$6/RSeed!Z24))</f>
        <v>1.2507578750764589E-2</v>
      </c>
      <c r="AA24" s="75">
        <f>RSeed!AA24*(1-(MOVE!$C$6/RSeed!AA24))</f>
        <v>1.2507578750764589E-2</v>
      </c>
      <c r="AB24" s="75">
        <f>RSeed!AB24*(1-(MOVE!$C$6/RSeed!AB24))</f>
        <v>1.2507578750764589E-2</v>
      </c>
      <c r="AC24" s="75">
        <f>RSeed!AC24*(1-(MOVE!$C$6/RSeed!AC24))</f>
        <v>1.2507578750764589E-2</v>
      </c>
      <c r="AD24" s="75">
        <f>RSeed!AD24*(1-(MOVE!$C$6/RSeed!AD24))</f>
        <v>1.2507578750764589E-2</v>
      </c>
      <c r="AE24" s="75">
        <f>RSeed!AE24*(1-(MOVE!$C$6/RSeed!AE24))</f>
        <v>1.2507578750764589E-2</v>
      </c>
      <c r="AF24" s="75">
        <f>RSeed!AF24*(1-(MOVE!$C$6/RSeed!AF24))</f>
        <v>1.2507578750764589E-2</v>
      </c>
      <c r="AG24" s="75">
        <f>RSeed!AG24*(1-(MOVE!$C$6/RSeed!AG24))</f>
        <v>1.2507578750764589E-2</v>
      </c>
      <c r="AH24" s="75">
        <f>RSeed!AH24*(1-(MOVE!$C$6/RSeed!AH24))</f>
        <v>1.2507578750764589E-2</v>
      </c>
      <c r="AI24" s="75">
        <f>RSeed!AI24*(1-(MOVE!$C$6/RSeed!AI24))</f>
        <v>1.2507578750764589E-2</v>
      </c>
      <c r="AJ24" s="75">
        <f>RSeed!AJ24*(1-(MOVE!$C$6/RSeed!AJ24))</f>
        <v>1.2507578750764589E-2</v>
      </c>
      <c r="AK24" s="75">
        <f>RSeed!AK24*(1-(MOVE!$C$6/RSeed!AK24))</f>
        <v>1.2507578750764589E-2</v>
      </c>
      <c r="AL24" s="75">
        <f>RSeed!AL24*(1-(MOVE!$C$6/RSeed!AL24))</f>
        <v>1.2507578750764589E-2</v>
      </c>
      <c r="AM24" s="75">
        <f>RSeed!AM24*(1-(MOVE!$C$6/RSeed!AM24))</f>
        <v>1.2507578750764589E-2</v>
      </c>
      <c r="AN24" s="75">
        <f>RSeed!AN24*(1-(MOVE!$C$6/RSeed!AN24))</f>
        <v>1.2507578750764589E-2</v>
      </c>
      <c r="AO24" s="75">
        <f>RSeed!AO24*(1-(MOVE!$C$6/RSeed!AO24))</f>
        <v>1.2507578750764589E-2</v>
      </c>
      <c r="AP24" s="75">
        <f>RSeed!AP24*(1-(MOVE!$C$6/RSeed!AP24))</f>
        <v>1.2507578750764589E-2</v>
      </c>
      <c r="AQ24" s="94">
        <f>RSeed!AQ24*(1-(MOVE!$C$6/RSeed!AQ24))</f>
        <v>1.2507578750764589E-2</v>
      </c>
      <c r="AR24" s="92">
        <f>RSeed!AR24*(1-(MOVE!$X$6/RSeed!AR24))</f>
        <v>1.2507578750764589E-2</v>
      </c>
      <c r="AS24" s="86">
        <f>RSeed!AS24*(1-(MOVE!$X$6/RSeed!AS24))</f>
        <v>1.2507578750764589E-2</v>
      </c>
      <c r="AT24" s="86">
        <f>RSeed!AT24*(1-(MOVE!$X$6/RSeed!AT24))</f>
        <v>1.2507578750764589E-2</v>
      </c>
      <c r="AU24" s="86">
        <f>RSeed!AU24*(1-(MOVE!$X$6/RSeed!AU24))</f>
        <v>1.2507578750764589E-2</v>
      </c>
      <c r="AV24" s="86">
        <f>RSeed!AV24*(1-(MOVE!$X$6/RSeed!AV24))</f>
        <v>1.2507578750764589E-2</v>
      </c>
      <c r="AW24" s="86">
        <f>RSeed!AW24*(1-(MOVE!$X$6/RSeed!AW24))</f>
        <v>1.2507578750764589E-2</v>
      </c>
      <c r="AX24" s="86">
        <f>RSeed!AX24*(1-(MOVE!$X$6/RSeed!AX24))</f>
        <v>1.2507578750764589E-2</v>
      </c>
      <c r="AY24" s="87">
        <f>RSeed!AY24*(1-(MOVE!$X$6/RSeed!AY24))</f>
        <v>1.2507578750764589E-2</v>
      </c>
      <c r="AZ24" s="72">
        <f>RSeed!AZ24*(1-(MOVE!$X$6/RSeed!AZ24))</f>
        <v>1.2507578750764589E-2</v>
      </c>
      <c r="BA24" s="35">
        <v>6</v>
      </c>
    </row>
    <row r="25" spans="2:53" x14ac:dyDescent="0.2">
      <c r="B25" s="34">
        <v>7</v>
      </c>
      <c r="C25" s="72">
        <f>RSeed!C25*(1-(MOVE!$C$6/RSeed!C25))</f>
        <v>1.2507578750764589E-2</v>
      </c>
      <c r="D25" s="74">
        <f>RSeed!D25*(1-(MOVE!$C$6/RSeed!D25))</f>
        <v>1.2507578750764589E-2</v>
      </c>
      <c r="E25" s="75">
        <f>RSeed!E25*(1-(MOVE!$C$6/RSeed!E25))</f>
        <v>1.2507578750764589E-2</v>
      </c>
      <c r="F25" s="75">
        <f>RSeed!F25*(1-(MOVE!$C$6/RSeed!F25))</f>
        <v>1.2507578750764589E-2</v>
      </c>
      <c r="G25" s="75">
        <f>RSeed!G25*(1-(MOVE!$C$6/RSeed!G25))</f>
        <v>1.2507578750764589E-2</v>
      </c>
      <c r="H25" s="75">
        <f>RSeed!H25*(1-(MOVE!$C$6/RSeed!H25))</f>
        <v>1.2507578750764589E-2</v>
      </c>
      <c r="I25" s="75">
        <f>RSeed!I25*(1-(MOVE!$C$6/RSeed!I25))</f>
        <v>1.2507578750764589E-2</v>
      </c>
      <c r="J25" s="75">
        <f>RSeed!J25*(1-(MOVE!$C$6/RSeed!J25))</f>
        <v>1.2507578750764589E-2</v>
      </c>
      <c r="K25" s="75">
        <f>RSeed!K25*(1-(MOVE!$C$6/RSeed!K25))</f>
        <v>1.2507578750764589E-2</v>
      </c>
      <c r="L25" s="75">
        <f>RSeed!L25*(1-(MOVE!$C$6/RSeed!L25))</f>
        <v>1.2507578750764589E-2</v>
      </c>
      <c r="M25" s="75">
        <f>RSeed!M25*(1-(MOVE!$C$6/RSeed!M25))</f>
        <v>1.2507578750764589E-2</v>
      </c>
      <c r="N25" s="75">
        <f>RSeed!N25*(1-(MOVE!$C$6/RSeed!N25))</f>
        <v>1.2507578750764589E-2</v>
      </c>
      <c r="O25" s="75">
        <f>RSeed!O25*(1-(MOVE!$C$6/RSeed!O25))</f>
        <v>1.2507578750764589E-2</v>
      </c>
      <c r="P25" s="75">
        <f>RSeed!P25*(1-(MOVE!$C$6/RSeed!P25))</f>
        <v>1.2507578750764589E-2</v>
      </c>
      <c r="Q25" s="75">
        <f>RSeed!Q25*(1-(MOVE!$C$6/RSeed!Q25))</f>
        <v>1.2507578750764589E-2</v>
      </c>
      <c r="R25" s="75">
        <f>RSeed!R25*(1-(MOVE!$C$6/RSeed!R25))</f>
        <v>1.2507578750764589E-2</v>
      </c>
      <c r="S25" s="75">
        <f>RSeed!S25*(1-(MOVE!$C$6/RSeed!S25))</f>
        <v>1.2507578750764589E-2</v>
      </c>
      <c r="T25" s="75">
        <f>RSeed!T25*(1-(MOVE!$C$6/RSeed!T25))</f>
        <v>1.2507578750764589E-2</v>
      </c>
      <c r="U25" s="75">
        <f>RSeed!U25*(1-(MOVE!$C$6/RSeed!U25))</f>
        <v>1.2507578750764589E-2</v>
      </c>
      <c r="V25" s="75">
        <f>RSeed!V25*(1-(MOVE!$C$6/RSeed!V25))</f>
        <v>1.2507578750764589E-2</v>
      </c>
      <c r="W25" s="75">
        <f>RSeed!W25*(1-(MOVE!$C$6/RSeed!W25))</f>
        <v>1.2507578750764589E-2</v>
      </c>
      <c r="X25" s="75">
        <f>RSeed!X25*(1-(MOVE!$C$6/RSeed!X25))</f>
        <v>1.2507578750764589E-2</v>
      </c>
      <c r="Y25" s="75">
        <f>RSeed!Y25*(1-(MOVE!$C$6/RSeed!Y25))</f>
        <v>1.2507578750764589E-2</v>
      </c>
      <c r="Z25" s="75">
        <f>RSeed!Z25*(1-(MOVE!$C$6/RSeed!Z25))</f>
        <v>1.2507578750764589E-2</v>
      </c>
      <c r="AA25" s="75">
        <f>RSeed!AA25*(1-(MOVE!$C$6/RSeed!AA25))</f>
        <v>1.2507578750764589E-2</v>
      </c>
      <c r="AB25" s="75">
        <f>RSeed!AB25*(1-(MOVE!$C$6/RSeed!AB25))</f>
        <v>1.2507578750764589E-2</v>
      </c>
      <c r="AC25" s="75">
        <f>RSeed!AC25*(1-(MOVE!$C$6/RSeed!AC25))</f>
        <v>1.2507578750764589E-2</v>
      </c>
      <c r="AD25" s="75">
        <f>RSeed!AD25*(1-(MOVE!$C$6/RSeed!AD25))</f>
        <v>1.2507578750764589E-2</v>
      </c>
      <c r="AE25" s="75">
        <f>RSeed!AE25*(1-(MOVE!$C$6/RSeed!AE25))</f>
        <v>1.2507578750764589E-2</v>
      </c>
      <c r="AF25" s="75">
        <f>RSeed!AF25*(1-(MOVE!$C$6/RSeed!AF25))</f>
        <v>1.2507578750764589E-2</v>
      </c>
      <c r="AG25" s="75">
        <f>RSeed!AG25*(1-(MOVE!$C$6/RSeed!AG25))</f>
        <v>1.2507578750764589E-2</v>
      </c>
      <c r="AH25" s="75">
        <f>RSeed!AH25*(1-(MOVE!$C$6/RSeed!AH25))</f>
        <v>1.2507578750764589E-2</v>
      </c>
      <c r="AI25" s="75">
        <f>RSeed!AI25*(1-(MOVE!$C$6/RSeed!AI25))</f>
        <v>1.2507578750764589E-2</v>
      </c>
      <c r="AJ25" s="75">
        <f>RSeed!AJ25*(1-(MOVE!$C$6/RSeed!AJ25))</f>
        <v>1.2507578750764589E-2</v>
      </c>
      <c r="AK25" s="75">
        <f>RSeed!AK25*(1-(MOVE!$C$6/RSeed!AK25))</f>
        <v>1.2507578750764589E-2</v>
      </c>
      <c r="AL25" s="75">
        <f>RSeed!AL25*(1-(MOVE!$C$6/RSeed!AL25))</f>
        <v>1.2507578750764589E-2</v>
      </c>
      <c r="AM25" s="75">
        <f>RSeed!AM25*(1-(MOVE!$C$6/RSeed!AM25))</f>
        <v>1.2507578750764589E-2</v>
      </c>
      <c r="AN25" s="75">
        <f>RSeed!AN25*(1-(MOVE!$C$6/RSeed!AN25))</f>
        <v>1.2507578750764589E-2</v>
      </c>
      <c r="AO25" s="75">
        <f>RSeed!AO25*(1-(MOVE!$C$6/RSeed!AO25))</f>
        <v>1.2507578750764589E-2</v>
      </c>
      <c r="AP25" s="75">
        <f>RSeed!AP25*(1-(MOVE!$C$6/RSeed!AP25))</f>
        <v>1.2507578750764589E-2</v>
      </c>
      <c r="AQ25" s="94">
        <f>RSeed!AQ25*(1-(MOVE!$C$6/RSeed!AQ25))</f>
        <v>1.2507578750764589E-2</v>
      </c>
      <c r="AR25" s="92">
        <f>RSeed!AR25*(1-(MOVE!$X$6/RSeed!AR25))</f>
        <v>1.2507578750764589E-2</v>
      </c>
      <c r="AS25" s="86">
        <f>RSeed!AS25*(1-(MOVE!$X$6/RSeed!AS25))</f>
        <v>1.2507578750764589E-2</v>
      </c>
      <c r="AT25" s="86">
        <f>RSeed!AT25*(1-(MOVE!$X$6/RSeed!AT25))</f>
        <v>1.2507578750764589E-2</v>
      </c>
      <c r="AU25" s="86">
        <f>RSeed!AU25*(1-(MOVE!$X$6/RSeed!AU25))</f>
        <v>1.2507578750764589E-2</v>
      </c>
      <c r="AV25" s="86">
        <f>RSeed!AV25*(1-(MOVE!$X$6/RSeed!AV25))</f>
        <v>1.2507578750764589E-2</v>
      </c>
      <c r="AW25" s="86">
        <f>RSeed!AW25*(1-(MOVE!$X$6/RSeed!AW25))</f>
        <v>1.2507578750764589E-2</v>
      </c>
      <c r="AX25" s="86">
        <f>RSeed!AX25*(1-(MOVE!$X$6/RSeed!AX25))</f>
        <v>1.2507578750764589E-2</v>
      </c>
      <c r="AY25" s="87">
        <f>RSeed!AY25*(1-(MOVE!$X$6/RSeed!AY25))</f>
        <v>1.2507578750764589E-2</v>
      </c>
      <c r="AZ25" s="72">
        <f>RSeed!AZ25*(1-(MOVE!$X$6/RSeed!AZ25))</f>
        <v>1.2507578750764589E-2</v>
      </c>
      <c r="BA25" s="35">
        <v>7</v>
      </c>
    </row>
    <row r="26" spans="2:53" x14ac:dyDescent="0.2">
      <c r="B26" s="34">
        <v>8</v>
      </c>
      <c r="C26" s="72">
        <f>RSeed!C26*(1-(MOVE!$C$6/RSeed!C26))</f>
        <v>1.2507578750764589E-2</v>
      </c>
      <c r="D26" s="74">
        <f>RSeed!D26*(1-(MOVE!$C$6/RSeed!D26))</f>
        <v>1.2507578750764589E-2</v>
      </c>
      <c r="E26" s="75">
        <f>RSeed!E26*(1-(MOVE!$C$6/RSeed!E26))</f>
        <v>1.2507578750764589E-2</v>
      </c>
      <c r="F26" s="75">
        <f>RSeed!F26*(1-(MOVE!$C$6/RSeed!F26))</f>
        <v>1.2507578750764589E-2</v>
      </c>
      <c r="G26" s="75">
        <f>RSeed!G26*(1-(MOVE!$C$6/RSeed!G26))</f>
        <v>1.2507578750764589E-2</v>
      </c>
      <c r="H26" s="75">
        <f>RSeed!H26*(1-(MOVE!$C$6/RSeed!H26))</f>
        <v>1.2507578750764589E-2</v>
      </c>
      <c r="I26" s="75">
        <f>RSeed!I26*(1-(MOVE!$C$6/RSeed!I26))</f>
        <v>1.2507578750764589E-2</v>
      </c>
      <c r="J26" s="75">
        <f>RSeed!J26*(1-(MOVE!$C$6/RSeed!J26))</f>
        <v>1.2507578750764589E-2</v>
      </c>
      <c r="K26" s="75">
        <f>RSeed!K26*(1-(MOVE!$C$6/RSeed!K26))</f>
        <v>1.2507578750764589E-2</v>
      </c>
      <c r="L26" s="75">
        <f>RSeed!L26*(1-(MOVE!$C$6/RSeed!L26))</f>
        <v>1.2507578750764589E-2</v>
      </c>
      <c r="M26" s="75">
        <f>RSeed!M26*(1-(MOVE!$C$6/RSeed!M26))</f>
        <v>1.2507578750764589E-2</v>
      </c>
      <c r="N26" s="75">
        <f>RSeed!N26*(1-(MOVE!$C$6/RSeed!N26))</f>
        <v>1.2507578750764589E-2</v>
      </c>
      <c r="O26" s="75">
        <f>RSeed!O26*(1-(MOVE!$C$6/RSeed!O26))</f>
        <v>1.2507578750764589E-2</v>
      </c>
      <c r="P26" s="75">
        <f>RSeed!P26*(1-(MOVE!$C$6/RSeed!P26))</f>
        <v>1.2507578750764589E-2</v>
      </c>
      <c r="Q26" s="75">
        <f>RSeed!Q26*(1-(MOVE!$C$6/RSeed!Q26))</f>
        <v>1.2507578750764589E-2</v>
      </c>
      <c r="R26" s="75">
        <f>RSeed!R26*(1-(MOVE!$C$6/RSeed!R26))</f>
        <v>1.2507578750764589E-2</v>
      </c>
      <c r="S26" s="75">
        <f>RSeed!S26*(1-(MOVE!$C$6/RSeed!S26))</f>
        <v>1.2507578750764589E-2</v>
      </c>
      <c r="T26" s="75">
        <f>RSeed!T26*(1-(MOVE!$C$6/RSeed!T26))</f>
        <v>1.2507578750764589E-2</v>
      </c>
      <c r="U26" s="75">
        <f>RSeed!U26*(1-(MOVE!$C$6/RSeed!U26))</f>
        <v>1.2507578750764589E-2</v>
      </c>
      <c r="V26" s="75">
        <f>RSeed!V26*(1-(MOVE!$C$6/RSeed!V26))</f>
        <v>1.2507578750764589E-2</v>
      </c>
      <c r="W26" s="75">
        <f>RSeed!W26*(1-(MOVE!$C$6/RSeed!W26))</f>
        <v>1.2507578750764589E-2</v>
      </c>
      <c r="X26" s="75">
        <f>RSeed!X26*(1-(MOVE!$C$6/RSeed!X26))</f>
        <v>1.2507578750764589E-2</v>
      </c>
      <c r="Y26" s="75">
        <f>RSeed!Y26*(1-(MOVE!$C$6/RSeed!Y26))</f>
        <v>1.2507578750764589E-2</v>
      </c>
      <c r="Z26" s="75">
        <f>RSeed!Z26*(1-(MOVE!$C$6/RSeed!Z26))</f>
        <v>1.2507578750764589E-2</v>
      </c>
      <c r="AA26" s="75">
        <f>RSeed!AA26*(1-(MOVE!$C$6/RSeed!AA26))</f>
        <v>1.2507578750764589E-2</v>
      </c>
      <c r="AB26" s="75">
        <f>RSeed!AB26*(1-(MOVE!$C$6/RSeed!AB26))</f>
        <v>1.2507578750764589E-2</v>
      </c>
      <c r="AC26" s="75">
        <f>RSeed!AC26*(1-(MOVE!$C$6/RSeed!AC26))</f>
        <v>1.2507578750764589E-2</v>
      </c>
      <c r="AD26" s="75">
        <f>RSeed!AD26*(1-(MOVE!$C$6/RSeed!AD26))</f>
        <v>1.2507578750764589E-2</v>
      </c>
      <c r="AE26" s="75">
        <f>RSeed!AE26*(1-(MOVE!$C$6/RSeed!AE26))</f>
        <v>1.2507578750764589E-2</v>
      </c>
      <c r="AF26" s="75">
        <f>RSeed!AF26*(1-(MOVE!$C$6/RSeed!AF26))</f>
        <v>1.2507578750764589E-2</v>
      </c>
      <c r="AG26" s="75">
        <f>RSeed!AG26*(1-(MOVE!$C$6/RSeed!AG26))</f>
        <v>1.2507578750764589E-2</v>
      </c>
      <c r="AH26" s="75">
        <f>RSeed!AH26*(1-(MOVE!$C$6/RSeed!AH26))</f>
        <v>1.2507578750764589E-2</v>
      </c>
      <c r="AI26" s="75">
        <f>RSeed!AI26*(1-(MOVE!$C$6/RSeed!AI26))</f>
        <v>1.2507578750764589E-2</v>
      </c>
      <c r="AJ26" s="75">
        <f>RSeed!AJ26*(1-(MOVE!$C$6/RSeed!AJ26))</f>
        <v>1.2507578750764589E-2</v>
      </c>
      <c r="AK26" s="75">
        <f>RSeed!AK26*(1-(MOVE!$C$6/RSeed!AK26))</f>
        <v>1.2507578750764589E-2</v>
      </c>
      <c r="AL26" s="75">
        <f>RSeed!AL26*(1-(MOVE!$C$6/RSeed!AL26))</f>
        <v>1.2507578750764589E-2</v>
      </c>
      <c r="AM26" s="75">
        <f>RSeed!AM26*(1-(MOVE!$C$6/RSeed!AM26))</f>
        <v>1.2507578750764589E-2</v>
      </c>
      <c r="AN26" s="75">
        <f>RSeed!AN26*(1-(MOVE!$C$6/RSeed!AN26))</f>
        <v>1.2507578750764589E-2</v>
      </c>
      <c r="AO26" s="75">
        <f>RSeed!AO26*(1-(MOVE!$C$6/RSeed!AO26))</f>
        <v>1.2507578750764589E-2</v>
      </c>
      <c r="AP26" s="75">
        <f>RSeed!AP26*(1-(MOVE!$C$6/RSeed!AP26))</f>
        <v>1.2507578750764589E-2</v>
      </c>
      <c r="AQ26" s="94">
        <f>RSeed!AQ26*(1-(MOVE!$C$6/RSeed!AQ26))</f>
        <v>1.2507578750764589E-2</v>
      </c>
      <c r="AR26" s="92">
        <f>RSeed!AR26*(1-(MOVE!$X$6/RSeed!AR26))</f>
        <v>1.2507578750764589E-2</v>
      </c>
      <c r="AS26" s="86">
        <f>RSeed!AS26*(1-(MOVE!$X$6/RSeed!AS26))</f>
        <v>1.2507578750764589E-2</v>
      </c>
      <c r="AT26" s="86">
        <f>RSeed!AT26*(1-(MOVE!$X$6/RSeed!AT26))</f>
        <v>1.2507578750764589E-2</v>
      </c>
      <c r="AU26" s="86">
        <f>RSeed!AU26*(1-(MOVE!$X$6/RSeed!AU26))</f>
        <v>1.2507578750764589E-2</v>
      </c>
      <c r="AV26" s="86">
        <f>RSeed!AV26*(1-(MOVE!$X$6/RSeed!AV26))</f>
        <v>1.2507578750764589E-2</v>
      </c>
      <c r="AW26" s="86">
        <f>RSeed!AW26*(1-(MOVE!$X$6/RSeed!AW26))</f>
        <v>1.2507578750764589E-2</v>
      </c>
      <c r="AX26" s="86">
        <f>RSeed!AX26*(1-(MOVE!$X$6/RSeed!AX26))</f>
        <v>1.2507578750764589E-2</v>
      </c>
      <c r="AY26" s="87">
        <f>RSeed!AY26*(1-(MOVE!$X$6/RSeed!AY26))</f>
        <v>1.2507578750764589E-2</v>
      </c>
      <c r="AZ26" s="72">
        <f>RSeed!AZ26*(1-(MOVE!$X$6/RSeed!AZ26))</f>
        <v>1.2507578750764589E-2</v>
      </c>
      <c r="BA26" s="35">
        <v>8</v>
      </c>
    </row>
    <row r="27" spans="2:53" x14ac:dyDescent="0.2">
      <c r="B27" s="34">
        <v>9</v>
      </c>
      <c r="C27" s="72">
        <f>RSeed!C27*(1-(MOVE!$C$6/RSeed!C27))</f>
        <v>1.2507578750764589E-2</v>
      </c>
      <c r="D27" s="74">
        <f>RSeed!D27*(1-(MOVE!$C$6/RSeed!D27))</f>
        <v>1.2507578750764589E-2</v>
      </c>
      <c r="E27" s="75">
        <f>RSeed!E27*(1-(MOVE!$C$6/RSeed!E27))</f>
        <v>1.2507578750764589E-2</v>
      </c>
      <c r="F27" s="75">
        <f>RSeed!F27*(1-(MOVE!$C$6/RSeed!F27))</f>
        <v>1.2507578750764589E-2</v>
      </c>
      <c r="G27" s="75">
        <f>RSeed!G27*(1-(MOVE!$C$6/RSeed!G27))</f>
        <v>1.2507578750764589E-2</v>
      </c>
      <c r="H27" s="75">
        <f>RSeed!H27*(1-(MOVE!$C$6/RSeed!H27))</f>
        <v>1.2507578750764589E-2</v>
      </c>
      <c r="I27" s="75">
        <f>RSeed!I27*(1-(MOVE!$C$6/RSeed!I27))</f>
        <v>1.2507578750764589E-2</v>
      </c>
      <c r="J27" s="75">
        <f>RSeed!J27*(1-(MOVE!$C$6/RSeed!J27))</f>
        <v>1.2507578750764589E-2</v>
      </c>
      <c r="K27" s="75">
        <f>RSeed!K27*(1-(MOVE!$C$6/RSeed!K27))</f>
        <v>1.2507578750764589E-2</v>
      </c>
      <c r="L27" s="75">
        <f>RSeed!L27*(1-(MOVE!$C$6/RSeed!L27))</f>
        <v>1.2507578750764589E-2</v>
      </c>
      <c r="M27" s="75">
        <f>RSeed!M27*(1-(MOVE!$C$6/RSeed!M27))</f>
        <v>1.2507578750764589E-2</v>
      </c>
      <c r="N27" s="75">
        <f>RSeed!N27*(1-(MOVE!$C$6/RSeed!N27))</f>
        <v>1.2507578750764589E-2</v>
      </c>
      <c r="O27" s="75">
        <f>RSeed!O27*(1-(MOVE!$C$6/RSeed!O27))</f>
        <v>1.2507578750764589E-2</v>
      </c>
      <c r="P27" s="75">
        <f>RSeed!P27*(1-(MOVE!$C$6/RSeed!P27))</f>
        <v>1.2507578750764589E-2</v>
      </c>
      <c r="Q27" s="75">
        <f>RSeed!Q27*(1-(MOVE!$C$6/RSeed!Q27))</f>
        <v>1.2507578750764589E-2</v>
      </c>
      <c r="R27" s="75">
        <f>RSeed!R27*(1-(MOVE!$C$6/RSeed!R27))</f>
        <v>1.2507578750764589E-2</v>
      </c>
      <c r="S27" s="75">
        <f>RSeed!S27*(1-(MOVE!$C$6/RSeed!S27))</f>
        <v>1.2507578750764589E-2</v>
      </c>
      <c r="T27" s="75">
        <f>RSeed!T27*(1-(MOVE!$C$6/RSeed!T27))</f>
        <v>1.2507578750764589E-2</v>
      </c>
      <c r="U27" s="75">
        <f>RSeed!U27*(1-(MOVE!$C$6/RSeed!U27))</f>
        <v>1.2507578750764589E-2</v>
      </c>
      <c r="V27" s="75">
        <f>RSeed!V27*(1-(MOVE!$C$6/RSeed!V27))</f>
        <v>1.2507578750764589E-2</v>
      </c>
      <c r="W27" s="75">
        <f>RSeed!W27*(1-(MOVE!$C$6/RSeed!W27))</f>
        <v>1.2507578750764589E-2</v>
      </c>
      <c r="X27" s="75">
        <f>RSeed!X27*(1-(MOVE!$C$6/RSeed!X27))</f>
        <v>1.2507578750764589E-2</v>
      </c>
      <c r="Y27" s="75">
        <f>RSeed!Y27*(1-(MOVE!$C$6/RSeed!Y27))</f>
        <v>1.2507578750764589E-2</v>
      </c>
      <c r="Z27" s="75">
        <f>RSeed!Z27*(1-(MOVE!$C$6/RSeed!Z27))</f>
        <v>1.2507578750764589E-2</v>
      </c>
      <c r="AA27" s="75">
        <f>RSeed!AA27*(1-(MOVE!$C$6/RSeed!AA27))</f>
        <v>1.2507578750764589E-2</v>
      </c>
      <c r="AB27" s="75">
        <f>RSeed!AB27*(1-(MOVE!$C$6/RSeed!AB27))</f>
        <v>1.2507578750764589E-2</v>
      </c>
      <c r="AC27" s="75">
        <f>RSeed!AC27*(1-(MOVE!$C$6/RSeed!AC27))</f>
        <v>1.2507578750764589E-2</v>
      </c>
      <c r="AD27" s="75">
        <f>RSeed!AD27*(1-(MOVE!$C$6/RSeed!AD27))</f>
        <v>1.2507578750764589E-2</v>
      </c>
      <c r="AE27" s="75">
        <f>RSeed!AE27*(1-(MOVE!$C$6/RSeed!AE27))</f>
        <v>1.2507578750764589E-2</v>
      </c>
      <c r="AF27" s="75">
        <f>RSeed!AF27*(1-(MOVE!$C$6/RSeed!AF27))</f>
        <v>1.2507578750764589E-2</v>
      </c>
      <c r="AG27" s="75">
        <f>RSeed!AG27*(1-(MOVE!$C$6/RSeed!AG27))</f>
        <v>1.2507578750764589E-2</v>
      </c>
      <c r="AH27" s="75">
        <f>RSeed!AH27*(1-(MOVE!$C$6/RSeed!AH27))</f>
        <v>1.2507578750764589E-2</v>
      </c>
      <c r="AI27" s="75">
        <f>RSeed!AI27*(1-(MOVE!$C$6/RSeed!AI27))</f>
        <v>1.2507578750764589E-2</v>
      </c>
      <c r="AJ27" s="75">
        <f>RSeed!AJ27*(1-(MOVE!$C$6/RSeed!AJ27))</f>
        <v>1.2507578750764589E-2</v>
      </c>
      <c r="AK27" s="75">
        <f>RSeed!AK27*(1-(MOVE!$C$6/RSeed!AK27))</f>
        <v>1.2507578750764589E-2</v>
      </c>
      <c r="AL27" s="75">
        <f>RSeed!AL27*(1-(MOVE!$C$6/RSeed!AL27))</f>
        <v>1.2507578750764589E-2</v>
      </c>
      <c r="AM27" s="75">
        <f>RSeed!AM27*(1-(MOVE!$C$6/RSeed!AM27))</f>
        <v>1.2507578750764589E-2</v>
      </c>
      <c r="AN27" s="75">
        <f>RSeed!AN27*(1-(MOVE!$C$6/RSeed!AN27))</f>
        <v>1.2507578750764589E-2</v>
      </c>
      <c r="AO27" s="75">
        <f>RSeed!AO27*(1-(MOVE!$C$6/RSeed!AO27))</f>
        <v>1.2507578750764589E-2</v>
      </c>
      <c r="AP27" s="75">
        <f>RSeed!AP27*(1-(MOVE!$C$6/RSeed!AP27))</f>
        <v>1.2507578750764589E-2</v>
      </c>
      <c r="AQ27" s="94">
        <f>RSeed!AQ27*(1-(MOVE!$C$6/RSeed!AQ27))</f>
        <v>1.2507578750764589E-2</v>
      </c>
      <c r="AR27" s="92">
        <f>RSeed!AR27*(1-(MOVE!$X$6/RSeed!AR27))</f>
        <v>1.2507578750764589E-2</v>
      </c>
      <c r="AS27" s="86">
        <f>RSeed!AS27*(1-(MOVE!$X$6/RSeed!AS27))</f>
        <v>1.2507578750764589E-2</v>
      </c>
      <c r="AT27" s="86">
        <f>RSeed!AT27*(1-(MOVE!$X$6/RSeed!AT27))</f>
        <v>1.2507578750764589E-2</v>
      </c>
      <c r="AU27" s="86">
        <f>RSeed!AU27*(1-(MOVE!$X$6/RSeed!AU27))</f>
        <v>1.2507578750764589E-2</v>
      </c>
      <c r="AV27" s="86">
        <f>RSeed!AV27*(1-(MOVE!$X$6/RSeed!AV27))</f>
        <v>1.2507578750764589E-2</v>
      </c>
      <c r="AW27" s="86">
        <f>RSeed!AW27*(1-(MOVE!$X$6/RSeed!AW27))</f>
        <v>1.2507578750764589E-2</v>
      </c>
      <c r="AX27" s="86">
        <f>RSeed!AX27*(1-(MOVE!$X$6/RSeed!AX27))</f>
        <v>1.2507578750764589E-2</v>
      </c>
      <c r="AY27" s="87">
        <f>RSeed!AY27*(1-(MOVE!$X$6/RSeed!AY27))</f>
        <v>1.2507578750764589E-2</v>
      </c>
      <c r="AZ27" s="72">
        <f>RSeed!AZ27*(1-(MOVE!$X$6/RSeed!AZ27))</f>
        <v>1.2507578750764589E-2</v>
      </c>
      <c r="BA27" s="35">
        <v>9</v>
      </c>
    </row>
    <row r="28" spans="2:53" x14ac:dyDescent="0.2">
      <c r="B28" s="34">
        <v>10</v>
      </c>
      <c r="C28" s="72">
        <f>RSeed!C28*(1-(MOVE!$C$6/RSeed!C28))</f>
        <v>1.2507578750764589E-2</v>
      </c>
      <c r="D28" s="74">
        <f>RSeed!D28*(1-(MOVE!$C$6/RSeed!D28))</f>
        <v>1.2507578750764589E-2</v>
      </c>
      <c r="E28" s="75">
        <f>RSeed!E28*(1-(MOVE!$C$6/RSeed!E28))</f>
        <v>1.2507578750764589E-2</v>
      </c>
      <c r="F28" s="75">
        <f>RSeed!F28*(1-(MOVE!$C$6/RSeed!F28))</f>
        <v>1.2507578750764589E-2</v>
      </c>
      <c r="G28" s="75">
        <f>RSeed!G28*(1-(MOVE!$C$6/RSeed!G28))</f>
        <v>1.2507578750764589E-2</v>
      </c>
      <c r="H28" s="75">
        <f>RSeed!H28*(1-(MOVE!$C$6/RSeed!H28))</f>
        <v>1.2507578750764589E-2</v>
      </c>
      <c r="I28" s="75">
        <f>RSeed!I28*(1-(MOVE!$C$6/RSeed!I28))</f>
        <v>1.2507578750764589E-2</v>
      </c>
      <c r="J28" s="75">
        <f>RSeed!J28*(1-(MOVE!$C$6/RSeed!J28))</f>
        <v>1.2507578750764589E-2</v>
      </c>
      <c r="K28" s="75">
        <f>RSeed!K28*(1-(MOVE!$C$6/RSeed!K28))</f>
        <v>1.2507578750764589E-2</v>
      </c>
      <c r="L28" s="75">
        <f>RSeed!L28*(1-(MOVE!$C$6/RSeed!L28))</f>
        <v>1.2507578750764589E-2</v>
      </c>
      <c r="M28" s="75">
        <f>RSeed!M28*(1-(MOVE!$C$6/RSeed!M28))</f>
        <v>1.2507578750764589E-2</v>
      </c>
      <c r="N28" s="75">
        <f>RSeed!N28*(1-(MOVE!$C$6/RSeed!N28))</f>
        <v>1.2507578750764589E-2</v>
      </c>
      <c r="O28" s="75">
        <f>RSeed!O28*(1-(MOVE!$C$6/RSeed!O28))</f>
        <v>1.2507578750764589E-2</v>
      </c>
      <c r="P28" s="75">
        <f>RSeed!P28*(1-(MOVE!$C$6/RSeed!P28))</f>
        <v>1.2507578750764589E-2</v>
      </c>
      <c r="Q28" s="75">
        <f>RSeed!Q28*(1-(MOVE!$C$6/RSeed!Q28))</f>
        <v>1.2507578750764589E-2</v>
      </c>
      <c r="R28" s="75">
        <f>RSeed!R28*(1-(MOVE!$C$6/RSeed!R28))</f>
        <v>1.2507578750764589E-2</v>
      </c>
      <c r="S28" s="75">
        <f>RSeed!S28*(1-(MOVE!$C$6/RSeed!S28))</f>
        <v>1.2507578750764589E-2</v>
      </c>
      <c r="T28" s="75">
        <f>RSeed!T28*(1-(MOVE!$C$6/RSeed!T28))</f>
        <v>1.2507578750764589E-2</v>
      </c>
      <c r="U28" s="75">
        <f>RSeed!U28*(1-(MOVE!$C$6/RSeed!U28))</f>
        <v>1.2507578750764589E-2</v>
      </c>
      <c r="V28" s="75">
        <f>RSeed!V28*(1-(MOVE!$C$6/RSeed!V28))</f>
        <v>1.2507578750764589E-2</v>
      </c>
      <c r="W28" s="75">
        <f>RSeed!W28*(1-(MOVE!$C$6/RSeed!W28))</f>
        <v>1.2507578750764589E-2</v>
      </c>
      <c r="X28" s="75">
        <f>RSeed!X28*(1-(MOVE!$C$6/RSeed!X28))</f>
        <v>1.2507578750764589E-2</v>
      </c>
      <c r="Y28" s="75">
        <f>RSeed!Y28*(1-(MOVE!$C$6/RSeed!Y28))</f>
        <v>1.2507578750764589E-2</v>
      </c>
      <c r="Z28" s="75">
        <f>RSeed!Z28*(1-(MOVE!$C$6/RSeed!Z28))</f>
        <v>1.2507578750764589E-2</v>
      </c>
      <c r="AA28" s="75">
        <f>RSeed!AA28*(1-(MOVE!$C$6/RSeed!AA28))</f>
        <v>1.2507578750764589E-2</v>
      </c>
      <c r="AB28" s="75">
        <f>RSeed!AB28*(1-(MOVE!$C$6/RSeed!AB28))</f>
        <v>1.2507578750764589E-2</v>
      </c>
      <c r="AC28" s="75">
        <f>RSeed!AC28*(1-(MOVE!$C$6/RSeed!AC28))</f>
        <v>1.2507578750764589E-2</v>
      </c>
      <c r="AD28" s="75">
        <f>RSeed!AD28*(1-(MOVE!$C$6/RSeed!AD28))</f>
        <v>1.2507578750764589E-2</v>
      </c>
      <c r="AE28" s="75">
        <f>RSeed!AE28*(1-(MOVE!$C$6/RSeed!AE28))</f>
        <v>1.2507578750764589E-2</v>
      </c>
      <c r="AF28" s="75">
        <f>RSeed!AF28*(1-(MOVE!$C$6/RSeed!AF28))</f>
        <v>1.2507578750764589E-2</v>
      </c>
      <c r="AG28" s="75">
        <f>RSeed!AG28*(1-(MOVE!$C$6/RSeed!AG28))</f>
        <v>1.2507578750764589E-2</v>
      </c>
      <c r="AH28" s="75">
        <f>RSeed!AH28*(1-(MOVE!$C$6/RSeed!AH28))</f>
        <v>1.2507578750764589E-2</v>
      </c>
      <c r="AI28" s="75">
        <f>RSeed!AI28*(1-(MOVE!$C$6/RSeed!AI28))</f>
        <v>1.2507578750764589E-2</v>
      </c>
      <c r="AJ28" s="75">
        <f>RSeed!AJ28*(1-(MOVE!$C$6/RSeed!AJ28))</f>
        <v>1.2507578750764589E-2</v>
      </c>
      <c r="AK28" s="75">
        <f>RSeed!AK28*(1-(MOVE!$C$6/RSeed!AK28))</f>
        <v>1.2507578750764589E-2</v>
      </c>
      <c r="AL28" s="75">
        <f>RSeed!AL28*(1-(MOVE!$C$6/RSeed!AL28))</f>
        <v>1.2507578750764589E-2</v>
      </c>
      <c r="AM28" s="75">
        <f>RSeed!AM28*(1-(MOVE!$C$6/RSeed!AM28))</f>
        <v>1.2507578750764589E-2</v>
      </c>
      <c r="AN28" s="75">
        <f>RSeed!AN28*(1-(MOVE!$C$6/RSeed!AN28))</f>
        <v>1.2507578750764589E-2</v>
      </c>
      <c r="AO28" s="75">
        <f>RSeed!AO28*(1-(MOVE!$C$6/RSeed!AO28))</f>
        <v>1.2507578750764589E-2</v>
      </c>
      <c r="AP28" s="75">
        <f>RSeed!AP28*(1-(MOVE!$C$6/RSeed!AP28))</f>
        <v>1.2507578750764589E-2</v>
      </c>
      <c r="AQ28" s="94">
        <f>RSeed!AQ28*(1-(MOVE!$C$6/RSeed!AQ28))</f>
        <v>1.2507578750764589E-2</v>
      </c>
      <c r="AR28" s="92">
        <f>RSeed!AR28*(1-(MOVE!$X$6/RSeed!AR28))</f>
        <v>1.2507578750764589E-2</v>
      </c>
      <c r="AS28" s="86">
        <f>RSeed!AS28*(1-(MOVE!$X$6/RSeed!AS28))</f>
        <v>1.2507578750764589E-2</v>
      </c>
      <c r="AT28" s="86">
        <f>RSeed!AT28*(1-(MOVE!$X$6/RSeed!AT28))</f>
        <v>1.2507578750764589E-2</v>
      </c>
      <c r="AU28" s="86">
        <f>RSeed!AU28*(1-(MOVE!$X$6/RSeed!AU28))</f>
        <v>1.2507578750764589E-2</v>
      </c>
      <c r="AV28" s="86">
        <f>RSeed!AV28*(1-(MOVE!$X$6/RSeed!AV28))</f>
        <v>1.2507578750764589E-2</v>
      </c>
      <c r="AW28" s="86">
        <f>RSeed!AW28*(1-(MOVE!$X$6/RSeed!AW28))</f>
        <v>1.2507578750764589E-2</v>
      </c>
      <c r="AX28" s="86">
        <f>RSeed!AX28*(1-(MOVE!$X$6/RSeed!AX28))</f>
        <v>1.2507578750764589E-2</v>
      </c>
      <c r="AY28" s="87">
        <f>RSeed!AY28*(1-(MOVE!$X$6/RSeed!AY28))</f>
        <v>1.2507578750764589E-2</v>
      </c>
      <c r="AZ28" s="72">
        <f>RSeed!AZ28*(1-(MOVE!$X$6/RSeed!AZ28))</f>
        <v>1.2507578750764589E-2</v>
      </c>
      <c r="BA28" s="35">
        <v>10</v>
      </c>
    </row>
    <row r="29" spans="2:53" x14ac:dyDescent="0.2">
      <c r="B29" s="34">
        <v>11</v>
      </c>
      <c r="C29" s="72">
        <f>RSeed!C29*(1-(MOVE!$C$6/RSeed!C29))</f>
        <v>1.2507578750764589E-2</v>
      </c>
      <c r="D29" s="74">
        <f>RSeed!D29*(1-(MOVE!$C$6/RSeed!D29))</f>
        <v>1.2507578750764589E-2</v>
      </c>
      <c r="E29" s="75">
        <f>RSeed!E29*(1-(MOVE!$C$6/RSeed!E29))</f>
        <v>1.2507578750764589E-2</v>
      </c>
      <c r="F29" s="75">
        <f>RSeed!F29*(1-(MOVE!$C$6/RSeed!F29))</f>
        <v>1.2507578750764589E-2</v>
      </c>
      <c r="G29" s="75">
        <f>RSeed!G29*(1-(MOVE!$C$6/RSeed!G29))</f>
        <v>1.2507578750764589E-2</v>
      </c>
      <c r="H29" s="75">
        <f>RSeed!H29*(1-(MOVE!$C$6/RSeed!H29))</f>
        <v>1.2507578750764589E-2</v>
      </c>
      <c r="I29" s="75">
        <f>RSeed!I29*(1-(MOVE!$C$6/RSeed!I29))</f>
        <v>1.2507578750764589E-2</v>
      </c>
      <c r="J29" s="75">
        <f>RSeed!J29*(1-(MOVE!$C$6/RSeed!J29))</f>
        <v>1.2507578750764589E-2</v>
      </c>
      <c r="K29" s="75">
        <f>RSeed!K29*(1-(MOVE!$C$6/RSeed!K29))</f>
        <v>1.2507578750764589E-2</v>
      </c>
      <c r="L29" s="75">
        <f>RSeed!L29*(1-(MOVE!$C$6/RSeed!L29))</f>
        <v>1.2507578750764589E-2</v>
      </c>
      <c r="M29" s="75">
        <f>RSeed!M29*(1-(MOVE!$C$6/RSeed!M29))</f>
        <v>1.2507578750764589E-2</v>
      </c>
      <c r="N29" s="75">
        <f>RSeed!N29*(1-(MOVE!$C$6/RSeed!N29))</f>
        <v>1.2507578750764589E-2</v>
      </c>
      <c r="O29" s="75">
        <f>RSeed!O29*(1-(MOVE!$C$6/RSeed!O29))</f>
        <v>1.2507578750764589E-2</v>
      </c>
      <c r="P29" s="75">
        <f>RSeed!P29*(1-(MOVE!$C$6/RSeed!P29))</f>
        <v>1.2507578750764589E-2</v>
      </c>
      <c r="Q29" s="75">
        <f>RSeed!Q29*(1-(MOVE!$C$6/RSeed!Q29))</f>
        <v>1.2507578750764589E-2</v>
      </c>
      <c r="R29" s="75">
        <f>RSeed!R29*(1-(MOVE!$C$6/RSeed!R29))</f>
        <v>1.2507578750764589E-2</v>
      </c>
      <c r="S29" s="75">
        <f>RSeed!S29*(1-(MOVE!$C$6/RSeed!S29))</f>
        <v>1.2507578750764589E-2</v>
      </c>
      <c r="T29" s="75">
        <f>RSeed!T29*(1-(MOVE!$C$6/RSeed!T29))</f>
        <v>1.2507578750764589E-2</v>
      </c>
      <c r="U29" s="75">
        <f>RSeed!U29*(1-(MOVE!$C$6/RSeed!U29))</f>
        <v>1.2507578750764589E-2</v>
      </c>
      <c r="V29" s="75">
        <f>RSeed!V29*(1-(MOVE!$C$6/RSeed!V29))</f>
        <v>1.2507578750764589E-2</v>
      </c>
      <c r="W29" s="75">
        <f>RSeed!W29*(1-(MOVE!$C$6/RSeed!W29))</f>
        <v>1.2507578750764589E-2</v>
      </c>
      <c r="X29" s="75">
        <f>RSeed!X29*(1-(MOVE!$C$6/RSeed!X29))</f>
        <v>1.2507578750764589E-2</v>
      </c>
      <c r="Y29" s="75">
        <f>RSeed!Y29*(1-(MOVE!$C$6/RSeed!Y29))</f>
        <v>1.2507578750764589E-2</v>
      </c>
      <c r="Z29" s="75">
        <f>RSeed!Z29*(1-(MOVE!$C$6/RSeed!Z29))</f>
        <v>1.2507578750764589E-2</v>
      </c>
      <c r="AA29" s="75">
        <f>RSeed!AA29*(1-(MOVE!$C$6/RSeed!AA29))</f>
        <v>1.2507578750764589E-2</v>
      </c>
      <c r="AB29" s="75">
        <f>RSeed!AB29*(1-(MOVE!$C$6/RSeed!AB29))</f>
        <v>1.2507578750764589E-2</v>
      </c>
      <c r="AC29" s="75">
        <f>RSeed!AC29*(1-(MOVE!$C$6/RSeed!AC29))</f>
        <v>1.2507578750764589E-2</v>
      </c>
      <c r="AD29" s="75">
        <f>RSeed!AD29*(1-(MOVE!$C$6/RSeed!AD29))</f>
        <v>1.2507578750764589E-2</v>
      </c>
      <c r="AE29" s="75">
        <f>RSeed!AE29*(1-(MOVE!$C$6/RSeed!AE29))</f>
        <v>1.2507578750764589E-2</v>
      </c>
      <c r="AF29" s="75">
        <f>RSeed!AF29*(1-(MOVE!$C$6/RSeed!AF29))</f>
        <v>1.2507578750764589E-2</v>
      </c>
      <c r="AG29" s="75">
        <f>RSeed!AG29*(1-(MOVE!$C$6/RSeed!AG29))</f>
        <v>1.2507578750764589E-2</v>
      </c>
      <c r="AH29" s="75">
        <f>RSeed!AH29*(1-(MOVE!$C$6/RSeed!AH29))</f>
        <v>1.2507578750764589E-2</v>
      </c>
      <c r="AI29" s="75">
        <f>RSeed!AI29*(1-(MOVE!$C$6/RSeed!AI29))</f>
        <v>1.2507578750764589E-2</v>
      </c>
      <c r="AJ29" s="75">
        <f>RSeed!AJ29*(1-(MOVE!$C$6/RSeed!AJ29))</f>
        <v>1.2507578750764589E-2</v>
      </c>
      <c r="AK29" s="75">
        <f>RSeed!AK29*(1-(MOVE!$C$6/RSeed!AK29))</f>
        <v>1.2507578750764589E-2</v>
      </c>
      <c r="AL29" s="75">
        <f>RSeed!AL29*(1-(MOVE!$C$6/RSeed!AL29))</f>
        <v>1.2507578750764589E-2</v>
      </c>
      <c r="AM29" s="75">
        <f>RSeed!AM29*(1-(MOVE!$C$6/RSeed!AM29))</f>
        <v>1.2507578750764589E-2</v>
      </c>
      <c r="AN29" s="75">
        <f>RSeed!AN29*(1-(MOVE!$C$6/RSeed!AN29))</f>
        <v>1.2507578750764589E-2</v>
      </c>
      <c r="AO29" s="75">
        <f>RSeed!AO29*(1-(MOVE!$C$6/RSeed!AO29))</f>
        <v>1.2507578750764589E-2</v>
      </c>
      <c r="AP29" s="75">
        <f>RSeed!AP29*(1-(MOVE!$C$6/RSeed!AP29))</f>
        <v>1.2507578750764589E-2</v>
      </c>
      <c r="AQ29" s="94">
        <f>RSeed!AQ29*(1-(MOVE!$C$6/RSeed!AQ29))</f>
        <v>1.2507578750764589E-2</v>
      </c>
      <c r="AR29" s="92">
        <f>RSeed!AR29*(1-(MOVE!$X$6/RSeed!AR29))</f>
        <v>1.2507578750764589E-2</v>
      </c>
      <c r="AS29" s="86">
        <f>RSeed!AS29*(1-(MOVE!$X$6/RSeed!AS29))</f>
        <v>1.2507578750764589E-2</v>
      </c>
      <c r="AT29" s="86">
        <f>RSeed!AT29*(1-(MOVE!$X$6/RSeed!AT29))</f>
        <v>1.2507578750764589E-2</v>
      </c>
      <c r="AU29" s="86">
        <f>RSeed!AU29*(1-(MOVE!$X$6/RSeed!AU29))</f>
        <v>1.2507578750764589E-2</v>
      </c>
      <c r="AV29" s="86">
        <f>RSeed!AV29*(1-(MOVE!$X$6/RSeed!AV29))</f>
        <v>1.2507578750764589E-2</v>
      </c>
      <c r="AW29" s="86">
        <f>RSeed!AW29*(1-(MOVE!$X$6/RSeed!AW29))</f>
        <v>1.2507578750764589E-2</v>
      </c>
      <c r="AX29" s="86">
        <f>RSeed!AX29*(1-(MOVE!$X$6/RSeed!AX29))</f>
        <v>1.2507578750764589E-2</v>
      </c>
      <c r="AY29" s="87">
        <f>RSeed!AY29*(1-(MOVE!$X$6/RSeed!AY29))</f>
        <v>1.2507578750764589E-2</v>
      </c>
      <c r="AZ29" s="72">
        <f>RSeed!AZ29*(1-(MOVE!$X$6/RSeed!AZ29))</f>
        <v>1.2507578750764589E-2</v>
      </c>
      <c r="BA29" s="35">
        <v>11</v>
      </c>
    </row>
    <row r="30" spans="2:53" x14ac:dyDescent="0.2">
      <c r="B30" s="34">
        <v>12</v>
      </c>
      <c r="C30" s="72">
        <f>RSeed!C30*(1-(MOVE!$C$6/RSeed!C30))</f>
        <v>1.2507578750764589E-2</v>
      </c>
      <c r="D30" s="74">
        <f>RSeed!D30*(1-(MOVE!$C$6/RSeed!D30))</f>
        <v>1.2507578750764589E-2</v>
      </c>
      <c r="E30" s="75">
        <f>RSeed!E30*(1-(MOVE!$C$6/RSeed!E30))</f>
        <v>1.2507578750764589E-2</v>
      </c>
      <c r="F30" s="75">
        <f>RSeed!F30*(1-(MOVE!$C$6/RSeed!F30))</f>
        <v>1.2507578750764589E-2</v>
      </c>
      <c r="G30" s="75">
        <f>RSeed!G30*(1-(MOVE!$C$6/RSeed!G30))</f>
        <v>1.2507578750764589E-2</v>
      </c>
      <c r="H30" s="75">
        <f>RSeed!H30*(1-(MOVE!$C$6/RSeed!H30))</f>
        <v>1.2507578750764589E-2</v>
      </c>
      <c r="I30" s="75">
        <f>RSeed!I30*(1-(MOVE!$C$6/RSeed!I30))</f>
        <v>1.2507578750764589E-2</v>
      </c>
      <c r="J30" s="75">
        <f>RSeed!J30*(1-(MOVE!$C$6/RSeed!J30))</f>
        <v>1.2507578750764589E-2</v>
      </c>
      <c r="K30" s="75">
        <f>RSeed!K30*(1-(MOVE!$C$6/RSeed!K30))</f>
        <v>1.2507578750764589E-2</v>
      </c>
      <c r="L30" s="75">
        <f>RSeed!L30*(1-(MOVE!$C$6/RSeed!L30))</f>
        <v>1.2507578750764589E-2</v>
      </c>
      <c r="M30" s="75">
        <f>RSeed!M30*(1-(MOVE!$C$6/RSeed!M30))</f>
        <v>1.2507578750764589E-2</v>
      </c>
      <c r="N30" s="75">
        <f>RSeed!N30*(1-(MOVE!$C$6/RSeed!N30))</f>
        <v>1.2507578750764589E-2</v>
      </c>
      <c r="O30" s="75">
        <f>RSeed!O30*(1-(MOVE!$C$6/RSeed!O30))</f>
        <v>1.2507578750764589E-2</v>
      </c>
      <c r="P30" s="75">
        <f>RSeed!P30*(1-(MOVE!$C$6/RSeed!P30))</f>
        <v>1.2507578750764589E-2</v>
      </c>
      <c r="Q30" s="75">
        <f>RSeed!Q30*(1-(MOVE!$C$6/RSeed!Q30))</f>
        <v>1.2507578750764589E-2</v>
      </c>
      <c r="R30" s="75">
        <f>RSeed!R30*(1-(MOVE!$C$6/RSeed!R30))</f>
        <v>1.2507578750764589E-2</v>
      </c>
      <c r="S30" s="75">
        <f>RSeed!S30*(1-(MOVE!$C$6/RSeed!S30))</f>
        <v>1.2507578750764589E-2</v>
      </c>
      <c r="T30" s="75">
        <f>RSeed!T30*(1-(MOVE!$C$6/RSeed!T30))</f>
        <v>1.2507578750764589E-2</v>
      </c>
      <c r="U30" s="75">
        <f>RSeed!U30*(1-(MOVE!$C$6/RSeed!U30))</f>
        <v>1.2507578750764589E-2</v>
      </c>
      <c r="V30" s="75">
        <f>RSeed!V30*(1-(MOVE!$C$6/RSeed!V30))</f>
        <v>1.2507578750764589E-2</v>
      </c>
      <c r="W30" s="75">
        <f>RSeed!W30*(1-(MOVE!$C$6/RSeed!W30))</f>
        <v>1.2507578750764589E-2</v>
      </c>
      <c r="X30" s="75">
        <f>RSeed!X30*(1-(MOVE!$C$6/RSeed!X30))</f>
        <v>1.2507578750764589E-2</v>
      </c>
      <c r="Y30" s="75">
        <f>RSeed!Y30*(1-(MOVE!$C$6/RSeed!Y30))</f>
        <v>1.2507578750764589E-2</v>
      </c>
      <c r="Z30" s="75">
        <f>RSeed!Z30*(1-(MOVE!$C$6/RSeed!Z30))</f>
        <v>1.2507578750764589E-2</v>
      </c>
      <c r="AA30" s="75">
        <f>RSeed!AA30*(1-(MOVE!$C$6/RSeed!AA30))</f>
        <v>1.2507578750764589E-2</v>
      </c>
      <c r="AB30" s="75">
        <f>RSeed!AB30*(1-(MOVE!$C$6/RSeed!AB30))</f>
        <v>1.2507578750764589E-2</v>
      </c>
      <c r="AC30" s="75">
        <f>RSeed!AC30*(1-(MOVE!$C$6/RSeed!AC30))</f>
        <v>1.2507578750764589E-2</v>
      </c>
      <c r="AD30" s="75">
        <f>RSeed!AD30*(1-(MOVE!$C$6/RSeed!AD30))</f>
        <v>1.2507578750764589E-2</v>
      </c>
      <c r="AE30" s="75">
        <f>RSeed!AE30*(1-(MOVE!$C$6/RSeed!AE30))</f>
        <v>1.2507578750764589E-2</v>
      </c>
      <c r="AF30" s="75">
        <f>RSeed!AF30*(1-(MOVE!$C$6/RSeed!AF30))</f>
        <v>1.2507578750764589E-2</v>
      </c>
      <c r="AG30" s="75">
        <f>RSeed!AG30*(1-(MOVE!$C$6/RSeed!AG30))</f>
        <v>1.2507578750764589E-2</v>
      </c>
      <c r="AH30" s="75">
        <f>RSeed!AH30*(1-(MOVE!$C$6/RSeed!AH30))</f>
        <v>1.2507578750764589E-2</v>
      </c>
      <c r="AI30" s="75">
        <f>RSeed!AI30*(1-(MOVE!$C$6/RSeed!AI30))</f>
        <v>1.2507578750764589E-2</v>
      </c>
      <c r="AJ30" s="75">
        <f>RSeed!AJ30*(1-(MOVE!$C$6/RSeed!AJ30))</f>
        <v>1.2507578750764589E-2</v>
      </c>
      <c r="AK30" s="75">
        <f>RSeed!AK30*(1-(MOVE!$C$6/RSeed!AK30))</f>
        <v>1.2507578750764589E-2</v>
      </c>
      <c r="AL30" s="75">
        <f>RSeed!AL30*(1-(MOVE!$C$6/RSeed!AL30))</f>
        <v>1.2507578750764589E-2</v>
      </c>
      <c r="AM30" s="75">
        <f>RSeed!AM30*(1-(MOVE!$C$6/RSeed!AM30))</f>
        <v>1.2507578750764589E-2</v>
      </c>
      <c r="AN30" s="75">
        <f>RSeed!AN30*(1-(MOVE!$C$6/RSeed!AN30))</f>
        <v>1.2507578750764589E-2</v>
      </c>
      <c r="AO30" s="75">
        <f>RSeed!AO30*(1-(MOVE!$C$6/RSeed!AO30))</f>
        <v>1.2507578750764589E-2</v>
      </c>
      <c r="AP30" s="75">
        <f>RSeed!AP30*(1-(MOVE!$C$6/RSeed!AP30))</f>
        <v>1.2507578750764589E-2</v>
      </c>
      <c r="AQ30" s="94">
        <f>RSeed!AQ30*(1-(MOVE!$C$6/RSeed!AQ30))</f>
        <v>1.2507578750764589E-2</v>
      </c>
      <c r="AR30" s="92">
        <f>RSeed!AR30*(1-(MOVE!$X$6/RSeed!AR30))</f>
        <v>1.2507578750764589E-2</v>
      </c>
      <c r="AS30" s="86">
        <f>RSeed!AS30*(1-(MOVE!$X$6/RSeed!AS30))</f>
        <v>1.2507578750764589E-2</v>
      </c>
      <c r="AT30" s="86">
        <f>RSeed!AT30*(1-(MOVE!$X$6/RSeed!AT30))</f>
        <v>1.2507578750764589E-2</v>
      </c>
      <c r="AU30" s="86">
        <f>RSeed!AU30*(1-(MOVE!$X$6/RSeed!AU30))</f>
        <v>1.2507578750764589E-2</v>
      </c>
      <c r="AV30" s="86">
        <f>RSeed!AV30*(1-(MOVE!$X$6/RSeed!AV30))</f>
        <v>1.2507578750764589E-2</v>
      </c>
      <c r="AW30" s="86">
        <f>RSeed!AW30*(1-(MOVE!$X$6/RSeed!AW30))</f>
        <v>1.2507578750764589E-2</v>
      </c>
      <c r="AX30" s="86">
        <f>RSeed!AX30*(1-(MOVE!$X$6/RSeed!AX30))</f>
        <v>1.2507578750764589E-2</v>
      </c>
      <c r="AY30" s="87">
        <f>RSeed!AY30*(1-(MOVE!$X$6/RSeed!AY30))</f>
        <v>1.2507578750764589E-2</v>
      </c>
      <c r="AZ30" s="72">
        <f>RSeed!AZ30*(1-(MOVE!$X$6/RSeed!AZ30))</f>
        <v>1.2507578750764589E-2</v>
      </c>
      <c r="BA30" s="35">
        <v>12</v>
      </c>
    </row>
    <row r="31" spans="2:53" x14ac:dyDescent="0.2">
      <c r="B31" s="34">
        <v>13</v>
      </c>
      <c r="C31" s="72">
        <f>RSeed!C31*(1-(MOVE!$C$6/RSeed!C31))</f>
        <v>1.2507578750764589E-2</v>
      </c>
      <c r="D31" s="74">
        <f>RSeed!D31*(1-(MOVE!$C$6/RSeed!D31))</f>
        <v>1.2507578750764589E-2</v>
      </c>
      <c r="E31" s="75">
        <f>RSeed!E31*(1-(MOVE!$C$6/RSeed!E31))</f>
        <v>1.2507578750764589E-2</v>
      </c>
      <c r="F31" s="75">
        <f>RSeed!F31*(1-(MOVE!$C$6/RSeed!F31))</f>
        <v>1.2507578750764589E-2</v>
      </c>
      <c r="G31" s="75">
        <f>RSeed!G31*(1-(MOVE!$C$6/RSeed!G31))</f>
        <v>1.2507578750764589E-2</v>
      </c>
      <c r="H31" s="75">
        <f>RSeed!H31*(1-(MOVE!$C$6/RSeed!H31))</f>
        <v>1.2507578750764589E-2</v>
      </c>
      <c r="I31" s="75">
        <f>RSeed!I31*(1-(MOVE!$C$6/RSeed!I31))</f>
        <v>1.2507578750764589E-2</v>
      </c>
      <c r="J31" s="75">
        <f>RSeed!J31*(1-(MOVE!$C$6/RSeed!J31))</f>
        <v>1.2507578750764589E-2</v>
      </c>
      <c r="K31" s="75">
        <f>RSeed!K31*(1-(MOVE!$C$6/RSeed!K31))</f>
        <v>1.2507578750764589E-2</v>
      </c>
      <c r="L31" s="75">
        <f>RSeed!L31*(1-(MOVE!$C$6/RSeed!L31))</f>
        <v>1.2507578750764589E-2</v>
      </c>
      <c r="M31" s="75">
        <f>RSeed!M31*(1-(MOVE!$C$6/RSeed!M31))</f>
        <v>1.2507578750764589E-2</v>
      </c>
      <c r="N31" s="75">
        <f>RSeed!N31*(1-(MOVE!$C$6/RSeed!N31))</f>
        <v>1.2507578750764589E-2</v>
      </c>
      <c r="O31" s="75">
        <f>RSeed!O31*(1-(MOVE!$C$6/RSeed!O31))</f>
        <v>1.2507578750764589E-2</v>
      </c>
      <c r="P31" s="75">
        <f>RSeed!P31*(1-(MOVE!$C$6/RSeed!P31))</f>
        <v>1.2507578750764589E-2</v>
      </c>
      <c r="Q31" s="75">
        <f>RSeed!Q31*(1-(MOVE!$C$6/RSeed!Q31))</f>
        <v>1.2507578750764589E-2</v>
      </c>
      <c r="R31" s="75">
        <f>RSeed!R31*(1-(MOVE!$C$6/RSeed!R31))</f>
        <v>1.2507578750764589E-2</v>
      </c>
      <c r="S31" s="75">
        <f>RSeed!S31*(1-(MOVE!$C$6/RSeed!S31))</f>
        <v>1.2507578750764589E-2</v>
      </c>
      <c r="T31" s="75">
        <f>RSeed!T31*(1-(MOVE!$C$6/RSeed!T31))</f>
        <v>1.2507578750764589E-2</v>
      </c>
      <c r="U31" s="75">
        <f>RSeed!U31*(1-(MOVE!$C$6/RSeed!U31))</f>
        <v>1.2507578750764589E-2</v>
      </c>
      <c r="V31" s="75">
        <f>RSeed!V31*(1-(MOVE!$C$6/RSeed!V31))</f>
        <v>1.2507578750764589E-2</v>
      </c>
      <c r="W31" s="75">
        <f>RSeed!W31*(1-(MOVE!$C$6/RSeed!W31))</f>
        <v>1.2507578750764589E-2</v>
      </c>
      <c r="X31" s="75">
        <f>RSeed!X31*(1-(MOVE!$C$6/RSeed!X31))</f>
        <v>1.2507578750764589E-2</v>
      </c>
      <c r="Y31" s="75">
        <f>RSeed!Y31*(1-(MOVE!$C$6/RSeed!Y31))</f>
        <v>1.2507578750764589E-2</v>
      </c>
      <c r="Z31" s="75">
        <f>RSeed!Z31*(1-(MOVE!$C$6/RSeed!Z31))</f>
        <v>1.2507578750764589E-2</v>
      </c>
      <c r="AA31" s="75">
        <f>RSeed!AA31*(1-(MOVE!$C$6/RSeed!AA31))</f>
        <v>1.2507578750764589E-2</v>
      </c>
      <c r="AB31" s="75">
        <f>RSeed!AB31*(1-(MOVE!$C$6/RSeed!AB31))</f>
        <v>1.2507578750764589E-2</v>
      </c>
      <c r="AC31" s="75">
        <f>RSeed!AC31*(1-(MOVE!$C$6/RSeed!AC31))</f>
        <v>1.2507578750764589E-2</v>
      </c>
      <c r="AD31" s="75">
        <f>RSeed!AD31*(1-(MOVE!$C$6/RSeed!AD31))</f>
        <v>1.2507578750764589E-2</v>
      </c>
      <c r="AE31" s="75">
        <f>RSeed!AE31*(1-(MOVE!$C$6/RSeed!AE31))</f>
        <v>1.2507578750764589E-2</v>
      </c>
      <c r="AF31" s="75">
        <f>RSeed!AF31*(1-(MOVE!$C$6/RSeed!AF31))</f>
        <v>1.2507578750764589E-2</v>
      </c>
      <c r="AG31" s="75">
        <f>RSeed!AG31*(1-(MOVE!$C$6/RSeed!AG31))</f>
        <v>1.2507578750764589E-2</v>
      </c>
      <c r="AH31" s="75">
        <f>RSeed!AH31*(1-(MOVE!$C$6/RSeed!AH31))</f>
        <v>1.2507578750764589E-2</v>
      </c>
      <c r="AI31" s="75">
        <f>RSeed!AI31*(1-(MOVE!$C$6/RSeed!AI31))</f>
        <v>1.2507578750764589E-2</v>
      </c>
      <c r="AJ31" s="75">
        <f>RSeed!AJ31*(1-(MOVE!$C$6/RSeed!AJ31))</f>
        <v>1.2507578750764589E-2</v>
      </c>
      <c r="AK31" s="75">
        <f>RSeed!AK31*(1-(MOVE!$C$6/RSeed!AK31))</f>
        <v>1.2507578750764589E-2</v>
      </c>
      <c r="AL31" s="75">
        <f>RSeed!AL31*(1-(MOVE!$C$6/RSeed!AL31))</f>
        <v>1.2507578750764589E-2</v>
      </c>
      <c r="AM31" s="75">
        <f>RSeed!AM31*(1-(MOVE!$C$6/RSeed!AM31))</f>
        <v>1.2507578750764589E-2</v>
      </c>
      <c r="AN31" s="75">
        <f>RSeed!AN31*(1-(MOVE!$C$6/RSeed!AN31))</f>
        <v>1.2507578750764589E-2</v>
      </c>
      <c r="AO31" s="75">
        <f>RSeed!AO31*(1-(MOVE!$C$6/RSeed!AO31))</f>
        <v>1.2507578750764589E-2</v>
      </c>
      <c r="AP31" s="75">
        <f>RSeed!AP31*(1-(MOVE!$C$6/RSeed!AP31))</f>
        <v>1.2507578750764589E-2</v>
      </c>
      <c r="AQ31" s="94">
        <f>RSeed!AQ31*(1-(MOVE!$C$6/RSeed!AQ31))</f>
        <v>1.2507578750764589E-2</v>
      </c>
      <c r="AR31" s="92">
        <f>RSeed!AR31*(1-(MOVE!$X$6/RSeed!AR31))</f>
        <v>1.2507578750764589E-2</v>
      </c>
      <c r="AS31" s="86">
        <f>RSeed!AS31*(1-(MOVE!$X$6/RSeed!AS31))</f>
        <v>1.2507578750764589E-2</v>
      </c>
      <c r="AT31" s="86">
        <f>RSeed!AT31*(1-(MOVE!$X$6/RSeed!AT31))</f>
        <v>1.2507578750764589E-2</v>
      </c>
      <c r="AU31" s="86">
        <f>RSeed!AU31*(1-(MOVE!$X$6/RSeed!AU31))</f>
        <v>1.2507578750764589E-2</v>
      </c>
      <c r="AV31" s="86">
        <f>RSeed!AV31*(1-(MOVE!$X$6/RSeed!AV31))</f>
        <v>1.2507578750764589E-2</v>
      </c>
      <c r="AW31" s="86">
        <f>RSeed!AW31*(1-(MOVE!$X$6/RSeed!AW31))</f>
        <v>1.2507578750764589E-2</v>
      </c>
      <c r="AX31" s="86">
        <f>RSeed!AX31*(1-(MOVE!$X$6/RSeed!AX31))</f>
        <v>1.2507578750764589E-2</v>
      </c>
      <c r="AY31" s="87">
        <f>RSeed!AY31*(1-(MOVE!$X$6/RSeed!AY31))</f>
        <v>1.2507578750764589E-2</v>
      </c>
      <c r="AZ31" s="72">
        <f>RSeed!AZ31*(1-(MOVE!$X$6/RSeed!AZ31))</f>
        <v>1.2507578750764589E-2</v>
      </c>
      <c r="BA31" s="35">
        <v>13</v>
      </c>
    </row>
    <row r="32" spans="2:53" x14ac:dyDescent="0.2">
      <c r="B32" s="34">
        <v>14</v>
      </c>
      <c r="C32" s="72">
        <f>RSeed!C32*(1-(MOVE!$C$6/RSeed!C32))</f>
        <v>1.2507578750764589E-2</v>
      </c>
      <c r="D32" s="74">
        <f>RSeed!D32*(1-(MOVE!$C$6/RSeed!D32))</f>
        <v>1.2507578750764589E-2</v>
      </c>
      <c r="E32" s="75">
        <f>RSeed!E32*(1-(MOVE!$C$6/RSeed!E32))</f>
        <v>1.2507578750764589E-2</v>
      </c>
      <c r="F32" s="75">
        <f>RSeed!F32*(1-(MOVE!$C$6/RSeed!F32))</f>
        <v>1.2507578750764589E-2</v>
      </c>
      <c r="G32" s="75">
        <f>RSeed!G32*(1-(MOVE!$C$6/RSeed!G32))</f>
        <v>1.2507578750764589E-2</v>
      </c>
      <c r="H32" s="75">
        <f>RSeed!H32*(1-(MOVE!$C$6/RSeed!H32))</f>
        <v>1.2507578750764589E-2</v>
      </c>
      <c r="I32" s="75">
        <f>RSeed!I32*(1-(MOVE!$C$6/RSeed!I32))</f>
        <v>1.2507578750764589E-2</v>
      </c>
      <c r="J32" s="75">
        <f>RSeed!J32*(1-(MOVE!$C$6/RSeed!J32))</f>
        <v>1.2507578750764589E-2</v>
      </c>
      <c r="K32" s="75">
        <f>RSeed!K32*(1-(MOVE!$C$6/RSeed!K32))</f>
        <v>1.2507578750764589E-2</v>
      </c>
      <c r="L32" s="75">
        <f>RSeed!L32*(1-(MOVE!$C$6/RSeed!L32))</f>
        <v>1.2507578750764589E-2</v>
      </c>
      <c r="M32" s="75">
        <f>RSeed!M32*(1-(MOVE!$C$6/RSeed!M32))</f>
        <v>1.2507578750764589E-2</v>
      </c>
      <c r="N32" s="75">
        <f>RSeed!N32*(1-(MOVE!$C$6/RSeed!N32))</f>
        <v>1.2507578750764589E-2</v>
      </c>
      <c r="O32" s="75">
        <f>RSeed!O32*(1-(MOVE!$C$6/RSeed!O32))</f>
        <v>1.2507578750764589E-2</v>
      </c>
      <c r="P32" s="75">
        <f>RSeed!P32*(1-(MOVE!$C$6/RSeed!P32))</f>
        <v>1.2507578750764589E-2</v>
      </c>
      <c r="Q32" s="75">
        <f>RSeed!Q32*(1-(MOVE!$C$6/RSeed!Q32))</f>
        <v>1.2507578750764589E-2</v>
      </c>
      <c r="R32" s="75">
        <f>RSeed!R32*(1-(MOVE!$C$6/RSeed!R32))</f>
        <v>1.2507578750764589E-2</v>
      </c>
      <c r="S32" s="75">
        <f>RSeed!S32*(1-(MOVE!$C$6/RSeed!S32))</f>
        <v>1.2507578750764589E-2</v>
      </c>
      <c r="T32" s="75">
        <f>RSeed!T32*(1-(MOVE!$C$6/RSeed!T32))</f>
        <v>1.2507578750764589E-2</v>
      </c>
      <c r="U32" s="75">
        <f>RSeed!U32*(1-(MOVE!$C$6/RSeed!U32))</f>
        <v>1.2507578750764589E-2</v>
      </c>
      <c r="V32" s="75">
        <f>RSeed!V32*(1-(MOVE!$C$6/RSeed!V32))</f>
        <v>1.2507578750764589E-2</v>
      </c>
      <c r="W32" s="106">
        <f>RSeed!W32*(1-(MOVE!$J$6/RSeed!W32))</f>
        <v>1.2507578750764589E-2</v>
      </c>
      <c r="X32" s="107">
        <f>RSeed!X32*(1-(MOVE!$J$6/RSeed!X32))</f>
        <v>1.2507578750764589E-2</v>
      </c>
      <c r="Y32" s="107">
        <f>RSeed!Y32*(1-(MOVE!$J$6/RSeed!Y32))</f>
        <v>1.2507578750764589E-2</v>
      </c>
      <c r="Z32" s="107">
        <f>RSeed!Z32*(1-(MOVE!$J$6/RSeed!Z32))</f>
        <v>1.2507578750764589E-2</v>
      </c>
      <c r="AA32" s="107">
        <f>RSeed!AA32*(1-(MOVE!$J$6/RSeed!AA32))</f>
        <v>1.2507578750764589E-2</v>
      </c>
      <c r="AB32" s="107">
        <f>RSeed!AB32*(1-(MOVE!$J$6/RSeed!AB32))</f>
        <v>1.2507578750764589E-2</v>
      </c>
      <c r="AC32" s="107">
        <f>RSeed!AC32*(1-(MOVE!$J$6/RSeed!AC32))</f>
        <v>1.2507578750764589E-2</v>
      </c>
      <c r="AD32" s="107">
        <f>RSeed!AD32*(1-(MOVE!$J$6/RSeed!AD32))</f>
        <v>1.2507578750764589E-2</v>
      </c>
      <c r="AE32" s="107">
        <f>RSeed!AE32*(1-(MOVE!$J$6/RSeed!AE32))</f>
        <v>1.2507578750764589E-2</v>
      </c>
      <c r="AF32" s="107">
        <f>RSeed!AF32*(1-(MOVE!$J$6/RSeed!AF32))</f>
        <v>1.2507578750764589E-2</v>
      </c>
      <c r="AG32" s="107">
        <f>RSeed!AG32*(1-(MOVE!$J$6/RSeed!AG32))</f>
        <v>1.2507578750764589E-2</v>
      </c>
      <c r="AH32" s="107">
        <f>RSeed!AH32*(1-(MOVE!$J$6/RSeed!AH32))</f>
        <v>1.2507578750764589E-2</v>
      </c>
      <c r="AI32" s="107">
        <f>RSeed!AI32*(1-(MOVE!$J$6/RSeed!AI32))</f>
        <v>1.2507578750764589E-2</v>
      </c>
      <c r="AJ32" s="107">
        <f>RSeed!AJ32*(1-(MOVE!$J$6/RSeed!AJ32))</f>
        <v>1.2507578750764589E-2</v>
      </c>
      <c r="AK32" s="107">
        <f>RSeed!AK32*(1-(MOVE!$J$6/RSeed!AK32))</f>
        <v>1.2507578750764589E-2</v>
      </c>
      <c r="AL32" s="107">
        <f>RSeed!AL32*(1-(MOVE!$J$6/RSeed!AL32))</f>
        <v>1.2507578750764589E-2</v>
      </c>
      <c r="AM32" s="107">
        <f>RSeed!AM32*(1-(MOVE!$J$6/RSeed!AM32))</f>
        <v>1.2507578750764589E-2</v>
      </c>
      <c r="AN32" s="107">
        <f>RSeed!AN32*(1-(MOVE!$J$6/RSeed!AN32))</f>
        <v>1.2507578750764589E-2</v>
      </c>
      <c r="AO32" s="107">
        <f>RSeed!AO32*(1-(MOVE!$J$6/RSeed!AO32))</f>
        <v>1.2507578750764589E-2</v>
      </c>
      <c r="AP32" s="107">
        <f>RSeed!AP32*(1-(MOVE!$J$6/RSeed!AP32))</f>
        <v>1.2507578750764589E-2</v>
      </c>
      <c r="AQ32" s="108">
        <f>RSeed!AQ32*(1-(MOVE!$J$6/RSeed!AQ32))</f>
        <v>1.2507578750764589E-2</v>
      </c>
      <c r="AR32" s="92">
        <f>RSeed!AR32*(1-(MOVE!$X$6/RSeed!AR32))</f>
        <v>1.2507578750764589E-2</v>
      </c>
      <c r="AS32" s="86">
        <f>RSeed!AS32*(1-(MOVE!$X$6/RSeed!AS32))</f>
        <v>1.2507578750764589E-2</v>
      </c>
      <c r="AT32" s="86">
        <f>RSeed!AT32*(1-(MOVE!$X$6/RSeed!AT32))</f>
        <v>1.2507578750764589E-2</v>
      </c>
      <c r="AU32" s="86">
        <f>RSeed!AU32*(1-(MOVE!$X$6/RSeed!AU32))</f>
        <v>1.2507578750764589E-2</v>
      </c>
      <c r="AV32" s="86">
        <f>RSeed!AV32*(1-(MOVE!$X$6/RSeed!AV32))</f>
        <v>1.2507578750764589E-2</v>
      </c>
      <c r="AW32" s="86">
        <f>RSeed!AW32*(1-(MOVE!$X$6/RSeed!AW32))</f>
        <v>1.2507578750764589E-2</v>
      </c>
      <c r="AX32" s="86">
        <f>RSeed!AX32*(1-(MOVE!$X$6/RSeed!AX32))</f>
        <v>1.2507578750764589E-2</v>
      </c>
      <c r="AY32" s="87">
        <f>RSeed!AY32*(1-(MOVE!$X$6/RSeed!AY32))</f>
        <v>1.2507578750764589E-2</v>
      </c>
      <c r="AZ32" s="72">
        <f>RSeed!AZ32*(1-(MOVE!$X$6/RSeed!AZ32))</f>
        <v>1.2507578750764589E-2</v>
      </c>
      <c r="BA32" s="35">
        <v>14</v>
      </c>
    </row>
    <row r="33" spans="2:53" x14ac:dyDescent="0.2">
      <c r="B33" s="34">
        <v>15</v>
      </c>
      <c r="C33" s="72">
        <f>RSeed!C33*(1-(MOVE!$C$6/RSeed!C33))</f>
        <v>1.2507578750764589E-2</v>
      </c>
      <c r="D33" s="74">
        <f>RSeed!D33*(1-(MOVE!$C$6/RSeed!D33))</f>
        <v>1.2507578750764589E-2</v>
      </c>
      <c r="E33" s="75">
        <f>RSeed!E33*(1-(MOVE!$C$6/RSeed!E33))</f>
        <v>1.2507578750764589E-2</v>
      </c>
      <c r="F33" s="75">
        <f>RSeed!F33*(1-(MOVE!$C$6/RSeed!F33))</f>
        <v>1.2507578750764589E-2</v>
      </c>
      <c r="G33" s="75">
        <f>RSeed!G33*(1-(MOVE!$C$6/RSeed!G33))</f>
        <v>1.2507578750764589E-2</v>
      </c>
      <c r="H33" s="75">
        <f>RSeed!H33*(1-(MOVE!$C$6/RSeed!H33))</f>
        <v>1.2507578750764589E-2</v>
      </c>
      <c r="I33" s="75">
        <f>RSeed!I33*(1-(MOVE!$C$6/RSeed!I33))</f>
        <v>1.2507578750764589E-2</v>
      </c>
      <c r="J33" s="75">
        <f>RSeed!J33*(1-(MOVE!$C$6/RSeed!J33))</f>
        <v>1.2507578750764589E-2</v>
      </c>
      <c r="K33" s="75">
        <f>RSeed!K33*(1-(MOVE!$C$6/RSeed!K33))</f>
        <v>1.2507578750764589E-2</v>
      </c>
      <c r="L33" s="75">
        <f>RSeed!L33*(1-(MOVE!$C$6/RSeed!L33))</f>
        <v>1.2507578750764589E-2</v>
      </c>
      <c r="M33" s="75">
        <f>RSeed!M33*(1-(MOVE!$C$6/RSeed!M33))</f>
        <v>1.2507578750764589E-2</v>
      </c>
      <c r="N33" s="75">
        <f>RSeed!N33*(1-(MOVE!$C$6/RSeed!N33))</f>
        <v>1.2507578750764589E-2</v>
      </c>
      <c r="O33" s="75">
        <f>RSeed!O33*(1-(MOVE!$C$6/RSeed!O33))</f>
        <v>1.2507578750764589E-2</v>
      </c>
      <c r="P33" s="75">
        <f>RSeed!P33*(1-(MOVE!$C$6/RSeed!P33))</f>
        <v>1.2507578750764589E-2</v>
      </c>
      <c r="Q33" s="75">
        <f>RSeed!Q33*(1-(MOVE!$C$6/RSeed!Q33))</f>
        <v>1.2507578750764589E-2</v>
      </c>
      <c r="R33" s="75">
        <f>RSeed!R33*(1-(MOVE!$C$6/RSeed!R33))</f>
        <v>1.2507578750764589E-2</v>
      </c>
      <c r="S33" s="75">
        <f>RSeed!S33*(1-(MOVE!$C$6/RSeed!S33))</f>
        <v>1.2507578750764589E-2</v>
      </c>
      <c r="T33" s="75">
        <f>RSeed!T33*(1-(MOVE!$C$6/RSeed!T33))</f>
        <v>1.2507578750764589E-2</v>
      </c>
      <c r="U33" s="75">
        <f>RSeed!U33*(1-(MOVE!$C$6/RSeed!U33))</f>
        <v>1.2507578750764589E-2</v>
      </c>
      <c r="V33" s="75">
        <f>RSeed!V33*(1-(MOVE!$C$6/RSeed!V33))</f>
        <v>1.2507578750764589E-2</v>
      </c>
      <c r="W33" s="109">
        <f>RSeed!W33*(1-(MOVE!$J$6/RSeed!W33))</f>
        <v>1.2507578750764589E-2</v>
      </c>
      <c r="X33" s="83">
        <f>RSeed!X33*(1-(MOVE!$J$6/RSeed!X33))</f>
        <v>1.2507578750764589E-2</v>
      </c>
      <c r="Y33" s="83">
        <f>RSeed!Y33*(1-(MOVE!$J$6/RSeed!Y33))</f>
        <v>1.2507578750764589E-2</v>
      </c>
      <c r="Z33" s="83">
        <f>RSeed!Z33*(1-(MOVE!$J$6/RSeed!Z33))</f>
        <v>1.2507578750764589E-2</v>
      </c>
      <c r="AA33" s="83">
        <f>RSeed!AA33*(1-(MOVE!$J$6/RSeed!AA33))</f>
        <v>1.2507578750764589E-2</v>
      </c>
      <c r="AB33" s="83">
        <f>RSeed!AB33*(1-(MOVE!$J$6/RSeed!AB33))</f>
        <v>1.2507578750764589E-2</v>
      </c>
      <c r="AC33" s="83">
        <f>RSeed!AC33*(1-(MOVE!$J$6/RSeed!AC33))</f>
        <v>1.2507578750764589E-2</v>
      </c>
      <c r="AD33" s="83">
        <f>RSeed!AD33*(1-(MOVE!$J$6/RSeed!AD33))</f>
        <v>1.2507578750764589E-2</v>
      </c>
      <c r="AE33" s="83">
        <f>RSeed!AE33*(1-(MOVE!$J$6/RSeed!AE33))</f>
        <v>1.2507578750764589E-2</v>
      </c>
      <c r="AF33" s="83">
        <f>RSeed!AF33*(1-(MOVE!$J$6/RSeed!AF33))</f>
        <v>1.2507578750764589E-2</v>
      </c>
      <c r="AG33" s="83">
        <f>RSeed!AG33*(1-(MOVE!$J$6/RSeed!AG33))</f>
        <v>1.2507578750764589E-2</v>
      </c>
      <c r="AH33" s="83">
        <f>RSeed!AH33*(1-(MOVE!$J$6/RSeed!AH33))</f>
        <v>1.2507578750764589E-2</v>
      </c>
      <c r="AI33" s="83">
        <f>RSeed!AI33*(1-(MOVE!$J$6/RSeed!AI33))</f>
        <v>1.2507578750764589E-2</v>
      </c>
      <c r="AJ33" s="83">
        <f>RSeed!AJ33*(1-(MOVE!$J$6/RSeed!AJ33))</f>
        <v>1.2507578750764589E-2</v>
      </c>
      <c r="AK33" s="83">
        <f>RSeed!AK33*(1-(MOVE!$J$6/RSeed!AK33))</f>
        <v>1.2507578750764589E-2</v>
      </c>
      <c r="AL33" s="83">
        <f>RSeed!AL33*(1-(MOVE!$J$6/RSeed!AL33))</f>
        <v>1.2507578750764589E-2</v>
      </c>
      <c r="AM33" s="83">
        <f>RSeed!AM33*(1-(MOVE!$J$6/RSeed!AM33))</f>
        <v>1.2507578750764589E-2</v>
      </c>
      <c r="AN33" s="83">
        <f>RSeed!AN33*(1-(MOVE!$J$6/RSeed!AN33))</f>
        <v>1.2507578750764589E-2</v>
      </c>
      <c r="AO33" s="83">
        <f>RSeed!AO33*(1-(MOVE!$J$6/RSeed!AO33))</f>
        <v>1.2507578750764589E-2</v>
      </c>
      <c r="AP33" s="83">
        <f>RSeed!AP33*(1-(MOVE!$J$6/RSeed!AP33))</f>
        <v>1.2507578750764589E-2</v>
      </c>
      <c r="AQ33" s="110">
        <f>RSeed!AQ33*(1-(MOVE!$J$6/RSeed!AQ33))</f>
        <v>1.2507578750764589E-2</v>
      </c>
      <c r="AR33" s="92">
        <f>RSeed!AR33*(1-(MOVE!$X$6/RSeed!AR33))</f>
        <v>1.2507578750764589E-2</v>
      </c>
      <c r="AS33" s="86">
        <f>RSeed!AS33*(1-(MOVE!$X$6/RSeed!AS33))</f>
        <v>1.2507578750764589E-2</v>
      </c>
      <c r="AT33" s="86">
        <f>RSeed!AT33*(1-(MOVE!$X$6/RSeed!AT33))</f>
        <v>1.2507578750764589E-2</v>
      </c>
      <c r="AU33" s="86">
        <f>RSeed!AU33*(1-(MOVE!$X$6/RSeed!AU33))</f>
        <v>1.2507578750764589E-2</v>
      </c>
      <c r="AV33" s="86">
        <f>RSeed!AV33*(1-(MOVE!$X$6/RSeed!AV33))</f>
        <v>1.2507578750764589E-2</v>
      </c>
      <c r="AW33" s="86">
        <f>RSeed!AW33*(1-(MOVE!$X$6/RSeed!AW33))</f>
        <v>1.2507578750764589E-2</v>
      </c>
      <c r="AX33" s="86">
        <f>RSeed!AX33*(1-(MOVE!$X$6/RSeed!AX33))</f>
        <v>1.2507578750764589E-2</v>
      </c>
      <c r="AY33" s="87">
        <f>RSeed!AY33*(1-(MOVE!$X$6/RSeed!AY33))</f>
        <v>1.2507578750764589E-2</v>
      </c>
      <c r="AZ33" s="72">
        <f>RSeed!AZ33*(1-(MOVE!$X$6/RSeed!AZ33))</f>
        <v>1.2507578750764589E-2</v>
      </c>
      <c r="BA33" s="35">
        <v>15</v>
      </c>
    </row>
    <row r="34" spans="2:53" x14ac:dyDescent="0.2">
      <c r="B34" s="34">
        <v>16</v>
      </c>
      <c r="C34" s="72">
        <f>RSeed!C34*(1-(MOVE!$C$6/RSeed!C34))</f>
        <v>1.2507578750764589E-2</v>
      </c>
      <c r="D34" s="74">
        <f>RSeed!D34*(1-(MOVE!$C$6/RSeed!D34))</f>
        <v>1.2507578750764589E-2</v>
      </c>
      <c r="E34" s="75">
        <f>RSeed!E34*(1-(MOVE!$C$6/RSeed!E34))</f>
        <v>1.2507578750764589E-2</v>
      </c>
      <c r="F34" s="75">
        <f>RSeed!F34*(1-(MOVE!$C$6/RSeed!F34))</f>
        <v>1.2507578750764589E-2</v>
      </c>
      <c r="G34" s="75">
        <f>RSeed!G34*(1-(MOVE!$C$6/RSeed!G34))</f>
        <v>1.2507578750764589E-2</v>
      </c>
      <c r="H34" s="75">
        <f>RSeed!H34*(1-(MOVE!$C$6/RSeed!H34))</f>
        <v>1.2507578750764589E-2</v>
      </c>
      <c r="I34" s="75">
        <f>RSeed!I34*(1-(MOVE!$C$6/RSeed!I34))</f>
        <v>1.2507578750764589E-2</v>
      </c>
      <c r="J34" s="75">
        <f>RSeed!J34*(1-(MOVE!$C$6/RSeed!J34))</f>
        <v>1.2507578750764589E-2</v>
      </c>
      <c r="K34" s="75">
        <f>RSeed!K34*(1-(MOVE!$C$6/RSeed!K34))</f>
        <v>1.2507578750764589E-2</v>
      </c>
      <c r="L34" s="75">
        <f>RSeed!L34*(1-(MOVE!$C$6/RSeed!L34))</f>
        <v>1.2507578750764589E-2</v>
      </c>
      <c r="M34" s="75">
        <f>RSeed!M34*(1-(MOVE!$C$6/RSeed!M34))</f>
        <v>1.2507578750764589E-2</v>
      </c>
      <c r="N34" s="75">
        <f>RSeed!N34*(1-(MOVE!$C$6/RSeed!N34))</f>
        <v>1.2507578750764589E-2</v>
      </c>
      <c r="O34" s="75">
        <f>RSeed!O34*(1-(MOVE!$C$6/RSeed!O34))</f>
        <v>1.2507578750764589E-2</v>
      </c>
      <c r="P34" s="75">
        <f>RSeed!P34*(1-(MOVE!$C$6/RSeed!P34))</f>
        <v>1.2507578750764589E-2</v>
      </c>
      <c r="Q34" s="75">
        <f>RSeed!Q34*(1-(MOVE!$C$6/RSeed!Q34))</f>
        <v>1.2507578750764589E-2</v>
      </c>
      <c r="R34" s="75">
        <f>RSeed!R34*(1-(MOVE!$C$6/RSeed!R34))</f>
        <v>1.2507578750764589E-2</v>
      </c>
      <c r="S34" s="75">
        <f>RSeed!S34*(1-(MOVE!$C$6/RSeed!S34))</f>
        <v>1.2507578750764589E-2</v>
      </c>
      <c r="T34" s="75">
        <f>RSeed!T34*(1-(MOVE!$C$6/RSeed!T34))</f>
        <v>1.2507578750764589E-2</v>
      </c>
      <c r="U34" s="75">
        <f>RSeed!U34*(1-(MOVE!$C$6/RSeed!U34))</f>
        <v>1.2507578750764589E-2</v>
      </c>
      <c r="V34" s="75">
        <f>RSeed!V34*(1-(MOVE!$C$6/RSeed!V34))</f>
        <v>1.2507578750764589E-2</v>
      </c>
      <c r="W34" s="109">
        <f>RSeed!W34*(1-(MOVE!$J$6/RSeed!W34))</f>
        <v>1.2507578750764589E-2</v>
      </c>
      <c r="X34" s="83">
        <f>RSeed!X34*(1-(MOVE!$J$6/RSeed!X34))</f>
        <v>1.2507578750764589E-2</v>
      </c>
      <c r="Y34" s="83">
        <f>RSeed!Y34*(1-(MOVE!$J$6/RSeed!Y34))</f>
        <v>1.2507578750764589E-2</v>
      </c>
      <c r="Z34" s="83">
        <f>RSeed!Z34*(1-(MOVE!$J$6/RSeed!Z34))</f>
        <v>1.2507578750764589E-2</v>
      </c>
      <c r="AA34" s="83">
        <f>RSeed!AA34*(1-(MOVE!$J$6/RSeed!AA34))</f>
        <v>1.2507578750764589E-2</v>
      </c>
      <c r="AB34" s="150">
        <f>RSeed!AB34*(1-(MOVE!$J$6/RSeed!AB34))</f>
        <v>1.2507578750764589E-2</v>
      </c>
      <c r="AC34" s="150">
        <f>RSeed!AC34*(1-(MOVE!$J$6/RSeed!AC34))</f>
        <v>1.2507578750764589E-2</v>
      </c>
      <c r="AD34" s="150">
        <f>RSeed!AD34*(1-(MOVE!$J$6/RSeed!AD34))</f>
        <v>1.2507578750764589E-2</v>
      </c>
      <c r="AE34" s="150">
        <f>RSeed!AE34*(1-(MOVE!$J$6/RSeed!AE34))</f>
        <v>1.2507578750764589E-2</v>
      </c>
      <c r="AF34" s="83">
        <f>RSeed!AF34*(1-(MOVE!$J$6/RSeed!AF34))</f>
        <v>1.2507578750764589E-2</v>
      </c>
      <c r="AG34" s="83">
        <f>RSeed!AG34*(1-(MOVE!$J$6/RSeed!AG34))</f>
        <v>1.2507578750764589E-2</v>
      </c>
      <c r="AH34" s="83">
        <f>RSeed!AH34*(1-(MOVE!$J$6/RSeed!AH34))</f>
        <v>1.2507578750764589E-2</v>
      </c>
      <c r="AI34" s="83">
        <f>RSeed!AI34*(1-(MOVE!$J$6/RSeed!AI34))</f>
        <v>1.2507578750764589E-2</v>
      </c>
      <c r="AJ34" s="83">
        <f>RSeed!AJ34*(1-(MOVE!$J$6/RSeed!AJ34))</f>
        <v>1.2507578750764589E-2</v>
      </c>
      <c r="AK34" s="83">
        <f>RSeed!AK34*(1-(MOVE!$J$6/RSeed!AK34))</f>
        <v>1.2507578750764589E-2</v>
      </c>
      <c r="AL34" s="83">
        <f>RSeed!AL34*(1-(MOVE!$J$6/RSeed!AL34))</f>
        <v>1.2507578750764589E-2</v>
      </c>
      <c r="AM34" s="83">
        <f>RSeed!AM34*(1-(MOVE!$J$6/RSeed!AM34))</f>
        <v>1.2507578750764589E-2</v>
      </c>
      <c r="AN34" s="83">
        <f>RSeed!AN34*(1-(MOVE!$J$6/RSeed!AN34))</f>
        <v>1.2507578750764589E-2</v>
      </c>
      <c r="AO34" s="83">
        <f>RSeed!AO34*(1-(MOVE!$J$6/RSeed!AO34))</f>
        <v>1.2507578750764589E-2</v>
      </c>
      <c r="AP34" s="83">
        <f>RSeed!AP34*(1-(MOVE!$J$6/RSeed!AP34))</f>
        <v>1.2507578750764589E-2</v>
      </c>
      <c r="AQ34" s="110">
        <f>RSeed!AQ34*(1-(MOVE!$J$6/RSeed!AQ34))</f>
        <v>1.2507578750764589E-2</v>
      </c>
      <c r="AR34" s="92">
        <f>RSeed!AR34*(1-(MOVE!$X$6/RSeed!AR34))</f>
        <v>1.2507578750764589E-2</v>
      </c>
      <c r="AS34" s="86">
        <f>RSeed!AS34*(1-(MOVE!$X$6/RSeed!AS34))</f>
        <v>1.2507578750764589E-2</v>
      </c>
      <c r="AT34" s="86">
        <f>RSeed!AT34*(1-(MOVE!$X$6/RSeed!AT34))</f>
        <v>1.2507578750764589E-2</v>
      </c>
      <c r="AU34" s="86">
        <f>RSeed!AU34*(1-(MOVE!$X$6/RSeed!AU34))</f>
        <v>1.2507578750764589E-2</v>
      </c>
      <c r="AV34" s="86">
        <f>RSeed!AV34*(1-(MOVE!$X$6/RSeed!AV34))</f>
        <v>1.2507578750764589E-2</v>
      </c>
      <c r="AW34" s="86">
        <f>RSeed!AW34*(1-(MOVE!$X$6/RSeed!AW34))</f>
        <v>1.2507578750764589E-2</v>
      </c>
      <c r="AX34" s="86">
        <f>RSeed!AX34*(1-(MOVE!$X$6/RSeed!AX34))</f>
        <v>1.2507578750764589E-2</v>
      </c>
      <c r="AY34" s="87">
        <f>RSeed!AY34*(1-(MOVE!$X$6/RSeed!AY34))</f>
        <v>1.2507578750764589E-2</v>
      </c>
      <c r="AZ34" s="72">
        <f>RSeed!AZ34*(1-(MOVE!$X$6/RSeed!AZ34))</f>
        <v>1.2507578750764589E-2</v>
      </c>
      <c r="BA34" s="35">
        <v>16</v>
      </c>
    </row>
    <row r="35" spans="2:53" x14ac:dyDescent="0.2">
      <c r="B35" s="34">
        <v>17</v>
      </c>
      <c r="C35" s="72">
        <f>RSeed!C35*(1-(MOVE!$C$6/RSeed!C35))</f>
        <v>1.2507578750764589E-2</v>
      </c>
      <c r="D35" s="74">
        <f>RSeed!D35*(1-(MOVE!$C$6/RSeed!D35))</f>
        <v>1.2507578750764589E-2</v>
      </c>
      <c r="E35" s="75">
        <f>RSeed!E35*(1-(MOVE!$C$6/RSeed!E35))</f>
        <v>1.2507578750764589E-2</v>
      </c>
      <c r="F35" s="75">
        <f>RSeed!F35*(1-(MOVE!$C$6/RSeed!F35))</f>
        <v>1.2507578750764589E-2</v>
      </c>
      <c r="G35" s="75">
        <f>RSeed!G35*(1-(MOVE!$C$6/RSeed!G35))</f>
        <v>1.2507578750764589E-2</v>
      </c>
      <c r="H35" s="75">
        <f>RSeed!H35*(1-(MOVE!$C$6/RSeed!H35))</f>
        <v>1.2507578750764589E-2</v>
      </c>
      <c r="I35" s="75">
        <f>RSeed!I35*(1-(MOVE!$C$6/RSeed!I35))</f>
        <v>1.2507578750764589E-2</v>
      </c>
      <c r="J35" s="75">
        <f>RSeed!J35*(1-(MOVE!$C$6/RSeed!J35))</f>
        <v>1.2507578750764589E-2</v>
      </c>
      <c r="K35" s="75">
        <f>RSeed!K35*(1-(MOVE!$C$6/RSeed!K35))</f>
        <v>1.2507578750764589E-2</v>
      </c>
      <c r="L35" s="75">
        <f>RSeed!L35*(1-(MOVE!$C$6/RSeed!L35))</f>
        <v>1.2507578750764589E-2</v>
      </c>
      <c r="M35" s="75">
        <f>RSeed!M35*(1-(MOVE!$C$6/RSeed!M35))</f>
        <v>1.2507578750764589E-2</v>
      </c>
      <c r="N35" s="75">
        <f>RSeed!N35*(1-(MOVE!$C$6/RSeed!N35))</f>
        <v>1.2507578750764589E-2</v>
      </c>
      <c r="O35" s="75">
        <f>RSeed!O35*(1-(MOVE!$C$6/RSeed!O35))</f>
        <v>1.2507578750764589E-2</v>
      </c>
      <c r="P35" s="75">
        <f>RSeed!P35*(1-(MOVE!$C$6/RSeed!P35))</f>
        <v>1.2507578750764589E-2</v>
      </c>
      <c r="Q35" s="75">
        <f>RSeed!Q35*(1-(MOVE!$C$6/RSeed!Q35))</f>
        <v>1.2507578750764589E-2</v>
      </c>
      <c r="R35" s="75">
        <f>RSeed!R35*(1-(MOVE!$C$6/RSeed!R35))</f>
        <v>1.2507578750764589E-2</v>
      </c>
      <c r="S35" s="75">
        <f>RSeed!S35*(1-(MOVE!$C$6/RSeed!S35))</f>
        <v>1.2507578750764589E-2</v>
      </c>
      <c r="T35" s="75">
        <f>RSeed!T35*(1-(MOVE!$C$6/RSeed!T35))</f>
        <v>1.2507578750764589E-2</v>
      </c>
      <c r="U35" s="75">
        <f>RSeed!U35*(1-(MOVE!$C$6/RSeed!U35))</f>
        <v>1.2507578750764589E-2</v>
      </c>
      <c r="V35" s="75">
        <f>RSeed!V35*(1-(MOVE!$C$6/RSeed!V35))</f>
        <v>1.2507578750764589E-2</v>
      </c>
      <c r="W35" s="109">
        <f>RSeed!W35*(1-(MOVE!$J$6/RSeed!W35))</f>
        <v>1.2507578750764589E-2</v>
      </c>
      <c r="X35" s="83">
        <f>RSeed!X35*(1-(MOVE!$J$6/RSeed!X35))</f>
        <v>1.2507578750764589E-2</v>
      </c>
      <c r="Y35" s="83">
        <f>RSeed!Y35*(1-(MOVE!$J$6/RSeed!Y35))</f>
        <v>1.2507578750764589E-2</v>
      </c>
      <c r="Z35" s="83">
        <f>RSeed!Z35*(1-(MOVE!$J$6/RSeed!Z35))</f>
        <v>1.2507578750764589E-2</v>
      </c>
      <c r="AA35" s="83">
        <f>RSeed!AA35*(1-(MOVE!$J$6/RSeed!AA35))</f>
        <v>1.2507578750764589E-2</v>
      </c>
      <c r="AB35" s="150">
        <f>RSeed!AB35*(1-(MOVE!$J$6/RSeed!AB35))</f>
        <v>1.2507578750764589E-2</v>
      </c>
      <c r="AC35" s="150">
        <f>RSeed!AC35*(1-(MOVE!$J$6/RSeed!AC35))</f>
        <v>1.2507578750764589E-2</v>
      </c>
      <c r="AD35" s="150">
        <f>RSeed!AD35*(1-(MOVE!$J$6/RSeed!AD35))</f>
        <v>1.2507578750764589E-2</v>
      </c>
      <c r="AE35" s="150">
        <f>RSeed!AE35*(1-(MOVE!$J$6/RSeed!AE35))</f>
        <v>1.2507578750764589E-2</v>
      </c>
      <c r="AF35" s="83">
        <f>RSeed!AF35*(1-(MOVE!$J$6/RSeed!AF35))</f>
        <v>1.2507578750764589E-2</v>
      </c>
      <c r="AG35" s="83">
        <f>RSeed!AG35*(1-(MOVE!$J$6/RSeed!AG35))</f>
        <v>1.2507578750764589E-2</v>
      </c>
      <c r="AH35" s="83">
        <f>RSeed!AH35*(1-(MOVE!$J$6/RSeed!AH35))</f>
        <v>1.2507578750764589E-2</v>
      </c>
      <c r="AI35" s="83">
        <f>RSeed!AI35*(1-(MOVE!$J$6/RSeed!AI35))</f>
        <v>1.2507578750764589E-2</v>
      </c>
      <c r="AJ35" s="83">
        <f>RSeed!AJ35*(1-(MOVE!$J$6/RSeed!AJ35))</f>
        <v>1.2507578750764589E-2</v>
      </c>
      <c r="AK35" s="83">
        <f>RSeed!AK35*(1-(MOVE!$J$6/RSeed!AK35))</f>
        <v>1.2507578750764589E-2</v>
      </c>
      <c r="AL35" s="83">
        <f>RSeed!AL35*(1-(MOVE!$J$6/RSeed!AL35))</f>
        <v>1.2507578750764589E-2</v>
      </c>
      <c r="AM35" s="83">
        <f>RSeed!AM35*(1-(MOVE!$J$6/RSeed!AM35))</f>
        <v>1.2507578750764589E-2</v>
      </c>
      <c r="AN35" s="83">
        <f>RSeed!AN35*(1-(MOVE!$J$6/RSeed!AN35))</f>
        <v>1.2507578750764589E-2</v>
      </c>
      <c r="AO35" s="83">
        <f>RSeed!AO35*(1-(MOVE!$J$6/RSeed!AO35))</f>
        <v>1.2507578750764589E-2</v>
      </c>
      <c r="AP35" s="83">
        <f>RSeed!AP35*(1-(MOVE!$J$6/RSeed!AP35))</f>
        <v>1.2507578750764589E-2</v>
      </c>
      <c r="AQ35" s="110">
        <f>RSeed!AQ35*(1-(MOVE!$J$6/RSeed!AQ35))</f>
        <v>1.2507578750764589E-2</v>
      </c>
      <c r="AR35" s="92">
        <f>RSeed!AR35*(1-(MOVE!$X$6/RSeed!AR35))</f>
        <v>1.2507578750764589E-2</v>
      </c>
      <c r="AS35" s="86">
        <f>RSeed!AS35*(1-(MOVE!$X$6/RSeed!AS35))</f>
        <v>1.2507578750764589E-2</v>
      </c>
      <c r="AT35" s="86">
        <f>RSeed!AT35*(1-(MOVE!$X$6/RSeed!AT35))</f>
        <v>1.2507578750764589E-2</v>
      </c>
      <c r="AU35" s="86">
        <f>RSeed!AU35*(1-(MOVE!$X$6/RSeed!AU35))</f>
        <v>1.2507578750764589E-2</v>
      </c>
      <c r="AV35" s="86">
        <f>RSeed!AV35*(1-(MOVE!$X$6/RSeed!AV35))</f>
        <v>1.2507578750764589E-2</v>
      </c>
      <c r="AW35" s="86">
        <f>RSeed!AW35*(1-(MOVE!$X$6/RSeed!AW35))</f>
        <v>1.2507578750764589E-2</v>
      </c>
      <c r="AX35" s="86">
        <f>RSeed!AX35*(1-(MOVE!$X$6/RSeed!AX35))</f>
        <v>1.2507578750764589E-2</v>
      </c>
      <c r="AY35" s="87">
        <f>RSeed!AY35*(1-(MOVE!$X$6/RSeed!AY35))</f>
        <v>1.2507578750764589E-2</v>
      </c>
      <c r="AZ35" s="72">
        <f>RSeed!AZ35*(1-(MOVE!$X$6/RSeed!AZ35))</f>
        <v>1.2507578750764589E-2</v>
      </c>
      <c r="BA35" s="35">
        <v>17</v>
      </c>
    </row>
    <row r="36" spans="2:53" x14ac:dyDescent="0.2">
      <c r="B36" s="34">
        <v>18</v>
      </c>
      <c r="C36" s="72">
        <f>RSeed!C36*(1-(MOVE!$C$6/RSeed!C36))</f>
        <v>1.2507578750764589E-2</v>
      </c>
      <c r="D36" s="74">
        <f>RSeed!D36*(1-(MOVE!$C$6/RSeed!D36))</f>
        <v>1.2507578750764589E-2</v>
      </c>
      <c r="E36" s="75">
        <f>RSeed!E36*(1-(MOVE!$C$6/RSeed!E36))</f>
        <v>1.2507578750764589E-2</v>
      </c>
      <c r="F36" s="75">
        <f>RSeed!F36*(1-(MOVE!$C$6/RSeed!F36))</f>
        <v>1.2507578750764589E-2</v>
      </c>
      <c r="G36" s="75">
        <f>RSeed!G36*(1-(MOVE!$C$6/RSeed!G36))</f>
        <v>1.2507578750764589E-2</v>
      </c>
      <c r="H36" s="75">
        <f>RSeed!H36*(1-(MOVE!$C$6/RSeed!H36))</f>
        <v>1.2507578750764589E-2</v>
      </c>
      <c r="I36" s="75">
        <f>RSeed!I36*(1-(MOVE!$C$6/RSeed!I36))</f>
        <v>1.2507578750764589E-2</v>
      </c>
      <c r="J36" s="75">
        <f>RSeed!J36*(1-(MOVE!$C$6/RSeed!J36))</f>
        <v>1.2507578750764589E-2</v>
      </c>
      <c r="K36" s="75">
        <f>RSeed!K36*(1-(MOVE!$C$6/RSeed!K36))</f>
        <v>1.2507578750764589E-2</v>
      </c>
      <c r="L36" s="75">
        <f>RSeed!L36*(1-(MOVE!$C$6/RSeed!L36))</f>
        <v>1.2507578750764589E-2</v>
      </c>
      <c r="M36" s="75">
        <f>RSeed!M36*(1-(MOVE!$C$6/RSeed!M36))</f>
        <v>1.2507578750764589E-2</v>
      </c>
      <c r="N36" s="75">
        <f>RSeed!N36*(1-(MOVE!$C$6/RSeed!N36))</f>
        <v>1.2507578750764589E-2</v>
      </c>
      <c r="O36" s="75">
        <f>RSeed!O36*(1-(MOVE!$C$6/RSeed!O36))</f>
        <v>1.2507578750764589E-2</v>
      </c>
      <c r="P36" s="75">
        <f>RSeed!P36*(1-(MOVE!$C$6/RSeed!P36))</f>
        <v>1.2507578750764589E-2</v>
      </c>
      <c r="Q36" s="75">
        <f>RSeed!Q36*(1-(MOVE!$C$6/RSeed!Q36))</f>
        <v>1.2507578750764589E-2</v>
      </c>
      <c r="R36" s="75">
        <f>RSeed!R36*(1-(MOVE!$C$6/RSeed!R36))</f>
        <v>1.2507578750764589E-2</v>
      </c>
      <c r="S36" s="75">
        <f>RSeed!S36*(1-(MOVE!$C$6/RSeed!S36))</f>
        <v>1.2507578750764589E-2</v>
      </c>
      <c r="T36" s="75">
        <f>RSeed!T36*(1-(MOVE!$C$6/RSeed!T36))</f>
        <v>1.2507578750764589E-2</v>
      </c>
      <c r="U36" s="75">
        <f>RSeed!U36*(1-(MOVE!$C$6/RSeed!U36))</f>
        <v>1.2507578750764589E-2</v>
      </c>
      <c r="V36" s="75">
        <f>RSeed!V36*(1-(MOVE!$C$6/RSeed!V36))</f>
        <v>1.2507578750764589E-2</v>
      </c>
      <c r="W36" s="109">
        <f>RSeed!W36*(1-(MOVE!$J$6/RSeed!W36))</f>
        <v>1.2507578750764589E-2</v>
      </c>
      <c r="X36" s="83">
        <f>RSeed!X36*(1-(MOVE!$J$6/RSeed!X36))</f>
        <v>1.2507578750764589E-2</v>
      </c>
      <c r="Y36" s="83">
        <f>RSeed!Y36*(1-(MOVE!$J$6/RSeed!Y36))</f>
        <v>1.2507578750764589E-2</v>
      </c>
      <c r="Z36" s="83">
        <f>RSeed!Z36*(1-(MOVE!$J$6/RSeed!Z36))</f>
        <v>1.2507578750764589E-2</v>
      </c>
      <c r="AA36" s="83">
        <f>RSeed!AA36*(1-(MOVE!$J$6/RSeed!AA36))</f>
        <v>1.2507578750764589E-2</v>
      </c>
      <c r="AB36" s="150">
        <f>RSeed!AB36*(1-(MOVE!$J$6/RSeed!AB36))</f>
        <v>1.2507578750764589E-2</v>
      </c>
      <c r="AC36" s="150">
        <f>RSeed!AC36*(1-(MOVE!$J$6/RSeed!AC36))</f>
        <v>1.2507578750764589E-2</v>
      </c>
      <c r="AD36" s="150">
        <f>RSeed!AD36*(1-(MOVE!$J$6/RSeed!AD36))</f>
        <v>1.2507578750764589E-2</v>
      </c>
      <c r="AE36" s="150">
        <f>RSeed!AE36*(1-(MOVE!$J$6/RSeed!AE36))</f>
        <v>1.2507578750764589E-2</v>
      </c>
      <c r="AF36" s="83">
        <f>RSeed!AF36*(1-(MOVE!$J$6/RSeed!AF36))</f>
        <v>1.2507578750764589E-2</v>
      </c>
      <c r="AG36" s="83">
        <f>RSeed!AG36*(1-(MOVE!$J$6/RSeed!AG36))</f>
        <v>1.2507578750764589E-2</v>
      </c>
      <c r="AH36" s="83">
        <f>RSeed!AH36*(1-(MOVE!$J$6/RSeed!AH36))</f>
        <v>1.2507578750764589E-2</v>
      </c>
      <c r="AI36" s="83">
        <f>RSeed!AI36*(1-(MOVE!$J$6/RSeed!AI36))</f>
        <v>1.2507578750764589E-2</v>
      </c>
      <c r="AJ36" s="83">
        <f>RSeed!AJ36*(1-(MOVE!$J$6/RSeed!AJ36))</f>
        <v>1.2507578750764589E-2</v>
      </c>
      <c r="AK36" s="83">
        <f>RSeed!AK36*(1-(MOVE!$J$6/RSeed!AK36))</f>
        <v>1.2507578750764589E-2</v>
      </c>
      <c r="AL36" s="83">
        <f>RSeed!AL36*(1-(MOVE!$J$6/RSeed!AL36))</f>
        <v>1.2507578750764589E-2</v>
      </c>
      <c r="AM36" s="83">
        <f>RSeed!AM36*(1-(MOVE!$J$6/RSeed!AM36))</f>
        <v>1.2507578750764589E-2</v>
      </c>
      <c r="AN36" s="83">
        <f>RSeed!AN36*(1-(MOVE!$J$6/RSeed!AN36))</f>
        <v>1.2507578750764589E-2</v>
      </c>
      <c r="AO36" s="83">
        <f>RSeed!AO36*(1-(MOVE!$J$6/RSeed!AO36))</f>
        <v>1.2507578750764589E-2</v>
      </c>
      <c r="AP36" s="83">
        <f>RSeed!AP36*(1-(MOVE!$J$6/RSeed!AP36))</f>
        <v>1.2507578750764589E-2</v>
      </c>
      <c r="AQ36" s="110">
        <f>RSeed!AQ36*(1-(MOVE!$J$6/RSeed!AQ36))</f>
        <v>1.2507578750764589E-2</v>
      </c>
      <c r="AR36" s="92">
        <f>RSeed!AR36*(1-(MOVE!$X$6/RSeed!AR36))</f>
        <v>1.2507578750764589E-2</v>
      </c>
      <c r="AS36" s="86">
        <f>RSeed!AS36*(1-(MOVE!$X$6/RSeed!AS36))</f>
        <v>1.2507578750764589E-2</v>
      </c>
      <c r="AT36" s="86">
        <f>RSeed!AT36*(1-(MOVE!$X$6/RSeed!AT36))</f>
        <v>1.2507578750764589E-2</v>
      </c>
      <c r="AU36" s="86">
        <f>RSeed!AU36*(1-(MOVE!$X$6/RSeed!AU36))</f>
        <v>1.2507578750764589E-2</v>
      </c>
      <c r="AV36" s="86">
        <f>RSeed!AV36*(1-(MOVE!$X$6/RSeed!AV36))</f>
        <v>1.2507578750764589E-2</v>
      </c>
      <c r="AW36" s="86">
        <f>RSeed!AW36*(1-(MOVE!$X$6/RSeed!AW36))</f>
        <v>1.2507578750764589E-2</v>
      </c>
      <c r="AX36" s="86">
        <f>RSeed!AX36*(1-(MOVE!$X$6/RSeed!AX36))</f>
        <v>1.2507578750764589E-2</v>
      </c>
      <c r="AY36" s="87">
        <f>RSeed!AY36*(1-(MOVE!$X$6/RSeed!AY36))</f>
        <v>1.2507578750764589E-2</v>
      </c>
      <c r="AZ36" s="72">
        <f>RSeed!AZ36*(1-(MOVE!$X$6/RSeed!AZ36))</f>
        <v>1.2507578750764589E-2</v>
      </c>
      <c r="BA36" s="35">
        <v>18</v>
      </c>
    </row>
    <row r="37" spans="2:53" x14ac:dyDescent="0.2">
      <c r="B37" s="34">
        <v>19</v>
      </c>
      <c r="C37" s="72">
        <f>RSeed!C37*(1-(MOVE!$C$6/RSeed!C37))</f>
        <v>1.2507578750764589E-2</v>
      </c>
      <c r="D37" s="74">
        <f>RSeed!D37*(1-(MOVE!$C$6/RSeed!D37))</f>
        <v>1.2507578750764589E-2</v>
      </c>
      <c r="E37" s="75">
        <f>RSeed!E37*(1-(MOVE!$C$6/RSeed!E37))</f>
        <v>1.2507578750764589E-2</v>
      </c>
      <c r="F37" s="75">
        <f>RSeed!F37*(1-(MOVE!$C$6/RSeed!F37))</f>
        <v>1.2507578750764589E-2</v>
      </c>
      <c r="G37" s="75">
        <f>RSeed!G37*(1-(MOVE!$C$6/RSeed!G37))</f>
        <v>1.2507578750764589E-2</v>
      </c>
      <c r="H37" s="75">
        <f>RSeed!H37*(1-(MOVE!$C$6/RSeed!H37))</f>
        <v>1.2507578750764589E-2</v>
      </c>
      <c r="I37" s="75">
        <f>RSeed!I37*(1-(MOVE!$C$6/RSeed!I37))</f>
        <v>1.2507578750764589E-2</v>
      </c>
      <c r="J37" s="75">
        <f>RSeed!J37*(1-(MOVE!$C$6/RSeed!J37))</f>
        <v>1.2507578750764589E-2</v>
      </c>
      <c r="K37" s="75">
        <f>RSeed!K37*(1-(MOVE!$C$6/RSeed!K37))</f>
        <v>1.2507578750764589E-2</v>
      </c>
      <c r="L37" s="75">
        <f>RSeed!L37*(1-(MOVE!$C$6/RSeed!L37))</f>
        <v>1.2507578750764589E-2</v>
      </c>
      <c r="M37" s="75">
        <f>RSeed!M37*(1-(MOVE!$C$6/RSeed!M37))</f>
        <v>1.2507578750764589E-2</v>
      </c>
      <c r="N37" s="75">
        <f>RSeed!N37*(1-(MOVE!$C$6/RSeed!N37))</f>
        <v>1.2507578750764589E-2</v>
      </c>
      <c r="O37" s="75">
        <f>RSeed!O37*(1-(MOVE!$C$6/RSeed!O37))</f>
        <v>1.2507578750764589E-2</v>
      </c>
      <c r="P37" s="75">
        <f>RSeed!P37*(1-(MOVE!$C$6/RSeed!P37))</f>
        <v>1.2507578750764589E-2</v>
      </c>
      <c r="Q37" s="75">
        <f>RSeed!Q37*(1-(MOVE!$C$6/RSeed!Q37))</f>
        <v>1.2507578750764589E-2</v>
      </c>
      <c r="R37" s="75">
        <f>RSeed!R37*(1-(MOVE!$C$6/RSeed!R37))</f>
        <v>1.2507578750764589E-2</v>
      </c>
      <c r="S37" s="75">
        <f>RSeed!S37*(1-(MOVE!$C$6/RSeed!S37))</f>
        <v>1.2507578750764589E-2</v>
      </c>
      <c r="T37" s="75">
        <f>RSeed!T37*(1-(MOVE!$C$6/RSeed!T37))</f>
        <v>1.2507578750764589E-2</v>
      </c>
      <c r="U37" s="75">
        <f>RSeed!U37*(1-(MOVE!$C$6/RSeed!U37))</f>
        <v>1.2507578750764589E-2</v>
      </c>
      <c r="V37" s="75">
        <f>RSeed!V37*(1-(MOVE!$C$6/RSeed!V37))</f>
        <v>1.2507578750764589E-2</v>
      </c>
      <c r="W37" s="109">
        <f>RSeed!W37*(1-(MOVE!$J$6/RSeed!W37))</f>
        <v>1.2507578750764589E-2</v>
      </c>
      <c r="X37" s="83">
        <f>RSeed!X37*(1-(MOVE!$J$6/RSeed!X37))</f>
        <v>1.2507578750764589E-2</v>
      </c>
      <c r="Y37" s="83">
        <f>RSeed!Y37*(1-(MOVE!$J$6/RSeed!Y37))</f>
        <v>1.2507578750764589E-2</v>
      </c>
      <c r="Z37" s="83">
        <f>RSeed!Z37*(1-(MOVE!$J$6/RSeed!Z37))</f>
        <v>1.2507578750764589E-2</v>
      </c>
      <c r="AA37" s="83">
        <f>RSeed!AA37*(1-(MOVE!$J$6/RSeed!AA37))</f>
        <v>1.2507578750764589E-2</v>
      </c>
      <c r="AB37" s="150">
        <f>RSeed!AB37*(1-(MOVE!$J$6/RSeed!AB37))</f>
        <v>1.2507578750764589E-2</v>
      </c>
      <c r="AC37" s="150">
        <f>RSeed!AC37*(1-(MOVE!$J$6/RSeed!AC37))</f>
        <v>1.2507578750764589E-2</v>
      </c>
      <c r="AD37" s="150">
        <f>RSeed!AD37*(1-(MOVE!$J$6/RSeed!AD37))</f>
        <v>1.2507578750764589E-2</v>
      </c>
      <c r="AE37" s="150">
        <f>RSeed!AE37*(1-(MOVE!$J$6/RSeed!AE37))</f>
        <v>1.2507578750764589E-2</v>
      </c>
      <c r="AF37" s="83">
        <f>RSeed!AF37*(1-(MOVE!$J$6/RSeed!AF37))</f>
        <v>1.2507578750764589E-2</v>
      </c>
      <c r="AG37" s="83">
        <f>RSeed!AG37*(1-(MOVE!$J$6/RSeed!AG37))</f>
        <v>1.2507578750764589E-2</v>
      </c>
      <c r="AH37" s="83">
        <f>RSeed!AH37*(1-(MOVE!$J$6/RSeed!AH37))</f>
        <v>1.2507578750764589E-2</v>
      </c>
      <c r="AI37" s="83">
        <f>RSeed!AI37*(1-(MOVE!$J$6/RSeed!AI37))</f>
        <v>1.2507578750764589E-2</v>
      </c>
      <c r="AJ37" s="83">
        <f>RSeed!AJ37*(1-(MOVE!$J$6/RSeed!AJ37))</f>
        <v>1.2507578750764589E-2</v>
      </c>
      <c r="AK37" s="83">
        <f>RSeed!AK37*(1-(MOVE!$J$6/RSeed!AK37))</f>
        <v>1.2507578750764589E-2</v>
      </c>
      <c r="AL37" s="83">
        <f>RSeed!AL37*(1-(MOVE!$J$6/RSeed!AL37))</f>
        <v>1.2507578750764589E-2</v>
      </c>
      <c r="AM37" s="83">
        <f>RSeed!AM37*(1-(MOVE!$J$6/RSeed!AM37))</f>
        <v>1.2507578750764589E-2</v>
      </c>
      <c r="AN37" s="83">
        <f>RSeed!AN37*(1-(MOVE!$J$6/RSeed!AN37))</f>
        <v>1.2507578750764589E-2</v>
      </c>
      <c r="AO37" s="83">
        <f>RSeed!AO37*(1-(MOVE!$J$6/RSeed!AO37))</f>
        <v>1.2507578750764589E-2</v>
      </c>
      <c r="AP37" s="83">
        <f>RSeed!AP37*(1-(MOVE!$J$6/RSeed!AP37))</f>
        <v>1.2507578750764589E-2</v>
      </c>
      <c r="AQ37" s="110">
        <f>RSeed!AQ37*(1-(MOVE!$J$6/RSeed!AQ37))</f>
        <v>1.2507578750764589E-2</v>
      </c>
      <c r="AR37" s="92">
        <f>RSeed!AR37*(1-(MOVE!$X$6/RSeed!AR37))</f>
        <v>1.2507578750764589E-2</v>
      </c>
      <c r="AS37" s="86">
        <f>RSeed!AS37*(1-(MOVE!$X$6/RSeed!AS37))</f>
        <v>1.2507578750764589E-2</v>
      </c>
      <c r="AT37" s="86">
        <f>RSeed!AT37*(1-(MOVE!$X$6/RSeed!AT37))</f>
        <v>1.2507578750764589E-2</v>
      </c>
      <c r="AU37" s="86">
        <f>RSeed!AU37*(1-(MOVE!$X$6/RSeed!AU37))</f>
        <v>1.2507578750764589E-2</v>
      </c>
      <c r="AV37" s="86">
        <f>RSeed!AV37*(1-(MOVE!$X$6/RSeed!AV37))</f>
        <v>1.2507578750764589E-2</v>
      </c>
      <c r="AW37" s="86">
        <f>RSeed!AW37*(1-(MOVE!$X$6/RSeed!AW37))</f>
        <v>1.2507578750764589E-2</v>
      </c>
      <c r="AX37" s="86">
        <f>RSeed!AX37*(1-(MOVE!$X$6/RSeed!AX37))</f>
        <v>1.2507578750764589E-2</v>
      </c>
      <c r="AY37" s="87">
        <f>RSeed!AY37*(1-(MOVE!$X$6/RSeed!AY37))</f>
        <v>1.2507578750764589E-2</v>
      </c>
      <c r="AZ37" s="72">
        <f>RSeed!AZ37*(1-(MOVE!$X$6/RSeed!AZ37))</f>
        <v>1.2507578750764589E-2</v>
      </c>
      <c r="BA37" s="35">
        <v>19</v>
      </c>
    </row>
    <row r="38" spans="2:53" x14ac:dyDescent="0.2">
      <c r="B38" s="34">
        <v>20</v>
      </c>
      <c r="C38" s="72">
        <f>RSeed!C38*(1-(MOVE!$C$6/RSeed!C38))</f>
        <v>1.2507578750764589E-2</v>
      </c>
      <c r="D38" s="74">
        <f>RSeed!D38*(1-(MOVE!$C$6/RSeed!D38))</f>
        <v>1.2507578750764589E-2</v>
      </c>
      <c r="E38" s="75">
        <f>RSeed!E38*(1-(MOVE!$C$6/RSeed!E38))</f>
        <v>1.2507578750764589E-2</v>
      </c>
      <c r="F38" s="75">
        <f>RSeed!F38*(1-(MOVE!$C$6/RSeed!F38))</f>
        <v>1.2507578750764589E-2</v>
      </c>
      <c r="G38" s="75">
        <f>RSeed!G38*(1-(MOVE!$C$6/RSeed!G38))</f>
        <v>1.2507578750764589E-2</v>
      </c>
      <c r="H38" s="75">
        <f>RSeed!H38*(1-(MOVE!$C$6/RSeed!H38))</f>
        <v>1.2507578750764589E-2</v>
      </c>
      <c r="I38" s="75">
        <f>RSeed!I38*(1-(MOVE!$C$6/RSeed!I38))</f>
        <v>1.2507578750764589E-2</v>
      </c>
      <c r="J38" s="75">
        <f>RSeed!J38*(1-(MOVE!$C$6/RSeed!J38))</f>
        <v>1.2507578750764589E-2</v>
      </c>
      <c r="K38" s="75">
        <f>RSeed!K38*(1-(MOVE!$C$6/RSeed!K38))</f>
        <v>1.2507578750764589E-2</v>
      </c>
      <c r="L38" s="106">
        <f>RSeed!L38*(1-(MOVE!$J$6/RSeed!L38))</f>
        <v>1.2507578750764589E-2</v>
      </c>
      <c r="M38" s="107">
        <f>RSeed!M38*(1-(MOVE!$J$6/RSeed!M38))</f>
        <v>1.2507578750764589E-2</v>
      </c>
      <c r="N38" s="107">
        <f>RSeed!N38*(1-(MOVE!$J$6/RSeed!N38))</f>
        <v>1.2507578750764589E-2</v>
      </c>
      <c r="O38" s="107">
        <f>RSeed!O38*(1-(MOVE!$J$6/RSeed!O38))</f>
        <v>1.2507578750764589E-2</v>
      </c>
      <c r="P38" s="138">
        <f>RSeed!P38*(1-(MOVE!$J$6/RSeed!P38))</f>
        <v>1.2507578750764589E-2</v>
      </c>
      <c r="Q38" s="138">
        <f>RSeed!Q38*(1-(MOVE!$J$6/RSeed!Q38))</f>
        <v>1.2507578750764589E-2</v>
      </c>
      <c r="R38" s="138">
        <f>RSeed!R38*(1-(MOVE!$J$6/RSeed!R38))</f>
        <v>1.2507578750764589E-2</v>
      </c>
      <c r="S38" s="138">
        <f>RSeed!S38*(1-(MOVE!$J$6/RSeed!S38))</f>
        <v>1.2507578750764589E-2</v>
      </c>
      <c r="T38" s="107">
        <f>RSeed!T38*(1-(MOVE!$J$6/RSeed!T38))</f>
        <v>1.2507578750764589E-2</v>
      </c>
      <c r="U38" s="107">
        <f>RSeed!U38*(1-(MOVE!$J$6/RSeed!U38))</f>
        <v>1.2507578750764589E-2</v>
      </c>
      <c r="V38" s="107">
        <f>RSeed!V38*(1-(MOVE!$J$6/RSeed!V38))</f>
        <v>1.2507578750764589E-2</v>
      </c>
      <c r="W38" s="83">
        <f>RSeed!W38*(1-(MOVE!$J$6/RSeed!W38))</f>
        <v>1.2507578750764589E-2</v>
      </c>
      <c r="X38" s="83">
        <f>RSeed!X38*(1-(MOVE!$J$6/RSeed!X38))</f>
        <v>1.2507578750764589E-2</v>
      </c>
      <c r="Y38" s="83">
        <f>RSeed!Y38*(1-(MOVE!$J$6/RSeed!Y38))</f>
        <v>1.2507578750764589E-2</v>
      </c>
      <c r="Z38" s="83">
        <f>RSeed!Z38*(1-(MOVE!$J$6/RSeed!Z38))</f>
        <v>1.2507578750764589E-2</v>
      </c>
      <c r="AA38" s="83">
        <f>RSeed!AA38*(1-(MOVE!$J$6/RSeed!AA38))</f>
        <v>1.2507578750764589E-2</v>
      </c>
      <c r="AB38" s="83">
        <f>RSeed!AB38*(1-(MOVE!$J$6/RSeed!AB38))</f>
        <v>1.2507578750764589E-2</v>
      </c>
      <c r="AC38" s="83">
        <f>RSeed!AC38*(1-(MOVE!$J$6/RSeed!AC38))</f>
        <v>1.2507578750764589E-2</v>
      </c>
      <c r="AD38" s="83">
        <f>RSeed!AD38*(1-(MOVE!$J$6/RSeed!AD38))</f>
        <v>1.2507578750764589E-2</v>
      </c>
      <c r="AE38" s="83">
        <f>RSeed!AE38*(1-(MOVE!$J$6/RSeed!AE38))</f>
        <v>1.2507578750764589E-2</v>
      </c>
      <c r="AF38" s="83">
        <f>RSeed!AF38*(1-(MOVE!$J$6/RSeed!AF38))</f>
        <v>1.2507578750764589E-2</v>
      </c>
      <c r="AG38" s="83">
        <f>RSeed!AG38*(1-(MOVE!$J$6/RSeed!AG38))</f>
        <v>1.2507578750764589E-2</v>
      </c>
      <c r="AH38" s="83">
        <f>RSeed!AH38*(1-(MOVE!$J$6/RSeed!AH38))</f>
        <v>1.2507578750764589E-2</v>
      </c>
      <c r="AI38" s="83">
        <f>RSeed!AI38*(1-(MOVE!$J$6/RSeed!AI38))</f>
        <v>1.2507578750764589E-2</v>
      </c>
      <c r="AJ38" s="83">
        <f>RSeed!AJ38*(1-(MOVE!$J$6/RSeed!AJ38))</f>
        <v>1.2507578750764589E-2</v>
      </c>
      <c r="AK38" s="83">
        <f>RSeed!AK38*(1-(MOVE!$J$6/RSeed!AK38))</f>
        <v>1.2507578750764589E-2</v>
      </c>
      <c r="AL38" s="83">
        <f>RSeed!AL38*(1-(MOVE!$J$6/RSeed!AL38))</f>
        <v>1.2507578750764589E-2</v>
      </c>
      <c r="AM38" s="83">
        <f>RSeed!AM38*(1-(MOVE!$J$6/RSeed!AM38))</f>
        <v>1.2507578750764589E-2</v>
      </c>
      <c r="AN38" s="83">
        <f>RSeed!AN38*(1-(MOVE!$J$6/RSeed!AN38))</f>
        <v>1.2507578750764589E-2</v>
      </c>
      <c r="AO38" s="83">
        <f>RSeed!AO38*(1-(MOVE!$J$6/RSeed!AO38))</f>
        <v>1.2507578750764589E-2</v>
      </c>
      <c r="AP38" s="83">
        <f>RSeed!AP38*(1-(MOVE!$J$6/RSeed!AP38))</f>
        <v>1.2507578750764589E-2</v>
      </c>
      <c r="AQ38" s="110">
        <f>RSeed!AQ38*(1-(MOVE!$J$6/RSeed!AQ38))</f>
        <v>1.2507578750764589E-2</v>
      </c>
      <c r="AR38" s="92">
        <f>RSeed!AR38*(1-(MOVE!$X$6/RSeed!AR38))</f>
        <v>1.2507578750764589E-2</v>
      </c>
      <c r="AS38" s="86">
        <f>RSeed!AS38*(1-(MOVE!$X$6/RSeed!AS38))</f>
        <v>1.2507578750764589E-2</v>
      </c>
      <c r="AT38" s="86">
        <f>RSeed!AT38*(1-(MOVE!$X$6/RSeed!AT38))</f>
        <v>1.2507578750764589E-2</v>
      </c>
      <c r="AU38" s="86">
        <f>RSeed!AU38*(1-(MOVE!$X$6/RSeed!AU38))</f>
        <v>1.2507578750764589E-2</v>
      </c>
      <c r="AV38" s="86">
        <f>RSeed!AV38*(1-(MOVE!$X$6/RSeed!AV38))</f>
        <v>1.2507578750764589E-2</v>
      </c>
      <c r="AW38" s="86">
        <f>RSeed!AW38*(1-(MOVE!$X$6/RSeed!AW38))</f>
        <v>1.2507578750764589E-2</v>
      </c>
      <c r="AX38" s="86">
        <f>RSeed!AX38*(1-(MOVE!$X$6/RSeed!AX38))</f>
        <v>1.2507578750764589E-2</v>
      </c>
      <c r="AY38" s="87">
        <f>RSeed!AY38*(1-(MOVE!$X$6/RSeed!AY38))</f>
        <v>1.2507578750764589E-2</v>
      </c>
      <c r="AZ38" s="72">
        <f>RSeed!AZ38*(1-(MOVE!$X$6/RSeed!AZ38))</f>
        <v>1.2507578750764589E-2</v>
      </c>
      <c r="BA38" s="35">
        <v>20</v>
      </c>
    </row>
    <row r="39" spans="2:53" x14ac:dyDescent="0.2">
      <c r="B39" s="34">
        <v>21</v>
      </c>
      <c r="C39" s="72">
        <f>RSeed!C39*(1-(MOVE!$C$6/RSeed!C39))</f>
        <v>1.2507578750764589E-2</v>
      </c>
      <c r="D39" s="74">
        <f>RSeed!D39*(1-(MOVE!$C$6/RSeed!D39))</f>
        <v>1.2507578750764589E-2</v>
      </c>
      <c r="E39" s="75">
        <f>RSeed!E39*(1-(MOVE!$C$6/RSeed!E39))</f>
        <v>1.2507578750764589E-2</v>
      </c>
      <c r="F39" s="75">
        <f>RSeed!F39*(1-(MOVE!$C$6/RSeed!F39))</f>
        <v>1.2507578750764589E-2</v>
      </c>
      <c r="G39" s="75">
        <f>RSeed!G39*(1-(MOVE!$C$6/RSeed!G39))</f>
        <v>1.2507578750764589E-2</v>
      </c>
      <c r="H39" s="75">
        <f>RSeed!H39*(1-(MOVE!$C$6/RSeed!H39))</f>
        <v>1.2507578750764589E-2</v>
      </c>
      <c r="I39" s="75">
        <f>RSeed!I39*(1-(MOVE!$C$6/RSeed!I39))</f>
        <v>1.2507578750764589E-2</v>
      </c>
      <c r="J39" s="75">
        <f>RSeed!J39*(1-(MOVE!$C$6/RSeed!J39))</f>
        <v>1.2507578750764589E-2</v>
      </c>
      <c r="K39" s="75">
        <f>RSeed!K39*(1-(MOVE!$C$6/RSeed!K39))</f>
        <v>1.2507578750764589E-2</v>
      </c>
      <c r="L39" s="109">
        <f>RSeed!L39*(1-(MOVE!$J$6/RSeed!L39))</f>
        <v>1.2507578750764589E-2</v>
      </c>
      <c r="M39" s="83">
        <f>RSeed!M39*(1-(MOVE!$J$6/RSeed!M39))</f>
        <v>1.2507578750764589E-2</v>
      </c>
      <c r="N39" s="83">
        <f>RSeed!N39*(1-(MOVE!$J$6/RSeed!N39))</f>
        <v>1.2507578750764589E-2</v>
      </c>
      <c r="O39" s="83">
        <f>RSeed!O39*(1-(MOVE!$J$6/RSeed!O39))</f>
        <v>1.2507578750764589E-2</v>
      </c>
      <c r="P39" s="150">
        <f>RSeed!P39*(1-(MOVE!$J$6/RSeed!P39))</f>
        <v>1.2507578750764589E-2</v>
      </c>
      <c r="Q39" s="150">
        <f>RSeed!Q39*(1-(MOVE!$J$6/RSeed!Q39))</f>
        <v>1.2507578750764589E-2</v>
      </c>
      <c r="R39" s="150">
        <f>RSeed!R39*(1-(MOVE!$J$6/RSeed!R39))</f>
        <v>1.2507578750764589E-2</v>
      </c>
      <c r="S39" s="150">
        <f>RSeed!S39*(1-(MOVE!$J$6/RSeed!S39))</f>
        <v>1.2507578750764589E-2</v>
      </c>
      <c r="T39" s="83">
        <f>RSeed!T39*(1-(MOVE!$J$6/RSeed!T39))</f>
        <v>1.2507578750764589E-2</v>
      </c>
      <c r="U39" s="83">
        <f>RSeed!U39*(1-(MOVE!$J$6/RSeed!U39))</f>
        <v>1.2507578750764589E-2</v>
      </c>
      <c r="V39" s="83">
        <f>RSeed!V39*(1-(MOVE!$J$6/RSeed!V39))</f>
        <v>1.2507578750764589E-2</v>
      </c>
      <c r="W39" s="83">
        <f>RSeed!W39*(1-(MOVE!$J$6/RSeed!W39))</f>
        <v>1.2507578750764589E-2</v>
      </c>
      <c r="X39" s="83">
        <f>RSeed!X39*(1-(MOVE!$J$6/RSeed!X39))</f>
        <v>1.2507578750764589E-2</v>
      </c>
      <c r="Y39" s="83">
        <f>RSeed!Y39*(1-(MOVE!$J$6/RSeed!Y39))</f>
        <v>1.2507578750764589E-2</v>
      </c>
      <c r="Z39" s="83">
        <f>RSeed!Z39*(1-(MOVE!$J$6/RSeed!Z39))</f>
        <v>1.2507578750764589E-2</v>
      </c>
      <c r="AA39" s="83">
        <f>RSeed!AA39*(1-(MOVE!$J$6/RSeed!AA39))</f>
        <v>1.2507578750764589E-2</v>
      </c>
      <c r="AB39" s="83">
        <f>RSeed!AB39*(1-(MOVE!$J$6/RSeed!AB39))</f>
        <v>1.2507578750764589E-2</v>
      </c>
      <c r="AC39" s="83">
        <f>RSeed!AC39*(1-(MOVE!$J$6/RSeed!AC39))</f>
        <v>1.2507578750764589E-2</v>
      </c>
      <c r="AD39" s="83">
        <f>RSeed!AD39*(1-(MOVE!$J$6/RSeed!AD39))</f>
        <v>1.2507578750764589E-2</v>
      </c>
      <c r="AE39" s="83">
        <f>RSeed!AE39*(1-(MOVE!$J$6/RSeed!AE39))</f>
        <v>1.2507578750764589E-2</v>
      </c>
      <c r="AF39" s="83">
        <f>RSeed!AF39*(1-(MOVE!$J$6/RSeed!AF39))</f>
        <v>1.2507578750764589E-2</v>
      </c>
      <c r="AG39" s="83">
        <f>RSeed!AG39*(1-(MOVE!$J$6/RSeed!AG39))</f>
        <v>1.2507578750764589E-2</v>
      </c>
      <c r="AH39" s="83">
        <f>RSeed!AH39*(1-(MOVE!$J$6/RSeed!AH39))</f>
        <v>1.2507578750764589E-2</v>
      </c>
      <c r="AI39" s="83">
        <f>RSeed!AI39*(1-(MOVE!$J$6/RSeed!AI39))</f>
        <v>1.2507578750764589E-2</v>
      </c>
      <c r="AJ39" s="83">
        <f>RSeed!AJ39*(1-(MOVE!$J$6/RSeed!AJ39))</f>
        <v>1.2507578750764589E-2</v>
      </c>
      <c r="AK39" s="83">
        <f>RSeed!AK39*(1-(MOVE!$J$6/RSeed!AK39))</f>
        <v>1.2507578750764589E-2</v>
      </c>
      <c r="AL39" s="83">
        <f>RSeed!AL39*(1-(MOVE!$J$6/RSeed!AL39))</f>
        <v>1.2507578750764589E-2</v>
      </c>
      <c r="AM39" s="83">
        <f>RSeed!AM39*(1-(MOVE!$J$6/RSeed!AM39))</f>
        <v>1.2507578750764589E-2</v>
      </c>
      <c r="AN39" s="83">
        <f>RSeed!AN39*(1-(MOVE!$J$6/RSeed!AN39))</f>
        <v>1.2507578750764589E-2</v>
      </c>
      <c r="AO39" s="83">
        <f>RSeed!AO39*(1-(MOVE!$J$6/RSeed!AO39))</f>
        <v>1.2507578750764589E-2</v>
      </c>
      <c r="AP39" s="83">
        <f>RSeed!AP39*(1-(MOVE!$J$6/RSeed!AP39))</f>
        <v>1.2507578750764589E-2</v>
      </c>
      <c r="AQ39" s="110">
        <f>RSeed!AQ39*(1-(MOVE!$J$6/RSeed!AQ39))</f>
        <v>1.2507578750764589E-2</v>
      </c>
      <c r="AR39" s="92">
        <f>RSeed!AR39*(1-(MOVE!$X$6/RSeed!AR39))</f>
        <v>1.2507578750764589E-2</v>
      </c>
      <c r="AS39" s="86">
        <f>RSeed!AS39*(1-(MOVE!$X$6/RSeed!AS39))</f>
        <v>1.2507578750764589E-2</v>
      </c>
      <c r="AT39" s="86">
        <f>RSeed!AT39*(1-(MOVE!$X$6/RSeed!AT39))</f>
        <v>1.2507578750764589E-2</v>
      </c>
      <c r="AU39" s="86">
        <f>RSeed!AU39*(1-(MOVE!$X$6/RSeed!AU39))</f>
        <v>1.2507578750764589E-2</v>
      </c>
      <c r="AV39" s="86">
        <f>RSeed!AV39*(1-(MOVE!$X$6/RSeed!AV39))</f>
        <v>1.2507578750764589E-2</v>
      </c>
      <c r="AW39" s="86">
        <f>RSeed!AW39*(1-(MOVE!$X$6/RSeed!AW39))</f>
        <v>1.2507578750764589E-2</v>
      </c>
      <c r="AX39" s="86">
        <f>RSeed!AX39*(1-(MOVE!$X$6/RSeed!AX39))</f>
        <v>1.2507578750764589E-2</v>
      </c>
      <c r="AY39" s="87">
        <f>RSeed!AY39*(1-(MOVE!$X$6/RSeed!AY39))</f>
        <v>1.2507578750764589E-2</v>
      </c>
      <c r="AZ39" s="72">
        <f>RSeed!AZ39*(1-(MOVE!$X$6/RSeed!AZ39))</f>
        <v>1.2507578750764589E-2</v>
      </c>
      <c r="BA39" s="35">
        <v>21</v>
      </c>
    </row>
    <row r="40" spans="2:53" x14ac:dyDescent="0.2">
      <c r="B40" s="34">
        <v>22</v>
      </c>
      <c r="C40" s="72">
        <f>RSeed!C40*(1-(MOVE!$C$6/RSeed!C40))</f>
        <v>1.2507578750764589E-2</v>
      </c>
      <c r="D40" s="74">
        <f>RSeed!D40*(1-(MOVE!$C$6/RSeed!D40))</f>
        <v>1.2507578750764589E-2</v>
      </c>
      <c r="E40" s="75">
        <f>RSeed!E40*(1-(MOVE!$C$6/RSeed!E40))</f>
        <v>1.2507578750764589E-2</v>
      </c>
      <c r="F40" s="75">
        <f>RSeed!F40*(1-(MOVE!$C$6/RSeed!F40))</f>
        <v>1.2507578750764589E-2</v>
      </c>
      <c r="G40" s="75">
        <f>RSeed!G40*(1-(MOVE!$C$6/RSeed!G40))</f>
        <v>1.2507578750764589E-2</v>
      </c>
      <c r="H40" s="75">
        <f>RSeed!H40*(1-(MOVE!$C$6/RSeed!H40))</f>
        <v>1.2507578750764589E-2</v>
      </c>
      <c r="I40" s="75">
        <f>RSeed!I40*(1-(MOVE!$C$6/RSeed!I40))</f>
        <v>1.2507578750764589E-2</v>
      </c>
      <c r="J40" s="75">
        <f>RSeed!J40*(1-(MOVE!$C$6/RSeed!J40))</f>
        <v>1.2507578750764589E-2</v>
      </c>
      <c r="K40" s="75">
        <f>RSeed!K40*(1-(MOVE!$C$6/RSeed!K40))</f>
        <v>1.2507578750764589E-2</v>
      </c>
      <c r="L40" s="109">
        <f>RSeed!L40*(1-(MOVE!$J$6/RSeed!L40))</f>
        <v>1.2507578750764589E-2</v>
      </c>
      <c r="M40" s="83">
        <f>RSeed!M40*(1-(MOVE!$J$6/RSeed!M40))</f>
        <v>1.2507578750764589E-2</v>
      </c>
      <c r="N40" s="83">
        <f>RSeed!N40*(1-(MOVE!$J$6/RSeed!N40))</f>
        <v>1.2507578750764589E-2</v>
      </c>
      <c r="O40" s="83">
        <f>RSeed!O40*(1-(MOVE!$J$6/RSeed!O40))</f>
        <v>1.2507578750764589E-2</v>
      </c>
      <c r="P40" s="150">
        <f>RSeed!P40*(1-(MOVE!$J$6/RSeed!P40))</f>
        <v>1.2507578750764589E-2</v>
      </c>
      <c r="Q40" s="150">
        <f>RSeed!Q40*(1-(MOVE!$J$6/RSeed!Q40))</f>
        <v>1.2507578750764589E-2</v>
      </c>
      <c r="R40" s="150">
        <f>RSeed!R40*(1-(MOVE!$J$6/RSeed!R40))</f>
        <v>1.2507578750764589E-2</v>
      </c>
      <c r="S40" s="150">
        <f>RSeed!S40*(1-(MOVE!$J$6/RSeed!S40))</f>
        <v>1.2507578750764589E-2</v>
      </c>
      <c r="T40" s="83">
        <f>RSeed!T40*(1-(MOVE!$J$6/RSeed!T40))</f>
        <v>1.2507578750764589E-2</v>
      </c>
      <c r="U40" s="83">
        <f>RSeed!U40*(1-(MOVE!$J$6/RSeed!U40))</f>
        <v>1.2507578750764589E-2</v>
      </c>
      <c r="V40" s="83">
        <f>RSeed!V40*(1-(MOVE!$J$6/RSeed!V40))</f>
        <v>1.2507578750764589E-2</v>
      </c>
      <c r="W40" s="83">
        <f>RSeed!W40*(1-(MOVE!$J$6/RSeed!W40))</f>
        <v>1.2507578750764589E-2</v>
      </c>
      <c r="X40" s="83">
        <f>RSeed!X40*(1-(MOVE!$J$6/RSeed!X40))</f>
        <v>1.2507578750764589E-2</v>
      </c>
      <c r="Y40" s="83">
        <f>RSeed!Y40*(1-(MOVE!$J$6/RSeed!Y40))</f>
        <v>1.2507578750764589E-2</v>
      </c>
      <c r="Z40" s="83">
        <f>RSeed!Z40*(1-(MOVE!$J$6/RSeed!Z40))</f>
        <v>1.2507578750764589E-2</v>
      </c>
      <c r="AA40" s="83">
        <f>RSeed!AA40*(1-(MOVE!$J$6/RSeed!AA40))</f>
        <v>1.2507578750764589E-2</v>
      </c>
      <c r="AB40" s="83">
        <f>RSeed!AB40*(1-(MOVE!$J$6/RSeed!AB40))</f>
        <v>1.2507578750764589E-2</v>
      </c>
      <c r="AC40" s="83">
        <f>RSeed!AC40*(1-(MOVE!$J$6/RSeed!AC40))</f>
        <v>1.2507578750764589E-2</v>
      </c>
      <c r="AD40" s="83">
        <f>RSeed!AD40*(1-(MOVE!$J$6/RSeed!AD40))</f>
        <v>1.2507578750764589E-2</v>
      </c>
      <c r="AE40" s="83">
        <f>RSeed!AE40*(1-(MOVE!$J$6/RSeed!AE40))</f>
        <v>1.2507578750764589E-2</v>
      </c>
      <c r="AF40" s="83">
        <f>RSeed!AF40*(1-(MOVE!$J$6/RSeed!AF40))</f>
        <v>1.2507578750764589E-2</v>
      </c>
      <c r="AG40" s="83">
        <f>RSeed!AG40*(1-(MOVE!$J$6/RSeed!AG40))</f>
        <v>1.2507578750764589E-2</v>
      </c>
      <c r="AH40" s="83">
        <f>RSeed!AH40*(1-(MOVE!$J$6/RSeed!AH40))</f>
        <v>1.2507578750764589E-2</v>
      </c>
      <c r="AI40" s="83">
        <f>RSeed!AI40*(1-(MOVE!$J$6/RSeed!AI40))</f>
        <v>1.2507578750764589E-2</v>
      </c>
      <c r="AJ40" s="83">
        <f>RSeed!AJ40*(1-(MOVE!$J$6/RSeed!AJ40))</f>
        <v>1.2507578750764589E-2</v>
      </c>
      <c r="AK40" s="83">
        <f>RSeed!AK40*(1-(MOVE!$J$6/RSeed!AK40))</f>
        <v>1.2507578750764589E-2</v>
      </c>
      <c r="AL40" s="83">
        <f>RSeed!AL40*(1-(MOVE!$J$6/RSeed!AL40))</f>
        <v>1.2507578750764589E-2</v>
      </c>
      <c r="AM40" s="83">
        <f>RSeed!AM40*(1-(MOVE!$J$6/RSeed!AM40))</f>
        <v>1.2507578750764589E-2</v>
      </c>
      <c r="AN40" s="83">
        <f>RSeed!AN40*(1-(MOVE!$J$6/RSeed!AN40))</f>
        <v>1.2507578750764589E-2</v>
      </c>
      <c r="AO40" s="83">
        <f>RSeed!AO40*(1-(MOVE!$J$6/RSeed!AO40))</f>
        <v>1.2507578750764589E-2</v>
      </c>
      <c r="AP40" s="83">
        <f>RSeed!AP40*(1-(MOVE!$J$6/RSeed!AP40))</f>
        <v>1.2507578750764589E-2</v>
      </c>
      <c r="AQ40" s="83">
        <f>RSeed!AQ40*(1-(MOVE!$J$6/RSeed!AQ40))</f>
        <v>1.2507578750764589E-2</v>
      </c>
      <c r="AR40" s="92">
        <f>RSeed!AR40*(1-(MOVE!$X$6/RSeed!AR40))</f>
        <v>1.2507578750764589E-2</v>
      </c>
      <c r="AS40" s="86">
        <f>RSeed!AS40*(1-(MOVE!$X$6/RSeed!AS40))</f>
        <v>1.2507578750764589E-2</v>
      </c>
      <c r="AT40" s="86">
        <f>RSeed!AT40*(1-(MOVE!$X$6/RSeed!AT40))</f>
        <v>1.2507578750764589E-2</v>
      </c>
      <c r="AU40" s="86">
        <f>RSeed!AU40*(1-(MOVE!$X$6/RSeed!AU40))</f>
        <v>1.2507578750764589E-2</v>
      </c>
      <c r="AV40" s="86">
        <f>RSeed!AV40*(1-(MOVE!$X$6/RSeed!AV40))</f>
        <v>1.2507578750764589E-2</v>
      </c>
      <c r="AW40" s="86">
        <f>RSeed!AW40*(1-(MOVE!$X$6/RSeed!AW40))</f>
        <v>1.2507578750764589E-2</v>
      </c>
      <c r="AX40" s="86">
        <f>RSeed!AX40*(1-(MOVE!$X$6/RSeed!AX40))</f>
        <v>1.2507578750764589E-2</v>
      </c>
      <c r="AY40" s="87">
        <f>RSeed!AY40*(1-(MOVE!$X$6/RSeed!AY40))</f>
        <v>1.2507578750764589E-2</v>
      </c>
      <c r="AZ40" s="72">
        <f>RSeed!AZ40*(1-(MOVE!$X$6/RSeed!AZ40))</f>
        <v>1.2507578750764589E-2</v>
      </c>
      <c r="BA40" s="35">
        <v>22</v>
      </c>
    </row>
    <row r="41" spans="2:53" x14ac:dyDescent="0.2">
      <c r="B41" s="34">
        <v>23</v>
      </c>
      <c r="C41" s="72">
        <f>RSeed!C41*(1-(MOVE!$C$6/RSeed!C41))</f>
        <v>1.2507578750764589E-2</v>
      </c>
      <c r="D41" s="74">
        <f>RSeed!D41*(1-(MOVE!$C$6/RSeed!D41))</f>
        <v>1.2507578750764589E-2</v>
      </c>
      <c r="E41" s="75">
        <f>RSeed!E41*(1-(MOVE!$C$6/RSeed!E41))</f>
        <v>1.2507578750764589E-2</v>
      </c>
      <c r="F41" s="75">
        <f>RSeed!F41*(1-(MOVE!$C$6/RSeed!F41))</f>
        <v>1.2507578750764589E-2</v>
      </c>
      <c r="G41" s="75">
        <f>RSeed!G41*(1-(MOVE!$C$6/RSeed!G41))</f>
        <v>1.2507578750764589E-2</v>
      </c>
      <c r="H41" s="75">
        <f>RSeed!H41*(1-(MOVE!$C$6/RSeed!H41))</f>
        <v>1.2507578750764589E-2</v>
      </c>
      <c r="I41" s="75">
        <f>RSeed!I41*(1-(MOVE!$C$6/RSeed!I41))</f>
        <v>1.2507578750764589E-2</v>
      </c>
      <c r="J41" s="75">
        <f>RSeed!J41*(1-(MOVE!$C$6/RSeed!J41))</f>
        <v>1.2507578750764589E-2</v>
      </c>
      <c r="K41" s="75">
        <f>RSeed!K41*(1-(MOVE!$C$6/RSeed!K41))</f>
        <v>1.2507578750764589E-2</v>
      </c>
      <c r="L41" s="109">
        <f>RSeed!L41*(1-(MOVE!$J$6/RSeed!L41))</f>
        <v>1.2507578750764589E-2</v>
      </c>
      <c r="M41" s="83">
        <f>RSeed!M41*(1-(MOVE!$J$6/RSeed!M41))</f>
        <v>1.2507578750764589E-2</v>
      </c>
      <c r="N41" s="83">
        <f>RSeed!N41*(1-(MOVE!$J$6/RSeed!N41))</f>
        <v>1.2507578750764589E-2</v>
      </c>
      <c r="O41" s="83">
        <f>RSeed!O41*(1-(MOVE!$J$6/RSeed!O41))</f>
        <v>1.2507578750764589E-2</v>
      </c>
      <c r="P41" s="150">
        <f>RSeed!P41*(1-(MOVE!$J$6/RSeed!P41))</f>
        <v>1.2507578750764589E-2</v>
      </c>
      <c r="Q41" s="150">
        <f>RSeed!Q41*(1-(MOVE!$J$6/RSeed!Q41))</f>
        <v>1.2507578750764589E-2</v>
      </c>
      <c r="R41" s="150">
        <f>RSeed!R41*(1-(MOVE!$J$6/RSeed!R41))</f>
        <v>1.2507578750764589E-2</v>
      </c>
      <c r="S41" s="150">
        <f>RSeed!S41*(1-(MOVE!$J$6/RSeed!S41))</f>
        <v>1.2507578750764589E-2</v>
      </c>
      <c r="T41" s="83">
        <f>RSeed!T41*(1-(MOVE!$J$6/RSeed!T41))</f>
        <v>1.2507578750764589E-2</v>
      </c>
      <c r="U41" s="83">
        <f>RSeed!U41*(1-(MOVE!$J$6/RSeed!U41))</f>
        <v>1.2507578750764589E-2</v>
      </c>
      <c r="V41" s="83">
        <f>RSeed!V41*(1-(MOVE!$J$6/RSeed!V41))</f>
        <v>1.2507578750764589E-2</v>
      </c>
      <c r="W41" s="83">
        <f>RSeed!W41*(1-(MOVE!$J$6/RSeed!W41))</f>
        <v>1.2507578750764589E-2</v>
      </c>
      <c r="X41" s="83">
        <f>RSeed!X41*(1-(MOVE!$J$6/RSeed!X41))</f>
        <v>1.2507578750764589E-2</v>
      </c>
      <c r="Y41" s="83">
        <f>RSeed!Y41*(1-(MOVE!$J$6/RSeed!Y41))</f>
        <v>1.2507578750764589E-2</v>
      </c>
      <c r="Z41" s="83">
        <f>RSeed!Z41*(1-(MOVE!$J$6/RSeed!Z41))</f>
        <v>1.2507578750764589E-2</v>
      </c>
      <c r="AA41" s="83">
        <f>RSeed!AA41*(1-(MOVE!$J$6/RSeed!AA41))</f>
        <v>1.2507578750764589E-2</v>
      </c>
      <c r="AB41" s="83">
        <f>RSeed!AB41*(1-(MOVE!$J$6/RSeed!AB41))</f>
        <v>1.2507578750764589E-2</v>
      </c>
      <c r="AC41" s="83">
        <f>RSeed!AC41*(1-(MOVE!$J$6/RSeed!AC41))</f>
        <v>1.2507578750764589E-2</v>
      </c>
      <c r="AD41" s="83">
        <f>RSeed!AD41*(1-(MOVE!$J$6/RSeed!AD41))</f>
        <v>1.2507578750764589E-2</v>
      </c>
      <c r="AE41" s="83">
        <f>RSeed!AE41*(1-(MOVE!$J$6/RSeed!AE41))</f>
        <v>1.2507578750764589E-2</v>
      </c>
      <c r="AF41" s="83">
        <f>RSeed!AF41*(1-(MOVE!$J$6/RSeed!AF41))</f>
        <v>1.2507578750764589E-2</v>
      </c>
      <c r="AG41" s="83">
        <f>RSeed!AG41*(1-(MOVE!$J$6/RSeed!AG41))</f>
        <v>1.2507578750764589E-2</v>
      </c>
      <c r="AH41" s="83">
        <f>RSeed!AH41*(1-(MOVE!$J$6/RSeed!AH41))</f>
        <v>1.2507578750764589E-2</v>
      </c>
      <c r="AI41" s="83">
        <f>RSeed!AI41*(1-(MOVE!$J$6/RSeed!AI41))</f>
        <v>1.2507578750764589E-2</v>
      </c>
      <c r="AJ41" s="83">
        <f>RSeed!AJ41*(1-(MOVE!$J$6/RSeed!AJ41))</f>
        <v>1.2507578750764589E-2</v>
      </c>
      <c r="AK41" s="83">
        <f>RSeed!AK41*(1-(MOVE!$J$6/RSeed!AK41))</f>
        <v>1.2507578750764589E-2</v>
      </c>
      <c r="AL41" s="83">
        <f>RSeed!AL41*(1-(MOVE!$J$6/RSeed!AL41))</f>
        <v>1.2507578750764589E-2</v>
      </c>
      <c r="AM41" s="83">
        <f>RSeed!AM41*(1-(MOVE!$J$6/RSeed!AM41))</f>
        <v>1.2507578750764589E-2</v>
      </c>
      <c r="AN41" s="83">
        <f>RSeed!AN41*(1-(MOVE!$J$6/RSeed!AN41))</f>
        <v>1.2507578750764589E-2</v>
      </c>
      <c r="AO41" s="83">
        <f>RSeed!AO41*(1-(MOVE!$J$6/RSeed!AO41))</f>
        <v>1.2507578750764589E-2</v>
      </c>
      <c r="AP41" s="83">
        <f>RSeed!AP41*(1-(MOVE!$J$6/RSeed!AP41))</f>
        <v>1.2507578750764589E-2</v>
      </c>
      <c r="AQ41" s="83">
        <f>RSeed!AQ41*(1-(MOVE!$J$6/RSeed!AQ41))</f>
        <v>1.2507578750764589E-2</v>
      </c>
      <c r="AR41" s="92">
        <f>RSeed!AR41*(1-(MOVE!$X$6/RSeed!AR41))</f>
        <v>1.2507578750764589E-2</v>
      </c>
      <c r="AS41" s="86">
        <f>RSeed!AS41*(1-(MOVE!$X$6/RSeed!AS41))</f>
        <v>1.2507578750764589E-2</v>
      </c>
      <c r="AT41" s="86">
        <f>RSeed!AT41*(1-(MOVE!$X$6/RSeed!AT41))</f>
        <v>1.2507578750764589E-2</v>
      </c>
      <c r="AU41" s="86">
        <f>RSeed!AU41*(1-(MOVE!$X$6/RSeed!AU41))</f>
        <v>1.2507578750764589E-2</v>
      </c>
      <c r="AV41" s="86">
        <f>RSeed!AV41*(1-(MOVE!$X$6/RSeed!AV41))</f>
        <v>1.2507578750764589E-2</v>
      </c>
      <c r="AW41" s="86">
        <f>RSeed!AW41*(1-(MOVE!$X$6/RSeed!AW41))</f>
        <v>1.2507578750764589E-2</v>
      </c>
      <c r="AX41" s="86">
        <f>RSeed!AX41*(1-(MOVE!$X$6/RSeed!AX41))</f>
        <v>1.2507578750764589E-2</v>
      </c>
      <c r="AY41" s="87">
        <f>RSeed!AY41*(1-(MOVE!$X$6/RSeed!AY41))</f>
        <v>1.2507578750764589E-2</v>
      </c>
      <c r="AZ41" s="72">
        <f>RSeed!AZ41*(1-(MOVE!$X$6/RSeed!AZ41))</f>
        <v>1.2507578750764589E-2</v>
      </c>
      <c r="BA41" s="35">
        <v>23</v>
      </c>
    </row>
    <row r="42" spans="2:53" x14ac:dyDescent="0.2">
      <c r="B42" s="34">
        <v>24</v>
      </c>
      <c r="C42" s="72">
        <f>RSeed!C42*(1-(MOVE!$C$6/RSeed!C42))</f>
        <v>1.2507578750764589E-2</v>
      </c>
      <c r="D42" s="74">
        <f>RSeed!D42*(1-(MOVE!$C$6/RSeed!D42))</f>
        <v>1.2507578750764589E-2</v>
      </c>
      <c r="E42" s="75">
        <f>RSeed!E42*(1-(MOVE!$C$6/RSeed!E42))</f>
        <v>1.2507578750764589E-2</v>
      </c>
      <c r="F42" s="75">
        <f>RSeed!F42*(1-(MOVE!$C$6/RSeed!F42))</f>
        <v>1.2507578750764589E-2</v>
      </c>
      <c r="G42" s="75">
        <f>RSeed!G42*(1-(MOVE!$C$6/RSeed!G42))</f>
        <v>1.2507578750764589E-2</v>
      </c>
      <c r="H42" s="75">
        <f>RSeed!H42*(1-(MOVE!$C$6/RSeed!H42))</f>
        <v>1.2507578750764589E-2</v>
      </c>
      <c r="I42" s="75">
        <f>RSeed!I42*(1-(MOVE!$C$6/RSeed!I42))</f>
        <v>1.2507578750764589E-2</v>
      </c>
      <c r="J42" s="75">
        <f>RSeed!J42*(1-(MOVE!$C$6/RSeed!J42))</f>
        <v>1.2507578750764589E-2</v>
      </c>
      <c r="K42" s="75">
        <f>RSeed!K42*(1-(MOVE!$C$6/RSeed!K42))</f>
        <v>1.2507578750764589E-2</v>
      </c>
      <c r="L42" s="109">
        <f>RSeed!L42*(1-(MOVE!$J$6/RSeed!L42))</f>
        <v>1.2507578750764589E-2</v>
      </c>
      <c r="M42" s="83">
        <f>RSeed!M42*(1-(MOVE!$J$6/RSeed!M42))</f>
        <v>1.2507578750764589E-2</v>
      </c>
      <c r="N42" s="83">
        <f>RSeed!N42*(1-(MOVE!$J$6/RSeed!N42))</f>
        <v>1.2507578750764589E-2</v>
      </c>
      <c r="O42" s="83">
        <f>RSeed!O42*(1-(MOVE!$J$6/RSeed!O42))</f>
        <v>1.2507578750764589E-2</v>
      </c>
      <c r="P42" s="83">
        <f>RSeed!P42*(1-(MOVE!$J$6/RSeed!P42))</f>
        <v>1.2507578750764589E-2</v>
      </c>
      <c r="Q42" s="83">
        <f>RSeed!Q42*(1-(MOVE!$J$6/RSeed!Q42))</f>
        <v>1.2507578750764589E-2</v>
      </c>
      <c r="R42" s="83">
        <f>RSeed!R42*(1-(MOVE!$J$6/RSeed!R42))</f>
        <v>1.2507578750764589E-2</v>
      </c>
      <c r="S42" s="83">
        <f>RSeed!S42*(1-(MOVE!$J$6/RSeed!S42))</f>
        <v>1.2507578750764589E-2</v>
      </c>
      <c r="T42" s="83">
        <f>RSeed!T42*(1-(MOVE!$J$6/RSeed!T42))</f>
        <v>1.2507578750764589E-2</v>
      </c>
      <c r="U42" s="83">
        <f>RSeed!U42*(1-(MOVE!$J$6/RSeed!U42))</f>
        <v>1.2507578750764589E-2</v>
      </c>
      <c r="V42" s="83">
        <f>RSeed!V42*(1-(MOVE!$J$6/RSeed!V42))</f>
        <v>1.2507578750764589E-2</v>
      </c>
      <c r="W42" s="83">
        <f>RSeed!W42*(1-(MOVE!$J$6/RSeed!W42))</f>
        <v>1.2507578750764589E-2</v>
      </c>
      <c r="X42" s="83">
        <f>RSeed!X42*(1-(MOVE!$J$6/RSeed!X42))</f>
        <v>1.2507578750764589E-2</v>
      </c>
      <c r="Y42" s="83">
        <f>RSeed!Y42*(1-(MOVE!$J$6/RSeed!Y42))</f>
        <v>1.2507578750764589E-2</v>
      </c>
      <c r="Z42" s="83">
        <f>RSeed!Z42*(1-(MOVE!$J$6/RSeed!Z42))</f>
        <v>1.2507578750764589E-2</v>
      </c>
      <c r="AA42" s="83">
        <f>RSeed!AA42*(1-(MOVE!$J$6/RSeed!AA42))</f>
        <v>1.2507578750764589E-2</v>
      </c>
      <c r="AB42" s="83">
        <f>RSeed!AB42*(1-(MOVE!$J$6/RSeed!AB42))</f>
        <v>1.2507578750764589E-2</v>
      </c>
      <c r="AC42" s="83">
        <f>RSeed!AC42*(1-(MOVE!$J$6/RSeed!AC42))</f>
        <v>1.2507578750764589E-2</v>
      </c>
      <c r="AD42" s="83">
        <f>RSeed!AD42*(1-(MOVE!$J$6/RSeed!AD42))</f>
        <v>1.2507578750764589E-2</v>
      </c>
      <c r="AE42" s="83">
        <f>RSeed!AE42*(1-(MOVE!$J$6/RSeed!AE42))</f>
        <v>1.2507578750764589E-2</v>
      </c>
      <c r="AF42" s="83">
        <f>RSeed!AF42*(1-(MOVE!$J$6/RSeed!AF42))</f>
        <v>1.2507578750764589E-2</v>
      </c>
      <c r="AG42" s="83">
        <f>RSeed!AG42*(1-(MOVE!$J$6/RSeed!AG42))</f>
        <v>1.2507578750764589E-2</v>
      </c>
      <c r="AH42" s="83">
        <f>RSeed!AH42*(1-(MOVE!$J$6/RSeed!AH42))</f>
        <v>1.2507578750764589E-2</v>
      </c>
      <c r="AI42" s="83">
        <f>RSeed!AI42*(1-(MOVE!$J$6/RSeed!AI42))</f>
        <v>1.2507578750764589E-2</v>
      </c>
      <c r="AJ42" s="83">
        <f>RSeed!AJ42*(1-(MOVE!$J$6/RSeed!AJ42))</f>
        <v>1.2507578750764589E-2</v>
      </c>
      <c r="AK42" s="83">
        <f>RSeed!AK42*(1-(MOVE!$J$6/RSeed!AK42))</f>
        <v>1.2507578750764589E-2</v>
      </c>
      <c r="AL42" s="83">
        <f>RSeed!AL42*(1-(MOVE!$J$6/RSeed!AL42))</f>
        <v>1.2507578750764589E-2</v>
      </c>
      <c r="AM42" s="83">
        <f>RSeed!AM42*(1-(MOVE!$J$6/RSeed!AM42))</f>
        <v>1.2507578750764589E-2</v>
      </c>
      <c r="AN42" s="83">
        <f>RSeed!AN42*(1-(MOVE!$J$6/RSeed!AN42))</f>
        <v>1.2507578750764589E-2</v>
      </c>
      <c r="AO42" s="83">
        <f>RSeed!AO42*(1-(MOVE!$J$6/RSeed!AO42))</f>
        <v>1.2507578750764589E-2</v>
      </c>
      <c r="AP42" s="83">
        <f>RSeed!AP42*(1-(MOVE!$J$6/RSeed!AP42))</f>
        <v>1.2507578750764589E-2</v>
      </c>
      <c r="AQ42" s="83">
        <f>RSeed!AQ42*(1-(MOVE!$J$6/RSeed!AQ42))</f>
        <v>1.2507578750764589E-2</v>
      </c>
      <c r="AR42" s="92">
        <f>RSeed!AR42*(1-(MOVE!$X$6/RSeed!AR42))</f>
        <v>1.2507578750764589E-2</v>
      </c>
      <c r="AS42" s="86">
        <f>RSeed!AS42*(1-(MOVE!$X$6/RSeed!AS42))</f>
        <v>1.2507578750764589E-2</v>
      </c>
      <c r="AT42" s="86">
        <f>RSeed!AT42*(1-(MOVE!$X$6/RSeed!AT42))</f>
        <v>1.2507578750764589E-2</v>
      </c>
      <c r="AU42" s="86">
        <f>RSeed!AU42*(1-(MOVE!$X$6/RSeed!AU42))</f>
        <v>1.2507578750764589E-2</v>
      </c>
      <c r="AV42" s="86">
        <f>RSeed!AV42*(1-(MOVE!$X$6/RSeed!AV42))</f>
        <v>1.2507578750764589E-2</v>
      </c>
      <c r="AW42" s="86">
        <f>RSeed!AW42*(1-(MOVE!$X$6/RSeed!AW42))</f>
        <v>1.2507578750764589E-2</v>
      </c>
      <c r="AX42" s="86">
        <f>RSeed!AX42*(1-(MOVE!$X$6/RSeed!AX42))</f>
        <v>1.2507578750764589E-2</v>
      </c>
      <c r="AY42" s="87">
        <f>RSeed!AY42*(1-(MOVE!$X$6/RSeed!AY42))</f>
        <v>1.2507578750764589E-2</v>
      </c>
      <c r="AZ42" s="72">
        <f>RSeed!AZ42*(1-(MOVE!$X$6/RSeed!AZ42))</f>
        <v>1.2507578750764589E-2</v>
      </c>
      <c r="BA42" s="35">
        <v>24</v>
      </c>
    </row>
    <row r="43" spans="2:53" x14ac:dyDescent="0.2">
      <c r="B43" s="34">
        <v>25</v>
      </c>
      <c r="C43" s="72">
        <f>RSeed!C43*(1-(MOVE!$C$6/RSeed!C43))</f>
        <v>1.2507578750764589E-2</v>
      </c>
      <c r="D43" s="74">
        <f>RSeed!D43*(1-(MOVE!$C$6/RSeed!D43))</f>
        <v>1.2507578750764589E-2</v>
      </c>
      <c r="E43" s="75">
        <f>RSeed!E43*(1-(MOVE!$C$6/RSeed!E43))</f>
        <v>1.2507578750764589E-2</v>
      </c>
      <c r="F43" s="75">
        <f>RSeed!F43*(1-(MOVE!$C$6/RSeed!F43))</f>
        <v>1.2507578750764589E-2</v>
      </c>
      <c r="G43" s="75">
        <f>RSeed!G43*(1-(MOVE!$C$6/RSeed!G43))</f>
        <v>1.2507578750764589E-2</v>
      </c>
      <c r="H43" s="75">
        <f>RSeed!H43*(1-(MOVE!$C$6/RSeed!H43))</f>
        <v>1.2507578750764589E-2</v>
      </c>
      <c r="I43" s="75">
        <f>RSeed!I43*(1-(MOVE!$C$6/RSeed!I43))</f>
        <v>1.2507578750764589E-2</v>
      </c>
      <c r="J43" s="75">
        <f>RSeed!J43*(1-(MOVE!$C$6/RSeed!J43))</f>
        <v>1.2507578750764589E-2</v>
      </c>
      <c r="K43" s="75">
        <f>RSeed!K43*(1-(MOVE!$C$6/RSeed!K43))</f>
        <v>1.2507578750764589E-2</v>
      </c>
      <c r="L43" s="109">
        <f>RSeed!L43*(1-(MOVE!$J$6/RSeed!L43))</f>
        <v>1.2507578750764589E-2</v>
      </c>
      <c r="M43" s="83">
        <f>RSeed!M43*(1-(MOVE!$J$6/RSeed!M43))</f>
        <v>1.2507578750764589E-2</v>
      </c>
      <c r="N43" s="83">
        <f>RSeed!N43*(1-(MOVE!$J$6/RSeed!N43))</f>
        <v>1.2507578750764589E-2</v>
      </c>
      <c r="O43" s="83">
        <f>RSeed!O43*(1-(MOVE!$J$6/RSeed!O43))</f>
        <v>1.2507578750764589E-2</v>
      </c>
      <c r="P43" s="83">
        <f>RSeed!P43*(1-(MOVE!$J$6/RSeed!P43))</f>
        <v>1.2507578750764589E-2</v>
      </c>
      <c r="Q43" s="83">
        <f>RSeed!Q43*(1-(MOVE!$J$6/RSeed!Q43))</f>
        <v>1.2507578750764589E-2</v>
      </c>
      <c r="R43" s="83">
        <f>RSeed!R43*(1-(MOVE!$J$6/RSeed!R43))</f>
        <v>1.2507578750764589E-2</v>
      </c>
      <c r="S43" s="83">
        <f>RSeed!S43*(1-(MOVE!$J$6/RSeed!S43))</f>
        <v>1.2507578750764589E-2</v>
      </c>
      <c r="T43" s="83">
        <f>RSeed!T43*(1-(MOVE!$J$6/RSeed!T43))</f>
        <v>1.2507578750764589E-2</v>
      </c>
      <c r="U43" s="83">
        <f>RSeed!U43*(1-(MOVE!$J$6/RSeed!U43))</f>
        <v>1.2507578750764589E-2</v>
      </c>
      <c r="V43" s="83">
        <f>RSeed!V43*(1-(MOVE!$J$6/RSeed!V43))</f>
        <v>1.2507578750764589E-2</v>
      </c>
      <c r="W43" s="83">
        <f>RSeed!W43*(1-(MOVE!$J$6/RSeed!W43))</f>
        <v>1.2507578750764589E-2</v>
      </c>
      <c r="X43" s="83">
        <f>RSeed!X43*(1-(MOVE!$J$6/RSeed!X43))</f>
        <v>1.2507578750764589E-2</v>
      </c>
      <c r="Y43" s="83">
        <f>RSeed!Y43*(1-(MOVE!$J$6/RSeed!Y43))</f>
        <v>1.2507578750764589E-2</v>
      </c>
      <c r="Z43" s="83">
        <f>RSeed!Z43*(1-(MOVE!$J$6/RSeed!Z43))</f>
        <v>1.2507578750764589E-2</v>
      </c>
      <c r="AA43" s="83">
        <f>RSeed!AA43*(1-(MOVE!$J$6/RSeed!AA43))</f>
        <v>1.2507578750764589E-2</v>
      </c>
      <c r="AB43" s="83">
        <f>RSeed!AB43*(1-(MOVE!$J$6/RSeed!AB43))</f>
        <v>1.2507578750764589E-2</v>
      </c>
      <c r="AC43" s="83">
        <f>RSeed!AC43*(1-(MOVE!$J$6/RSeed!AC43))</f>
        <v>1.2507578750764589E-2</v>
      </c>
      <c r="AD43" s="83">
        <f>RSeed!AD43*(1-(MOVE!$J$6/RSeed!AD43))</f>
        <v>1.2507578750764589E-2</v>
      </c>
      <c r="AE43" s="83">
        <f>RSeed!AE43*(1-(MOVE!$J$6/RSeed!AE43))</f>
        <v>1.2507578750764589E-2</v>
      </c>
      <c r="AF43" s="83">
        <f>RSeed!AF43*(1-(MOVE!$J$6/RSeed!AF43))</f>
        <v>1.2507578750764589E-2</v>
      </c>
      <c r="AG43" s="83">
        <f>RSeed!AG43*(1-(MOVE!$J$6/RSeed!AG43))</f>
        <v>1.2507578750764589E-2</v>
      </c>
      <c r="AH43" s="83">
        <f>RSeed!AH43*(1-(MOVE!$J$6/RSeed!AH43))</f>
        <v>1.2507578750764589E-2</v>
      </c>
      <c r="AI43" s="83">
        <f>RSeed!AI43*(1-(MOVE!$J$6/RSeed!AI43))</f>
        <v>1.2507578750764589E-2</v>
      </c>
      <c r="AJ43" s="83">
        <f>RSeed!AJ43*(1-(MOVE!$J$6/RSeed!AJ43))</f>
        <v>1.2507578750764589E-2</v>
      </c>
      <c r="AK43" s="83">
        <f>RSeed!AK43*(1-(MOVE!$J$6/RSeed!AK43))</f>
        <v>1.2507578750764589E-2</v>
      </c>
      <c r="AL43" s="83">
        <f>RSeed!AL43*(1-(MOVE!$J$6/RSeed!AL43))</f>
        <v>1.2507578750764589E-2</v>
      </c>
      <c r="AM43" s="83">
        <f>RSeed!AM43*(1-(MOVE!$J$6/RSeed!AM43))</f>
        <v>1.2507578750764589E-2</v>
      </c>
      <c r="AN43" s="83">
        <f>RSeed!AN43*(1-(MOVE!$J$6/RSeed!AN43))</f>
        <v>1.2507578750764589E-2</v>
      </c>
      <c r="AO43" s="83">
        <f>RSeed!AO43*(1-(MOVE!$J$6/RSeed!AO43))</f>
        <v>1.2507578750764589E-2</v>
      </c>
      <c r="AP43" s="83">
        <f>RSeed!AP43*(1-(MOVE!$J$6/RSeed!AP43))</f>
        <v>1.2507578750764589E-2</v>
      </c>
      <c r="AQ43" s="83">
        <f>RSeed!AQ43*(1-(MOVE!$J$6/RSeed!AQ43))</f>
        <v>1.2507578750764589E-2</v>
      </c>
      <c r="AR43" s="92">
        <f>RSeed!AR43*(1-(MOVE!$X$6/RSeed!AR43))</f>
        <v>1.2507578750764589E-2</v>
      </c>
      <c r="AS43" s="86">
        <f>RSeed!AS43*(1-(MOVE!$X$6/RSeed!AS43))</f>
        <v>1.2507578750764589E-2</v>
      </c>
      <c r="AT43" s="86">
        <f>RSeed!AT43*(1-(MOVE!$X$6/RSeed!AT43))</f>
        <v>1.2507578750764589E-2</v>
      </c>
      <c r="AU43" s="86">
        <f>RSeed!AU43*(1-(MOVE!$X$6/RSeed!AU43))</f>
        <v>1.2507578750764589E-2</v>
      </c>
      <c r="AV43" s="86">
        <f>RSeed!AV43*(1-(MOVE!$X$6/RSeed!AV43))</f>
        <v>1.2507578750764589E-2</v>
      </c>
      <c r="AW43" s="86">
        <f>RSeed!AW43*(1-(MOVE!$X$6/RSeed!AW43))</f>
        <v>1.2507578750764589E-2</v>
      </c>
      <c r="AX43" s="86">
        <f>RSeed!AX43*(1-(MOVE!$X$6/RSeed!AX43))</f>
        <v>1.2507578750764589E-2</v>
      </c>
      <c r="AY43" s="87">
        <f>RSeed!AY43*(1-(MOVE!$X$6/RSeed!AY43))</f>
        <v>1.2507578750764589E-2</v>
      </c>
      <c r="AZ43" s="72">
        <f>RSeed!AZ43*(1-(MOVE!$X$6/RSeed!AZ43))</f>
        <v>1.2507578750764589E-2</v>
      </c>
      <c r="BA43" s="35">
        <v>25</v>
      </c>
    </row>
    <row r="44" spans="2:53" x14ac:dyDescent="0.2">
      <c r="B44" s="34">
        <v>26</v>
      </c>
      <c r="C44" s="72">
        <f>RSeed!C44*(1-(MOVE!$C$6/RSeed!C44))</f>
        <v>1.2507578750764589E-2</v>
      </c>
      <c r="D44" s="74">
        <f>RSeed!D44*(1-(MOVE!$C$6/RSeed!D44))</f>
        <v>1.2507578750764589E-2</v>
      </c>
      <c r="E44" s="75">
        <f>RSeed!E44*(1-(MOVE!$C$6/RSeed!E44))</f>
        <v>1.2507578750764589E-2</v>
      </c>
      <c r="F44" s="75">
        <f>RSeed!F44*(1-(MOVE!$C$6/RSeed!F44))</f>
        <v>1.2507578750764589E-2</v>
      </c>
      <c r="G44" s="75">
        <f>RSeed!G44*(1-(MOVE!$C$6/RSeed!G44))</f>
        <v>1.2507578750764589E-2</v>
      </c>
      <c r="H44" s="75">
        <f>RSeed!H44*(1-(MOVE!$C$6/RSeed!H44))</f>
        <v>1.2507578750764589E-2</v>
      </c>
      <c r="I44" s="75">
        <f>RSeed!I44*(1-(MOVE!$C$6/RSeed!I44))</f>
        <v>1.2507578750764589E-2</v>
      </c>
      <c r="J44" s="75">
        <f>RSeed!J44*(1-(MOVE!$C$6/RSeed!J44))</f>
        <v>1.2507578750764589E-2</v>
      </c>
      <c r="K44" s="75">
        <f>RSeed!K44*(1-(MOVE!$C$6/RSeed!K44))</f>
        <v>1.2507578750764589E-2</v>
      </c>
      <c r="L44" s="109">
        <f>RSeed!L44*(1-(MOVE!$J$6/RSeed!L44))</f>
        <v>1.2507578750764589E-2</v>
      </c>
      <c r="M44" s="83">
        <f>RSeed!M44*(1-(MOVE!$J$6/RSeed!M44))</f>
        <v>1.2507578750764589E-2</v>
      </c>
      <c r="N44" s="83">
        <f>RSeed!N44*(1-(MOVE!$J$6/RSeed!N44))</f>
        <v>1.2507578750764589E-2</v>
      </c>
      <c r="O44" s="83">
        <f>RSeed!O44*(1-(MOVE!$J$6/RSeed!O44))</f>
        <v>1.2507578750764589E-2</v>
      </c>
      <c r="P44" s="83">
        <f>RSeed!P44*(1-(MOVE!$J$6/RSeed!P44))</f>
        <v>1.2507578750764589E-2</v>
      </c>
      <c r="Q44" s="83">
        <f>RSeed!Q44*(1-(MOVE!$J$6/RSeed!Q44))</f>
        <v>1.2507578750764589E-2</v>
      </c>
      <c r="R44" s="83">
        <f>RSeed!R44*(1-(MOVE!$J$6/RSeed!R44))</f>
        <v>1.2507578750764589E-2</v>
      </c>
      <c r="S44" s="83">
        <f>RSeed!S44*(1-(MOVE!$J$6/RSeed!S44))</f>
        <v>1.2507578750764589E-2</v>
      </c>
      <c r="T44" s="83">
        <f>RSeed!T44*(1-(MOVE!$J$6/RSeed!T44))</f>
        <v>1.2507578750764589E-2</v>
      </c>
      <c r="U44" s="83">
        <f>RSeed!U44*(1-(MOVE!$J$6/RSeed!U44))</f>
        <v>1.2507578750764589E-2</v>
      </c>
      <c r="V44" s="83">
        <f>RSeed!V44*(1-(MOVE!$J$6/RSeed!V44))</f>
        <v>1.2507578750764589E-2</v>
      </c>
      <c r="W44" s="83">
        <f>RSeed!W44*(1-(MOVE!$J$6/RSeed!W44))</f>
        <v>1.2507578750764589E-2</v>
      </c>
      <c r="X44" s="83">
        <f>RSeed!X44*(1-(MOVE!$J$6/RSeed!X44))</f>
        <v>1.2507578750764589E-2</v>
      </c>
      <c r="Y44" s="83">
        <f>RSeed!Y44*(1-(MOVE!$J$6/RSeed!Y44))</f>
        <v>1.2507578750764589E-2</v>
      </c>
      <c r="Z44" s="83">
        <f>RSeed!Z44*(1-(MOVE!$J$6/RSeed!Z44))</f>
        <v>1.2507578750764589E-2</v>
      </c>
      <c r="AA44" s="83">
        <f>RSeed!AA44*(1-(MOVE!$J$6/RSeed!AA44))</f>
        <v>1.2507578750764589E-2</v>
      </c>
      <c r="AB44" s="83">
        <f>RSeed!AB44*(1-(MOVE!$J$6/RSeed!AB44))</f>
        <v>1.2507578750764589E-2</v>
      </c>
      <c r="AC44" s="83">
        <f>RSeed!AC44*(1-(MOVE!$J$6/RSeed!AC44))</f>
        <v>1.2507578750764589E-2</v>
      </c>
      <c r="AD44" s="83">
        <f>RSeed!AD44*(1-(MOVE!$J$6/RSeed!AD44))</f>
        <v>1.2507578750764589E-2</v>
      </c>
      <c r="AE44" s="83">
        <f>RSeed!AE44*(1-(MOVE!$J$6/RSeed!AE44))</f>
        <v>1.2507578750764589E-2</v>
      </c>
      <c r="AF44" s="83">
        <f>RSeed!AF44*(1-(MOVE!$J$6/RSeed!AF44))</f>
        <v>1.2507578750764589E-2</v>
      </c>
      <c r="AG44" s="83">
        <f>RSeed!AG44*(1-(MOVE!$J$6/RSeed!AG44))</f>
        <v>1.2507578750764589E-2</v>
      </c>
      <c r="AH44" s="83">
        <f>RSeed!AH44*(1-(MOVE!$J$6/RSeed!AH44))</f>
        <v>1.2507578750764589E-2</v>
      </c>
      <c r="AI44" s="83">
        <f>RSeed!AI44*(1-(MOVE!$J$6/RSeed!AI44))</f>
        <v>1.2507578750764589E-2</v>
      </c>
      <c r="AJ44" s="83">
        <f>RSeed!AJ44*(1-(MOVE!$J$6/RSeed!AJ44))</f>
        <v>1.2507578750764589E-2</v>
      </c>
      <c r="AK44" s="83">
        <f>RSeed!AK44*(1-(MOVE!$J$6/RSeed!AK44))</f>
        <v>1.2507578750764589E-2</v>
      </c>
      <c r="AL44" s="83">
        <f>RSeed!AL44*(1-(MOVE!$J$6/RSeed!AL44))</f>
        <v>1.2507578750764589E-2</v>
      </c>
      <c r="AM44" s="83">
        <f>RSeed!AM44*(1-(MOVE!$J$6/RSeed!AM44))</f>
        <v>1.2507578750764589E-2</v>
      </c>
      <c r="AN44" s="83">
        <f>RSeed!AN44*(1-(MOVE!$J$6/RSeed!AN44))</f>
        <v>1.2507578750764589E-2</v>
      </c>
      <c r="AO44" s="83">
        <f>RSeed!AO44*(1-(MOVE!$J$6/RSeed!AO44))</f>
        <v>1.2507578750764589E-2</v>
      </c>
      <c r="AP44" s="83">
        <f>RSeed!AP44*(1-(MOVE!$J$6/RSeed!AP44))</f>
        <v>1.2507578750764589E-2</v>
      </c>
      <c r="AQ44" s="83">
        <f>RSeed!AQ44*(1-(MOVE!$J$6/RSeed!AQ44))</f>
        <v>1.2507578750764589E-2</v>
      </c>
      <c r="AR44" s="92">
        <f>RSeed!AR44*(1-(MOVE!$X$6/RSeed!AR44))</f>
        <v>1.2507578750764589E-2</v>
      </c>
      <c r="AS44" s="86">
        <f>RSeed!AS44*(1-(MOVE!$X$6/RSeed!AS44))</f>
        <v>1.2507578750764589E-2</v>
      </c>
      <c r="AT44" s="86">
        <f>RSeed!AT44*(1-(MOVE!$X$6/RSeed!AT44))</f>
        <v>1.2507578750764589E-2</v>
      </c>
      <c r="AU44" s="86">
        <f>RSeed!AU44*(1-(MOVE!$X$6/RSeed!AU44))</f>
        <v>1.2507578750764589E-2</v>
      </c>
      <c r="AV44" s="86">
        <f>RSeed!AV44*(1-(MOVE!$X$6/RSeed!AV44))</f>
        <v>1.2507578750764589E-2</v>
      </c>
      <c r="AW44" s="86">
        <f>RSeed!AW44*(1-(MOVE!$X$6/RSeed!AW44))</f>
        <v>1.2507578750764589E-2</v>
      </c>
      <c r="AX44" s="86">
        <f>RSeed!AX44*(1-(MOVE!$X$6/RSeed!AX44))</f>
        <v>1.2507578750764589E-2</v>
      </c>
      <c r="AY44" s="87">
        <f>RSeed!AY44*(1-(MOVE!$X$6/RSeed!AY44))</f>
        <v>1.2507578750764589E-2</v>
      </c>
      <c r="AZ44" s="72">
        <f>RSeed!AZ44*(1-(MOVE!$X$6/RSeed!AZ44))</f>
        <v>1.2507578750764589E-2</v>
      </c>
      <c r="BA44" s="35">
        <v>26</v>
      </c>
    </row>
    <row r="45" spans="2:53" x14ac:dyDescent="0.2">
      <c r="B45" s="34">
        <v>27</v>
      </c>
      <c r="C45" s="72">
        <f>RSeed!C45*(1-(MOVE!$C$6/RSeed!C45))</f>
        <v>1.2507578750764589E-2</v>
      </c>
      <c r="D45" s="74">
        <f>RSeed!D45*(1-(MOVE!$C$6/RSeed!D45))</f>
        <v>1.2507578750764589E-2</v>
      </c>
      <c r="E45" s="75">
        <f>RSeed!E45*(1-(MOVE!$C$6/RSeed!E45))</f>
        <v>1.2507578750764589E-2</v>
      </c>
      <c r="F45" s="75">
        <f>RSeed!F45*(1-(MOVE!$C$6/RSeed!F45))</f>
        <v>1.2507578750764589E-2</v>
      </c>
      <c r="G45" s="75">
        <f>RSeed!G45*(1-(MOVE!$C$6/RSeed!G45))</f>
        <v>1.2507578750764589E-2</v>
      </c>
      <c r="H45" s="75">
        <f>RSeed!H45*(1-(MOVE!$C$6/RSeed!H45))</f>
        <v>1.2507578750764589E-2</v>
      </c>
      <c r="I45" s="75">
        <f>RSeed!I45*(1-(MOVE!$C$6/RSeed!I45))</f>
        <v>1.2507578750764589E-2</v>
      </c>
      <c r="J45" s="75">
        <f>RSeed!J45*(1-(MOVE!$C$6/RSeed!J45))</f>
        <v>1.2507578750764589E-2</v>
      </c>
      <c r="K45" s="75">
        <f>RSeed!K45*(1-(MOVE!$C$6/RSeed!K45))</f>
        <v>1.2507578750764589E-2</v>
      </c>
      <c r="L45" s="109">
        <f>RSeed!L45*(1-(MOVE!$J$6/RSeed!L45))</f>
        <v>1.2507578750764589E-2</v>
      </c>
      <c r="M45" s="83">
        <f>RSeed!M45*(1-(MOVE!$J$6/RSeed!M45))</f>
        <v>1.2507578750764589E-2</v>
      </c>
      <c r="N45" s="83">
        <f>RSeed!N45*(1-(MOVE!$J$6/RSeed!N45))</f>
        <v>1.2507578750764589E-2</v>
      </c>
      <c r="O45" s="83">
        <f>RSeed!O45*(1-(MOVE!$J$6/RSeed!O45))</f>
        <v>1.2507578750764589E-2</v>
      </c>
      <c r="P45" s="83">
        <f>RSeed!P45*(1-(MOVE!$J$6/RSeed!P45))</f>
        <v>1.2507578750764589E-2</v>
      </c>
      <c r="Q45" s="83">
        <f>RSeed!Q45*(1-(MOVE!$J$6/RSeed!Q45))</f>
        <v>1.2507578750764589E-2</v>
      </c>
      <c r="R45" s="83">
        <f>RSeed!R45*(1-(MOVE!$J$6/RSeed!R45))</f>
        <v>1.2507578750764589E-2</v>
      </c>
      <c r="S45" s="83">
        <f>RSeed!S45*(1-(MOVE!$J$6/RSeed!S45))</f>
        <v>1.2507578750764589E-2</v>
      </c>
      <c r="T45" s="83">
        <f>RSeed!T45*(1-(MOVE!$J$6/RSeed!T45))</f>
        <v>1.2507578750764589E-2</v>
      </c>
      <c r="U45" s="83">
        <f>RSeed!U45*(1-(MOVE!$J$6/RSeed!U45))</f>
        <v>1.2507578750764589E-2</v>
      </c>
      <c r="V45" s="83">
        <f>RSeed!V45*(1-(MOVE!$J$6/RSeed!V45))</f>
        <v>1.2507578750764589E-2</v>
      </c>
      <c r="W45" s="83">
        <f>RSeed!W45*(1-(MOVE!$J$6/RSeed!W45))</f>
        <v>1.2507578750764589E-2</v>
      </c>
      <c r="X45" s="83">
        <f>RSeed!X45*(1-(MOVE!$J$6/RSeed!X45))</f>
        <v>1.2507578750764589E-2</v>
      </c>
      <c r="Y45" s="83">
        <f>RSeed!Y45*(1-(MOVE!$J$6/RSeed!Y45))</f>
        <v>1.2507578750764589E-2</v>
      </c>
      <c r="Z45" s="83">
        <f>RSeed!Z45*(1-(MOVE!$J$6/RSeed!Z45))</f>
        <v>1.2507578750764589E-2</v>
      </c>
      <c r="AA45" s="83">
        <f>RSeed!AA45*(1-(MOVE!$J$6/RSeed!AA45))</f>
        <v>1.2507578750764589E-2</v>
      </c>
      <c r="AB45" s="83">
        <f>RSeed!AB45*(1-(MOVE!$J$6/RSeed!AB45))</f>
        <v>1.2507578750764589E-2</v>
      </c>
      <c r="AC45" s="83">
        <f>RSeed!AC45*(1-(MOVE!$J$6/RSeed!AC45))</f>
        <v>1.2507578750764589E-2</v>
      </c>
      <c r="AD45" s="83">
        <f>RSeed!AD45*(1-(MOVE!$J$6/RSeed!AD45))</f>
        <v>1.2507578750764589E-2</v>
      </c>
      <c r="AE45" s="83">
        <f>RSeed!AE45*(1-(MOVE!$J$6/RSeed!AE45))</f>
        <v>1.2507578750764589E-2</v>
      </c>
      <c r="AF45" s="83">
        <f>RSeed!AF45*(1-(MOVE!$J$6/RSeed!AF45))</f>
        <v>1.2507578750764589E-2</v>
      </c>
      <c r="AG45" s="83">
        <f>RSeed!AG45*(1-(MOVE!$J$6/RSeed!AG45))</f>
        <v>1.2507578750764589E-2</v>
      </c>
      <c r="AH45" s="83">
        <f>RSeed!AH45*(1-(MOVE!$J$6/RSeed!AH45))</f>
        <v>1.2507578750764589E-2</v>
      </c>
      <c r="AI45" s="83">
        <f>RSeed!AI45*(1-(MOVE!$J$6/RSeed!AI45))</f>
        <v>1.2507578750764589E-2</v>
      </c>
      <c r="AJ45" s="83">
        <f>RSeed!AJ45*(1-(MOVE!$J$6/RSeed!AJ45))</f>
        <v>1.2507578750764589E-2</v>
      </c>
      <c r="AK45" s="83">
        <f>RSeed!AK45*(1-(MOVE!$J$6/RSeed!AK45))</f>
        <v>1.2507578750764589E-2</v>
      </c>
      <c r="AL45" s="83">
        <f>RSeed!AL45*(1-(MOVE!$J$6/RSeed!AL45))</f>
        <v>1.2507578750764589E-2</v>
      </c>
      <c r="AM45" s="83">
        <f>RSeed!AM45*(1-(MOVE!$J$6/RSeed!AM45))</f>
        <v>1.2507578750764589E-2</v>
      </c>
      <c r="AN45" s="83">
        <f>RSeed!AN45*(1-(MOVE!$J$6/RSeed!AN45))</f>
        <v>1.2507578750764589E-2</v>
      </c>
      <c r="AO45" s="83">
        <f>RSeed!AO45*(1-(MOVE!$J$6/RSeed!AO45))</f>
        <v>1.2507578750764589E-2</v>
      </c>
      <c r="AP45" s="83">
        <f>RSeed!AP45*(1-(MOVE!$J$6/RSeed!AP45))</f>
        <v>1.2507578750764589E-2</v>
      </c>
      <c r="AQ45" s="83">
        <f>RSeed!AQ45*(1-(MOVE!$J$6/RSeed!AQ45))</f>
        <v>1.2507578750764589E-2</v>
      </c>
      <c r="AR45" s="92">
        <f>RSeed!AR45*(1-(MOVE!$X$6/RSeed!AR45))</f>
        <v>1.2507578750764589E-2</v>
      </c>
      <c r="AS45" s="86">
        <f>RSeed!AS45*(1-(MOVE!$X$6/RSeed!AS45))</f>
        <v>1.2507578750764589E-2</v>
      </c>
      <c r="AT45" s="86">
        <f>RSeed!AT45*(1-(MOVE!$X$6/RSeed!AT45))</f>
        <v>1.2507578750764589E-2</v>
      </c>
      <c r="AU45" s="86">
        <f>RSeed!AU45*(1-(MOVE!$X$6/RSeed!AU45))</f>
        <v>1.2507578750764589E-2</v>
      </c>
      <c r="AV45" s="86">
        <f>RSeed!AV45*(1-(MOVE!$X$6/RSeed!AV45))</f>
        <v>1.2507578750764589E-2</v>
      </c>
      <c r="AW45" s="86">
        <f>RSeed!AW45*(1-(MOVE!$X$6/RSeed!AW45))</f>
        <v>1.2507578750764589E-2</v>
      </c>
      <c r="AX45" s="86">
        <f>RSeed!AX45*(1-(MOVE!$X$6/RSeed!AX45))</f>
        <v>1.2507578750764589E-2</v>
      </c>
      <c r="AY45" s="87">
        <f>RSeed!AY45*(1-(MOVE!$X$6/RSeed!AY45))</f>
        <v>1.2507578750764589E-2</v>
      </c>
      <c r="AZ45" s="72">
        <f>RSeed!AZ45*(1-(MOVE!$X$6/RSeed!AZ45))</f>
        <v>1.2507578750764589E-2</v>
      </c>
      <c r="BA45" s="35">
        <v>27</v>
      </c>
    </row>
    <row r="46" spans="2:53" x14ac:dyDescent="0.2">
      <c r="B46" s="34">
        <v>28</v>
      </c>
      <c r="C46" s="72">
        <f>RSeed!C46*(1-(MOVE!$C$6/RSeed!C46))</f>
        <v>1.2507578750764589E-2</v>
      </c>
      <c r="D46" s="74">
        <f>RSeed!D46*(1-(MOVE!$C$6/RSeed!D46))</f>
        <v>1.2507578750764589E-2</v>
      </c>
      <c r="E46" s="75">
        <f>RSeed!E46*(1-(MOVE!$C$6/RSeed!E46))</f>
        <v>1.2507578750764589E-2</v>
      </c>
      <c r="F46" s="75">
        <f>RSeed!F46*(1-(MOVE!$C$6/RSeed!F46))</f>
        <v>1.2507578750764589E-2</v>
      </c>
      <c r="G46" s="75">
        <f>RSeed!G46*(1-(MOVE!$C$6/RSeed!G46))</f>
        <v>1.2507578750764589E-2</v>
      </c>
      <c r="H46" s="75">
        <f>RSeed!H46*(1-(MOVE!$C$6/RSeed!H46))</f>
        <v>1.2507578750764589E-2</v>
      </c>
      <c r="I46" s="75">
        <f>RSeed!I46*(1-(MOVE!$C$6/RSeed!I46))</f>
        <v>1.2507578750764589E-2</v>
      </c>
      <c r="J46" s="75">
        <f>RSeed!J46*(1-(MOVE!$C$6/RSeed!J46))</f>
        <v>1.2507578750764589E-2</v>
      </c>
      <c r="K46" s="75">
        <f>RSeed!K46*(1-(MOVE!$C$6/RSeed!K46))</f>
        <v>1.2507578750764589E-2</v>
      </c>
      <c r="L46" s="109">
        <f>RSeed!L46*(1-(MOVE!$J$6/RSeed!L46))</f>
        <v>1.2507578750764589E-2</v>
      </c>
      <c r="M46" s="83">
        <f>RSeed!M46*(1-(MOVE!$J$6/RSeed!M46))</f>
        <v>1.2507578750764589E-2</v>
      </c>
      <c r="N46" s="83">
        <f>RSeed!N46*(1-(MOVE!$J$6/RSeed!N46))</f>
        <v>1.2507578750764589E-2</v>
      </c>
      <c r="O46" s="83">
        <f>RSeed!O46*(1-(MOVE!$J$6/RSeed!O46))</f>
        <v>1.2507578750764589E-2</v>
      </c>
      <c r="P46" s="83">
        <f>RSeed!P46*(1-(MOVE!$J$6/RSeed!P46))</f>
        <v>1.2507578750764589E-2</v>
      </c>
      <c r="Q46" s="83">
        <f>RSeed!Q46*(1-(MOVE!$J$6/RSeed!Q46))</f>
        <v>1.2507578750764589E-2</v>
      </c>
      <c r="R46" s="83">
        <f>RSeed!R46*(1-(MOVE!$J$6/RSeed!R46))</f>
        <v>1.2507578750764589E-2</v>
      </c>
      <c r="S46" s="83">
        <f>RSeed!S46*(1-(MOVE!$J$6/RSeed!S46))</f>
        <v>1.2507578750764589E-2</v>
      </c>
      <c r="T46" s="83">
        <f>RSeed!T46*(1-(MOVE!$J$6/RSeed!T46))</f>
        <v>1.2507578750764589E-2</v>
      </c>
      <c r="U46" s="83">
        <f>RSeed!U46*(1-(MOVE!$J$6/RSeed!U46))</f>
        <v>1.2507578750764589E-2</v>
      </c>
      <c r="V46" s="83">
        <f>RSeed!V46*(1-(MOVE!$J$6/RSeed!V46))</f>
        <v>1.2507578750764589E-2</v>
      </c>
      <c r="W46" s="83">
        <f>RSeed!W46*(1-(MOVE!$J$6/RSeed!W46))</f>
        <v>1.2507578750764589E-2</v>
      </c>
      <c r="X46" s="83">
        <f>RSeed!X46*(1-(MOVE!$J$6/RSeed!X46))</f>
        <v>1.2507578750764589E-2</v>
      </c>
      <c r="Y46" s="83">
        <f>RSeed!Y46*(1-(MOVE!$J$6/RSeed!Y46))</f>
        <v>1.2507578750764589E-2</v>
      </c>
      <c r="Z46" s="83">
        <f>RSeed!Z46*(1-(MOVE!$J$6/RSeed!Z46))</f>
        <v>1.2507578750764589E-2</v>
      </c>
      <c r="AA46" s="83">
        <f>RSeed!AA46*(1-(MOVE!$J$6/RSeed!AA46))</f>
        <v>1.2507578750764589E-2</v>
      </c>
      <c r="AB46" s="83">
        <f>RSeed!AB46*(1-(MOVE!$J$6/RSeed!AB46))</f>
        <v>1.2507578750764589E-2</v>
      </c>
      <c r="AC46" s="83">
        <f>RSeed!AC46*(1-(MOVE!$J$6/RSeed!AC46))</f>
        <v>1.2507578750764589E-2</v>
      </c>
      <c r="AD46" s="83">
        <f>RSeed!AD46*(1-(MOVE!$J$6/RSeed!AD46))</f>
        <v>1.2507578750764589E-2</v>
      </c>
      <c r="AE46" s="83">
        <f>RSeed!AE46*(1-(MOVE!$J$6/RSeed!AE46))</f>
        <v>1.2507578750764589E-2</v>
      </c>
      <c r="AF46" s="83">
        <f>RSeed!AF46*(1-(MOVE!$J$6/RSeed!AF46))</f>
        <v>1.2507578750764589E-2</v>
      </c>
      <c r="AG46" s="83">
        <f>RSeed!AG46*(1-(MOVE!$J$6/RSeed!AG46))</f>
        <v>1.2507578750764589E-2</v>
      </c>
      <c r="AH46" s="83">
        <f>RSeed!AH46*(1-(MOVE!$J$6/RSeed!AH46))</f>
        <v>1.2507578750764589E-2</v>
      </c>
      <c r="AI46" s="83">
        <f>RSeed!AI46*(1-(MOVE!$J$6/RSeed!AI46))</f>
        <v>1.2507578750764589E-2</v>
      </c>
      <c r="AJ46" s="83">
        <f>RSeed!AJ46*(1-(MOVE!$J$6/RSeed!AJ46))</f>
        <v>1.2507578750764589E-2</v>
      </c>
      <c r="AK46" s="83">
        <f>RSeed!AK46*(1-(MOVE!$J$6/RSeed!AK46))</f>
        <v>1.2507578750764589E-2</v>
      </c>
      <c r="AL46" s="83">
        <f>RSeed!AL46*(1-(MOVE!$J$6/RSeed!AL46))</f>
        <v>1.2507578750764589E-2</v>
      </c>
      <c r="AM46" s="83">
        <f>RSeed!AM46*(1-(MOVE!$J$6/RSeed!AM46))</f>
        <v>1.2507578750764589E-2</v>
      </c>
      <c r="AN46" s="83">
        <f>RSeed!AN46*(1-(MOVE!$J$6/RSeed!AN46))</f>
        <v>1.2507578750764589E-2</v>
      </c>
      <c r="AO46" s="83">
        <f>RSeed!AO46*(1-(MOVE!$J$6/RSeed!AO46))</f>
        <v>1.2507578750764589E-2</v>
      </c>
      <c r="AP46" s="83">
        <f>RSeed!AP46*(1-(MOVE!$J$6/RSeed!AP46))</f>
        <v>1.2507578750764589E-2</v>
      </c>
      <c r="AQ46" s="83">
        <f>RSeed!AQ46*(1-(MOVE!$J$6/RSeed!AQ46))</f>
        <v>1.2507578750764589E-2</v>
      </c>
      <c r="AR46" s="92">
        <f>RSeed!AR46*(1-(MOVE!$X$6/RSeed!AR46))</f>
        <v>1.2507578750764589E-2</v>
      </c>
      <c r="AS46" s="86">
        <f>RSeed!AS46*(1-(MOVE!$X$6/RSeed!AS46))</f>
        <v>1.2507578750764589E-2</v>
      </c>
      <c r="AT46" s="86">
        <f>RSeed!AT46*(1-(MOVE!$X$6/RSeed!AT46))</f>
        <v>1.2507578750764589E-2</v>
      </c>
      <c r="AU46" s="86">
        <f>RSeed!AU46*(1-(MOVE!$X$6/RSeed!AU46))</f>
        <v>1.2507578750764589E-2</v>
      </c>
      <c r="AV46" s="86">
        <f>RSeed!AV46*(1-(MOVE!$X$6/RSeed!AV46))</f>
        <v>1.2507578750764589E-2</v>
      </c>
      <c r="AW46" s="86">
        <f>RSeed!AW46*(1-(MOVE!$X$6/RSeed!AW46))</f>
        <v>1.2507578750764589E-2</v>
      </c>
      <c r="AX46" s="86">
        <f>RSeed!AX46*(1-(MOVE!$X$6/RSeed!AX46))</f>
        <v>1.2507578750764589E-2</v>
      </c>
      <c r="AY46" s="87">
        <f>RSeed!AY46*(1-(MOVE!$X$6/RSeed!AY46))</f>
        <v>1.2507578750764589E-2</v>
      </c>
      <c r="AZ46" s="72">
        <f>RSeed!AZ46*(1-(MOVE!$X$6/RSeed!AZ46))</f>
        <v>1.2507578750764589E-2</v>
      </c>
      <c r="BA46" s="35">
        <v>28</v>
      </c>
    </row>
    <row r="47" spans="2:53" x14ac:dyDescent="0.2">
      <c r="B47" s="34">
        <v>29</v>
      </c>
      <c r="C47" s="72">
        <f>RSeed!C47*(1-(MOVE!$C$6/RSeed!C47))</f>
        <v>1.2507578750764589E-2</v>
      </c>
      <c r="D47" s="74">
        <f>RSeed!D47*(1-(MOVE!$C$6/RSeed!D47))</f>
        <v>1.2507578750764589E-2</v>
      </c>
      <c r="E47" s="75">
        <f>RSeed!E47*(1-(MOVE!$C$6/RSeed!E47))</f>
        <v>1.2507578750764589E-2</v>
      </c>
      <c r="F47" s="75">
        <f>RSeed!F47*(1-(MOVE!$C$6/RSeed!F47))</f>
        <v>1.2507578750764589E-2</v>
      </c>
      <c r="G47" s="75">
        <f>RSeed!G47*(1-(MOVE!$C$6/RSeed!G47))</f>
        <v>1.2507578750764589E-2</v>
      </c>
      <c r="H47" s="75">
        <f>RSeed!H47*(1-(MOVE!$C$6/RSeed!H47))</f>
        <v>1.2507578750764589E-2</v>
      </c>
      <c r="I47" s="75">
        <f>RSeed!I47*(1-(MOVE!$C$6/RSeed!I47))</f>
        <v>1.2507578750764589E-2</v>
      </c>
      <c r="J47" s="75">
        <f>RSeed!J47*(1-(MOVE!$C$6/RSeed!J47))</f>
        <v>1.2507578750764589E-2</v>
      </c>
      <c r="K47" s="75">
        <f>RSeed!K47*(1-(MOVE!$C$6/RSeed!K47))</f>
        <v>1.2507578750764589E-2</v>
      </c>
      <c r="L47" s="109">
        <f>RSeed!L47*(1-(MOVE!$J$6/RSeed!L47))</f>
        <v>1.2507578750764589E-2</v>
      </c>
      <c r="M47" s="83">
        <f>RSeed!M47*(1-(MOVE!$J$6/RSeed!M47))</f>
        <v>1.2507578750764589E-2</v>
      </c>
      <c r="N47" s="83">
        <f>RSeed!N47*(1-(MOVE!$J$6/RSeed!N47))</f>
        <v>1.2507578750764589E-2</v>
      </c>
      <c r="O47" s="83">
        <f>RSeed!O47*(1-(MOVE!$J$6/RSeed!O47))</f>
        <v>1.2507578750764589E-2</v>
      </c>
      <c r="P47" s="83">
        <f>RSeed!P47*(1-(MOVE!$J$6/RSeed!P47))</f>
        <v>1.2507578750764589E-2</v>
      </c>
      <c r="Q47" s="83">
        <f>RSeed!Q47*(1-(MOVE!$J$6/RSeed!Q47))</f>
        <v>1.2507578750764589E-2</v>
      </c>
      <c r="R47" s="83">
        <f>RSeed!R47*(1-(MOVE!$J$6/RSeed!R47))</f>
        <v>1.2507578750764589E-2</v>
      </c>
      <c r="S47" s="83">
        <f>RSeed!S47*(1-(MOVE!$J$6/RSeed!S47))</f>
        <v>1.2507578750764589E-2</v>
      </c>
      <c r="T47" s="83">
        <f>RSeed!T47*(1-(MOVE!$J$6/RSeed!T47))</f>
        <v>1.2507578750764589E-2</v>
      </c>
      <c r="U47" s="83">
        <f>RSeed!U47*(1-(MOVE!$J$6/RSeed!U47))</f>
        <v>1.2507578750764589E-2</v>
      </c>
      <c r="V47" s="83">
        <f>RSeed!V47*(1-(MOVE!$J$6/RSeed!V47))</f>
        <v>1.2507578750764589E-2</v>
      </c>
      <c r="W47" s="83">
        <f>RSeed!W47*(1-(MOVE!$J$6/RSeed!W47))</f>
        <v>1.2507578750764589E-2</v>
      </c>
      <c r="X47" s="83">
        <f>RSeed!X47*(1-(MOVE!$J$6/RSeed!X47))</f>
        <v>1.2507578750764589E-2</v>
      </c>
      <c r="Y47" s="83">
        <f>RSeed!Y47*(1-(MOVE!$J$6/RSeed!Y47))</f>
        <v>1.2507578750764589E-2</v>
      </c>
      <c r="Z47" s="83">
        <f>RSeed!Z47*(1-(MOVE!$J$6/RSeed!Z47))</f>
        <v>1.2507578750764589E-2</v>
      </c>
      <c r="AA47" s="83">
        <f>RSeed!AA47*(1-(MOVE!$J$6/RSeed!AA47))</f>
        <v>1.2507578750764589E-2</v>
      </c>
      <c r="AB47" s="83">
        <f>RSeed!AB47*(1-(MOVE!$J$6/RSeed!AB47))</f>
        <v>1.2507578750764589E-2</v>
      </c>
      <c r="AC47" s="83">
        <f>RSeed!AC47*(1-(MOVE!$J$6/RSeed!AC47))</f>
        <v>1.2507578750764589E-2</v>
      </c>
      <c r="AD47" s="83">
        <f>RSeed!AD47*(1-(MOVE!$J$6/RSeed!AD47))</f>
        <v>1.2507578750764589E-2</v>
      </c>
      <c r="AE47" s="83">
        <f>RSeed!AE47*(1-(MOVE!$J$6/RSeed!AE47))</f>
        <v>1.2507578750764589E-2</v>
      </c>
      <c r="AF47" s="83">
        <f>RSeed!AF47*(1-(MOVE!$J$6/RSeed!AF47))</f>
        <v>1.2507578750764589E-2</v>
      </c>
      <c r="AG47" s="83">
        <f>RSeed!AG47*(1-(MOVE!$J$6/RSeed!AG47))</f>
        <v>1.2507578750764589E-2</v>
      </c>
      <c r="AH47" s="83">
        <f>RSeed!AH47*(1-(MOVE!$J$6/RSeed!AH47))</f>
        <v>1.2507578750764589E-2</v>
      </c>
      <c r="AI47" s="83">
        <f>RSeed!AI47*(1-(MOVE!$J$6/RSeed!AI47))</f>
        <v>1.2507578750764589E-2</v>
      </c>
      <c r="AJ47" s="83">
        <f>RSeed!AJ47*(1-(MOVE!$J$6/RSeed!AJ47))</f>
        <v>1.2507578750764589E-2</v>
      </c>
      <c r="AK47" s="83">
        <f>RSeed!AK47*(1-(MOVE!$J$6/RSeed!AK47))</f>
        <v>1.2507578750764589E-2</v>
      </c>
      <c r="AL47" s="83">
        <f>RSeed!AL47*(1-(MOVE!$J$6/RSeed!AL47))</f>
        <v>1.2507578750764589E-2</v>
      </c>
      <c r="AM47" s="83">
        <f>RSeed!AM47*(1-(MOVE!$J$6/RSeed!AM47))</f>
        <v>1.2507578750764589E-2</v>
      </c>
      <c r="AN47" s="83">
        <f>RSeed!AN47*(1-(MOVE!$J$6/RSeed!AN47))</f>
        <v>1.2507578750764589E-2</v>
      </c>
      <c r="AO47" s="83">
        <f>RSeed!AO47*(1-(MOVE!$J$6/RSeed!AO47))</f>
        <v>1.2507578750764589E-2</v>
      </c>
      <c r="AP47" s="83">
        <f>RSeed!AP47*(1-(MOVE!$J$6/RSeed!AP47))</f>
        <v>1.2507578750764589E-2</v>
      </c>
      <c r="AQ47" s="83">
        <f>RSeed!AQ47*(1-(MOVE!$J$6/RSeed!AQ47))</f>
        <v>1.2507578750764589E-2</v>
      </c>
      <c r="AR47" s="92">
        <f>RSeed!AR47*(1-(MOVE!$X$6/RSeed!AR47))</f>
        <v>1.2507578750764589E-2</v>
      </c>
      <c r="AS47" s="86">
        <f>RSeed!AS47*(1-(MOVE!$X$6/RSeed!AS47))</f>
        <v>1.2507578750764589E-2</v>
      </c>
      <c r="AT47" s="86">
        <f>RSeed!AT47*(1-(MOVE!$X$6/RSeed!AT47))</f>
        <v>1.2507578750764589E-2</v>
      </c>
      <c r="AU47" s="86">
        <f>RSeed!AU47*(1-(MOVE!$X$6/RSeed!AU47))</f>
        <v>1.2507578750764589E-2</v>
      </c>
      <c r="AV47" s="86">
        <f>RSeed!AV47*(1-(MOVE!$X$6/RSeed!AV47))</f>
        <v>1.2507578750764589E-2</v>
      </c>
      <c r="AW47" s="86">
        <f>RSeed!AW47*(1-(MOVE!$X$6/RSeed!AW47))</f>
        <v>1.2507578750764589E-2</v>
      </c>
      <c r="AX47" s="86">
        <f>RSeed!AX47*(1-(MOVE!$X$6/RSeed!AX47))</f>
        <v>1.2507578750764589E-2</v>
      </c>
      <c r="AY47" s="87">
        <f>RSeed!AY47*(1-(MOVE!$X$6/RSeed!AY47))</f>
        <v>1.2507578750764589E-2</v>
      </c>
      <c r="AZ47" s="72">
        <f>RSeed!AZ47*(1-(MOVE!$X$6/RSeed!AZ47))</f>
        <v>1.2507578750764589E-2</v>
      </c>
      <c r="BA47" s="35">
        <v>29</v>
      </c>
    </row>
    <row r="48" spans="2:53" x14ac:dyDescent="0.2">
      <c r="B48" s="34">
        <v>30</v>
      </c>
      <c r="C48" s="72">
        <f>RSeed!C48*(1-(MOVE!$C$6/RSeed!C48))</f>
        <v>1.2507578750764589E-2</v>
      </c>
      <c r="D48" s="74">
        <f>RSeed!D48*(1-(MOVE!$C$6/RSeed!D48))</f>
        <v>1.2507578750764589E-2</v>
      </c>
      <c r="E48" s="75">
        <f>RSeed!E48*(1-(MOVE!$C$6/RSeed!E48))</f>
        <v>1.2507578750764589E-2</v>
      </c>
      <c r="F48" s="75">
        <f>RSeed!F48*(1-(MOVE!$C$6/RSeed!F48))</f>
        <v>1.2507578750764589E-2</v>
      </c>
      <c r="G48" s="75">
        <f>RSeed!G48*(1-(MOVE!$C$6/RSeed!G48))</f>
        <v>1.2507578750764589E-2</v>
      </c>
      <c r="H48" s="75">
        <f>RSeed!H48*(1-(MOVE!$C$6/RSeed!H48))</f>
        <v>1.2507578750764589E-2</v>
      </c>
      <c r="I48" s="75">
        <f>RSeed!I48*(1-(MOVE!$C$6/RSeed!I48))</f>
        <v>1.2507578750764589E-2</v>
      </c>
      <c r="J48" s="75">
        <f>RSeed!J48*(1-(MOVE!$C$6/RSeed!J48))</f>
        <v>1.2507578750764589E-2</v>
      </c>
      <c r="K48" s="75">
        <f>RSeed!K48*(1-(MOVE!$C$6/RSeed!K48))</f>
        <v>1.2507578750764589E-2</v>
      </c>
      <c r="L48" s="109">
        <f>RSeed!L48*(1-(MOVE!$J$6/RSeed!L48))</f>
        <v>1.2507578750764589E-2</v>
      </c>
      <c r="M48" s="83">
        <f>RSeed!M48*(1-(MOVE!$J$6/RSeed!M48))</f>
        <v>1.2507578750764589E-2</v>
      </c>
      <c r="N48" s="83">
        <f>RSeed!N48*(1-(MOVE!$J$6/RSeed!N48))</f>
        <v>1.2507578750764589E-2</v>
      </c>
      <c r="O48" s="83">
        <f>RSeed!O48*(1-(MOVE!$J$6/RSeed!O48))</f>
        <v>1.2507578750764589E-2</v>
      </c>
      <c r="P48" s="83">
        <f>RSeed!P48*(1-(MOVE!$J$6/RSeed!P48))</f>
        <v>1.2507578750764589E-2</v>
      </c>
      <c r="Q48" s="83">
        <f>RSeed!Q48*(1-(MOVE!$J$6/RSeed!Q48))</f>
        <v>1.2507578750764589E-2</v>
      </c>
      <c r="R48" s="83">
        <f>RSeed!R48*(1-(MOVE!$J$6/RSeed!R48))</f>
        <v>1.2507578750764589E-2</v>
      </c>
      <c r="S48" s="83">
        <f>RSeed!S48*(1-(MOVE!$J$6/RSeed!S48))</f>
        <v>1.2507578750764589E-2</v>
      </c>
      <c r="T48" s="83">
        <f>RSeed!T48*(1-(MOVE!$J$6/RSeed!T48))</f>
        <v>1.2507578750764589E-2</v>
      </c>
      <c r="U48" s="83">
        <f>RSeed!U48*(1-(MOVE!$J$6/RSeed!U48))</f>
        <v>1.2507578750764589E-2</v>
      </c>
      <c r="V48" s="83">
        <f>RSeed!V48*(1-(MOVE!$J$6/RSeed!V48))</f>
        <v>1.2507578750764589E-2</v>
      </c>
      <c r="W48" s="83">
        <f>RSeed!W48*(1-(MOVE!$J$6/RSeed!W48))</f>
        <v>1.2507578750764589E-2</v>
      </c>
      <c r="X48" s="83">
        <f>RSeed!X48*(1-(MOVE!$J$6/RSeed!X48))</f>
        <v>1.2507578750764589E-2</v>
      </c>
      <c r="Y48" s="83">
        <f>RSeed!Y48*(1-(MOVE!$J$6/RSeed!Y48))</f>
        <v>1.2507578750764589E-2</v>
      </c>
      <c r="Z48" s="83">
        <f>RSeed!Z48*(1-(MOVE!$J$6/RSeed!Z48))</f>
        <v>1.2507578750764589E-2</v>
      </c>
      <c r="AA48" s="83">
        <f>RSeed!AA48*(1-(MOVE!$J$6/RSeed!AA48))</f>
        <v>1.2507578750764589E-2</v>
      </c>
      <c r="AB48" s="83">
        <f>RSeed!AB48*(1-(MOVE!$J$6/RSeed!AB48))</f>
        <v>1.2507578750764589E-2</v>
      </c>
      <c r="AC48" s="83">
        <f>RSeed!AC48*(1-(MOVE!$J$6/RSeed!AC48))</f>
        <v>1.2507578750764589E-2</v>
      </c>
      <c r="AD48" s="83">
        <f>RSeed!AD48*(1-(MOVE!$J$6/RSeed!AD48))</f>
        <v>1.2507578750764589E-2</v>
      </c>
      <c r="AE48" s="83">
        <f>RSeed!AE48*(1-(MOVE!$J$6/RSeed!AE48))</f>
        <v>1.2507578750764589E-2</v>
      </c>
      <c r="AF48" s="83">
        <f>RSeed!AF48*(1-(MOVE!$J$6/RSeed!AF48))</f>
        <v>1.2507578750764589E-2</v>
      </c>
      <c r="AG48" s="83">
        <f>RSeed!AG48*(1-(MOVE!$J$6/RSeed!AG48))</f>
        <v>1.2507578750764589E-2</v>
      </c>
      <c r="AH48" s="83">
        <f>RSeed!AH48*(1-(MOVE!$J$6/RSeed!AH48))</f>
        <v>1.2507578750764589E-2</v>
      </c>
      <c r="AI48" s="83">
        <f>RSeed!AI48*(1-(MOVE!$J$6/RSeed!AI48))</f>
        <v>1.2507578750764589E-2</v>
      </c>
      <c r="AJ48" s="83">
        <f>RSeed!AJ48*(1-(MOVE!$J$6/RSeed!AJ48))</f>
        <v>1.2507578750764589E-2</v>
      </c>
      <c r="AK48" s="83">
        <f>RSeed!AK48*(1-(MOVE!$J$6/RSeed!AK48))</f>
        <v>1.2507578750764589E-2</v>
      </c>
      <c r="AL48" s="83">
        <f>RSeed!AL48*(1-(MOVE!$J$6/RSeed!AL48))</f>
        <v>1.2507578750764589E-2</v>
      </c>
      <c r="AM48" s="83">
        <f>RSeed!AM48*(1-(MOVE!$J$6/RSeed!AM48))</f>
        <v>1.2507578750764589E-2</v>
      </c>
      <c r="AN48" s="83">
        <f>RSeed!AN48*(1-(MOVE!$J$6/RSeed!AN48))</f>
        <v>1.2507578750764589E-2</v>
      </c>
      <c r="AO48" s="83">
        <f>RSeed!AO48*(1-(MOVE!$J$6/RSeed!AO48))</f>
        <v>1.2507578750764589E-2</v>
      </c>
      <c r="AP48" s="83">
        <f>RSeed!AP48*(1-(MOVE!$J$6/RSeed!AP48))</f>
        <v>1.2507578750764589E-2</v>
      </c>
      <c r="AQ48" s="83">
        <f>RSeed!AQ48*(1-(MOVE!$J$6/RSeed!AQ48))</f>
        <v>1.2507578750764589E-2</v>
      </c>
      <c r="AR48" s="92">
        <f>RSeed!AR48*(1-(MOVE!$X$6/RSeed!AR48))</f>
        <v>1.2507578750764589E-2</v>
      </c>
      <c r="AS48" s="86">
        <f>RSeed!AS48*(1-(MOVE!$X$6/RSeed!AS48))</f>
        <v>1.2507578750764589E-2</v>
      </c>
      <c r="AT48" s="86">
        <f>RSeed!AT48*(1-(MOVE!$X$6/RSeed!AT48))</f>
        <v>1.2507578750764589E-2</v>
      </c>
      <c r="AU48" s="86">
        <f>RSeed!AU48*(1-(MOVE!$X$6/RSeed!AU48))</f>
        <v>1.2507578750764589E-2</v>
      </c>
      <c r="AV48" s="86">
        <f>RSeed!AV48*(1-(MOVE!$X$6/RSeed!AV48))</f>
        <v>1.2507578750764589E-2</v>
      </c>
      <c r="AW48" s="86">
        <f>RSeed!AW48*(1-(MOVE!$X$6/RSeed!AW48))</f>
        <v>1.2507578750764589E-2</v>
      </c>
      <c r="AX48" s="86">
        <f>RSeed!AX48*(1-(MOVE!$X$6/RSeed!AX48))</f>
        <v>1.2507578750764589E-2</v>
      </c>
      <c r="AY48" s="87">
        <f>RSeed!AY48*(1-(MOVE!$X$6/RSeed!AY48))</f>
        <v>1.2507578750764589E-2</v>
      </c>
      <c r="AZ48" s="72">
        <f>RSeed!AZ48*(1-(MOVE!$X$6/RSeed!AZ48))</f>
        <v>1.2507578750764589E-2</v>
      </c>
      <c r="BA48" s="35">
        <v>30</v>
      </c>
    </row>
    <row r="49" spans="2:53" x14ac:dyDescent="0.2">
      <c r="B49" s="34">
        <v>31</v>
      </c>
      <c r="C49" s="72">
        <f>RSeed!C49*(1-(MOVE!$C$6/RSeed!C49))</f>
        <v>1.2507578750764589E-2</v>
      </c>
      <c r="D49" s="74">
        <f>RSeed!D49*(1-(MOVE!$C$6/RSeed!D49))</f>
        <v>1.2507578750764589E-2</v>
      </c>
      <c r="E49" s="75">
        <f>RSeed!E49*(1-(MOVE!$C$6/RSeed!E49))</f>
        <v>1.2507578750764589E-2</v>
      </c>
      <c r="F49" s="75">
        <f>RSeed!F49*(1-(MOVE!$C$6/RSeed!F49))</f>
        <v>1.2507578750764589E-2</v>
      </c>
      <c r="G49" s="75">
        <f>RSeed!G49*(1-(MOVE!$C$6/RSeed!G49))</f>
        <v>1.2507578750764589E-2</v>
      </c>
      <c r="H49" s="75">
        <f>RSeed!H49*(1-(MOVE!$C$6/RSeed!H49))</f>
        <v>1.2507578750764589E-2</v>
      </c>
      <c r="I49" s="75">
        <f>RSeed!I49*(1-(MOVE!$C$6/RSeed!I49))</f>
        <v>1.2507578750764589E-2</v>
      </c>
      <c r="J49" s="75">
        <f>RSeed!J49*(1-(MOVE!$C$6/RSeed!J49))</f>
        <v>1.2507578750764589E-2</v>
      </c>
      <c r="K49" s="75">
        <f>RSeed!K49*(1-(MOVE!$C$6/RSeed!K49))</f>
        <v>1.2507578750764589E-2</v>
      </c>
      <c r="L49" s="109">
        <f>RSeed!L49*(1-(MOVE!$J$6/RSeed!L49))</f>
        <v>1.2507578750764589E-2</v>
      </c>
      <c r="M49" s="83">
        <f>RSeed!M49*(1-(MOVE!$J$6/RSeed!M49))</f>
        <v>1.2507578750764589E-2</v>
      </c>
      <c r="N49" s="83">
        <f>RSeed!N49*(1-(MOVE!$J$6/RSeed!N49))</f>
        <v>1.2507578750764589E-2</v>
      </c>
      <c r="O49" s="83">
        <f>RSeed!O49*(1-(MOVE!$J$6/RSeed!O49))</f>
        <v>1.2507578750764589E-2</v>
      </c>
      <c r="P49" s="83">
        <f>RSeed!P49*(1-(MOVE!$J$6/RSeed!P49))</f>
        <v>1.2507578750764589E-2</v>
      </c>
      <c r="Q49" s="83">
        <f>RSeed!Q49*(1-(MOVE!$J$6/RSeed!Q49))</f>
        <v>1.2507578750764589E-2</v>
      </c>
      <c r="R49" s="83">
        <f>RSeed!R49*(1-(MOVE!$J$6/RSeed!R49))</f>
        <v>1.2507578750764589E-2</v>
      </c>
      <c r="S49" s="83">
        <f>RSeed!S49*(1-(MOVE!$J$6/RSeed!S49))</f>
        <v>1.2507578750764589E-2</v>
      </c>
      <c r="T49" s="83">
        <f>RSeed!T49*(1-(MOVE!$J$6/RSeed!T49))</f>
        <v>1.2507578750764589E-2</v>
      </c>
      <c r="U49" s="83">
        <f>RSeed!U49*(1-(MOVE!$J$6/RSeed!U49))</f>
        <v>1.2507578750764589E-2</v>
      </c>
      <c r="V49" s="83">
        <f>RSeed!V49*(1-(MOVE!$J$6/RSeed!V49))</f>
        <v>1.2507578750764589E-2</v>
      </c>
      <c r="W49" s="83">
        <f>RSeed!W49*(1-(MOVE!$J$6/RSeed!W49))</f>
        <v>1.2507578750764589E-2</v>
      </c>
      <c r="X49" s="83">
        <f>RSeed!X49*(1-(MOVE!$J$6/RSeed!X49))</f>
        <v>1.2507578750764589E-2</v>
      </c>
      <c r="Y49" s="83">
        <f>RSeed!Y49*(1-(MOVE!$J$6/RSeed!Y49))</f>
        <v>1.2507578750764589E-2</v>
      </c>
      <c r="Z49" s="83">
        <f>RSeed!Z49*(1-(MOVE!$J$6/RSeed!Z49))</f>
        <v>1.2507578750764589E-2</v>
      </c>
      <c r="AA49" s="83">
        <f>RSeed!AA49*(1-(MOVE!$J$6/RSeed!AA49))</f>
        <v>1.2507578750764589E-2</v>
      </c>
      <c r="AB49" s="83">
        <f>RSeed!AB49*(1-(MOVE!$J$6/RSeed!AB49))</f>
        <v>1.2507578750764589E-2</v>
      </c>
      <c r="AC49" s="83">
        <f>RSeed!AC49*(1-(MOVE!$J$6/RSeed!AC49))</f>
        <v>1.2507578750764589E-2</v>
      </c>
      <c r="AD49" s="83">
        <f>RSeed!AD49*(1-(MOVE!$J$6/RSeed!AD49))</f>
        <v>1.2507578750764589E-2</v>
      </c>
      <c r="AE49" s="83">
        <f>RSeed!AE49*(1-(MOVE!$J$6/RSeed!AE49))</f>
        <v>1.2507578750764589E-2</v>
      </c>
      <c r="AF49" s="83">
        <f>RSeed!AF49*(1-(MOVE!$J$6/RSeed!AF49))</f>
        <v>1.2507578750764589E-2</v>
      </c>
      <c r="AG49" s="83">
        <f>RSeed!AG49*(1-(MOVE!$J$6/RSeed!AG49))</f>
        <v>1.2507578750764589E-2</v>
      </c>
      <c r="AH49" s="83">
        <f>RSeed!AH49*(1-(MOVE!$J$6/RSeed!AH49))</f>
        <v>1.2507578750764589E-2</v>
      </c>
      <c r="AI49" s="83">
        <f>RSeed!AI49*(1-(MOVE!$J$6/RSeed!AI49))</f>
        <v>1.2507578750764589E-2</v>
      </c>
      <c r="AJ49" s="83">
        <f>RSeed!AJ49*(1-(MOVE!$J$6/RSeed!AJ49))</f>
        <v>1.2507578750764589E-2</v>
      </c>
      <c r="AK49" s="83">
        <f>RSeed!AK49*(1-(MOVE!$J$6/RSeed!AK49))</f>
        <v>1.2507578750764589E-2</v>
      </c>
      <c r="AL49" s="83">
        <f>RSeed!AL49*(1-(MOVE!$J$6/RSeed!AL49))</f>
        <v>1.2507578750764589E-2</v>
      </c>
      <c r="AM49" s="83">
        <f>RSeed!AM49*(1-(MOVE!$J$6/RSeed!AM49))</f>
        <v>1.2507578750764589E-2</v>
      </c>
      <c r="AN49" s="83">
        <f>RSeed!AN49*(1-(MOVE!$J$6/RSeed!AN49))</f>
        <v>1.2507578750764589E-2</v>
      </c>
      <c r="AO49" s="83">
        <f>RSeed!AO49*(1-(MOVE!$J$6/RSeed!AO49))</f>
        <v>1.2507578750764589E-2</v>
      </c>
      <c r="AP49" s="83">
        <f>RSeed!AP49*(1-(MOVE!$J$6/RSeed!AP49))</f>
        <v>1.2507578750764589E-2</v>
      </c>
      <c r="AQ49" s="83">
        <f>RSeed!AQ49*(1-(MOVE!$J$6/RSeed!AQ49))</f>
        <v>1.2507578750764589E-2</v>
      </c>
      <c r="AR49" s="92">
        <f>RSeed!AR49*(1-(MOVE!$X$6/RSeed!AR49))</f>
        <v>1.2507578750764589E-2</v>
      </c>
      <c r="AS49" s="86">
        <f>RSeed!AS49*(1-(MOVE!$X$6/RSeed!AS49))</f>
        <v>1.2507578750764589E-2</v>
      </c>
      <c r="AT49" s="86">
        <f>RSeed!AT49*(1-(MOVE!$X$6/RSeed!AT49))</f>
        <v>1.2507578750764589E-2</v>
      </c>
      <c r="AU49" s="86">
        <f>RSeed!AU49*(1-(MOVE!$X$6/RSeed!AU49))</f>
        <v>1.2507578750764589E-2</v>
      </c>
      <c r="AV49" s="86">
        <f>RSeed!AV49*(1-(MOVE!$X$6/RSeed!AV49))</f>
        <v>1.2507578750764589E-2</v>
      </c>
      <c r="AW49" s="86">
        <f>RSeed!AW49*(1-(MOVE!$X$6/RSeed!AW49))</f>
        <v>1.2507578750764589E-2</v>
      </c>
      <c r="AX49" s="86">
        <f>RSeed!AX49*(1-(MOVE!$X$6/RSeed!AX49))</f>
        <v>1.2507578750764589E-2</v>
      </c>
      <c r="AY49" s="87">
        <f>RSeed!AY49*(1-(MOVE!$X$6/RSeed!AY49))</f>
        <v>1.2507578750764589E-2</v>
      </c>
      <c r="AZ49" s="72">
        <f>RSeed!AZ49*(1-(MOVE!$X$6/RSeed!AZ49))</f>
        <v>1.2507578750764589E-2</v>
      </c>
      <c r="BA49" s="35">
        <v>31</v>
      </c>
    </row>
    <row r="50" spans="2:53" x14ac:dyDescent="0.2">
      <c r="B50" s="34">
        <v>32</v>
      </c>
      <c r="C50" s="72">
        <f>RSeed!C50*(1-(MOVE!$C$6/RSeed!C50))</f>
        <v>1.2507578750764589E-2</v>
      </c>
      <c r="D50" s="74">
        <f>RSeed!D50*(1-(MOVE!$C$6/RSeed!D50))</f>
        <v>1.2507578750764589E-2</v>
      </c>
      <c r="E50" s="75">
        <f>RSeed!E50*(1-(MOVE!$C$6/RSeed!E50))</f>
        <v>1.2507578750764589E-2</v>
      </c>
      <c r="F50" s="75">
        <f>RSeed!F50*(1-(MOVE!$C$6/RSeed!F50))</f>
        <v>1.2507578750764589E-2</v>
      </c>
      <c r="G50" s="75">
        <f>RSeed!G50*(1-(MOVE!$C$6/RSeed!G50))</f>
        <v>1.2507578750764589E-2</v>
      </c>
      <c r="H50" s="75">
        <f>RSeed!H50*(1-(MOVE!$C$6/RSeed!H50))</f>
        <v>1.2507578750764589E-2</v>
      </c>
      <c r="I50" s="75">
        <f>RSeed!I50*(1-(MOVE!$C$6/RSeed!I50))</f>
        <v>1.2507578750764589E-2</v>
      </c>
      <c r="J50" s="75">
        <f>RSeed!J50*(1-(MOVE!$C$6/RSeed!J50))</f>
        <v>1.2507578750764589E-2</v>
      </c>
      <c r="K50" s="75">
        <f>RSeed!K50*(1-(MOVE!$C$6/RSeed!K50))</f>
        <v>1.2507578750764589E-2</v>
      </c>
      <c r="L50" s="109">
        <f>RSeed!L50*(1-(MOVE!$J$6/RSeed!L50))</f>
        <v>1.2507578750764589E-2</v>
      </c>
      <c r="M50" s="83">
        <f>RSeed!M50*(1-(MOVE!$J$6/RSeed!M50))</f>
        <v>1.2507578750764589E-2</v>
      </c>
      <c r="N50" s="83">
        <f>RSeed!N50*(1-(MOVE!$J$6/RSeed!N50))</f>
        <v>1.2507578750764589E-2</v>
      </c>
      <c r="O50" s="83">
        <f>RSeed!O50*(1-(MOVE!$J$6/RSeed!O50))</f>
        <v>1.2507578750764589E-2</v>
      </c>
      <c r="P50" s="83">
        <f>RSeed!P50*(1-(MOVE!$J$6/RSeed!P50))</f>
        <v>1.2507578750764589E-2</v>
      </c>
      <c r="Q50" s="83">
        <f>RSeed!Q50*(1-(MOVE!$J$6/RSeed!Q50))</f>
        <v>1.2507578750764589E-2</v>
      </c>
      <c r="R50" s="83">
        <f>RSeed!R50*(1-(MOVE!$J$6/RSeed!R50))</f>
        <v>1.2507578750764589E-2</v>
      </c>
      <c r="S50" s="83">
        <f>RSeed!S50*(1-(MOVE!$J$6/RSeed!S50))</f>
        <v>1.2507578750764589E-2</v>
      </c>
      <c r="T50" s="83">
        <f>RSeed!T50*(1-(MOVE!$J$6/RSeed!T50))</f>
        <v>1.2507578750764589E-2</v>
      </c>
      <c r="U50" s="83">
        <f>RSeed!U50*(1-(MOVE!$J$6/RSeed!U50))</f>
        <v>1.2507578750764589E-2</v>
      </c>
      <c r="V50" s="83">
        <f>RSeed!V50*(1-(MOVE!$J$6/RSeed!V50))</f>
        <v>1.2507578750764589E-2</v>
      </c>
      <c r="W50" s="83">
        <f>RSeed!W50*(1-(MOVE!$J$6/RSeed!W50))</f>
        <v>1.2507578750764589E-2</v>
      </c>
      <c r="X50" s="83">
        <f>RSeed!X50*(1-(MOVE!$J$6/RSeed!X50))</f>
        <v>1.2507578750764589E-2</v>
      </c>
      <c r="Y50" s="83">
        <f>RSeed!Y50*(1-(MOVE!$J$6/RSeed!Y50))</f>
        <v>1.2507578750764589E-2</v>
      </c>
      <c r="Z50" s="83">
        <f>RSeed!Z50*(1-(MOVE!$J$6/RSeed!Z50))</f>
        <v>1.2507578750764589E-2</v>
      </c>
      <c r="AA50" s="83">
        <f>RSeed!AA50*(1-(MOVE!$J$6/RSeed!AA50))</f>
        <v>1.2507578750764589E-2</v>
      </c>
      <c r="AB50" s="83">
        <f>RSeed!AB50*(1-(MOVE!$J$6/RSeed!AB50))</f>
        <v>1.2507578750764589E-2</v>
      </c>
      <c r="AC50" s="83">
        <f>RSeed!AC50*(1-(MOVE!$J$6/RSeed!AC50))</f>
        <v>1.2507578750764589E-2</v>
      </c>
      <c r="AD50" s="83">
        <f>RSeed!AD50*(1-(MOVE!$J$6/RSeed!AD50))</f>
        <v>1.2507578750764589E-2</v>
      </c>
      <c r="AE50" s="83">
        <f>RSeed!AE50*(1-(MOVE!$J$6/RSeed!AE50))</f>
        <v>1.2507578750764589E-2</v>
      </c>
      <c r="AF50" s="83">
        <f>RSeed!AF50*(1-(MOVE!$J$6/RSeed!AF50))</f>
        <v>1.2507578750764589E-2</v>
      </c>
      <c r="AG50" s="83">
        <f>RSeed!AG50*(1-(MOVE!$J$6/RSeed!AG50))</f>
        <v>1.2507578750764589E-2</v>
      </c>
      <c r="AH50" s="83">
        <f>RSeed!AH50*(1-(MOVE!$J$6/RSeed!AH50))</f>
        <v>1.2507578750764589E-2</v>
      </c>
      <c r="AI50" s="83">
        <f>RSeed!AI50*(1-(MOVE!$J$6/RSeed!AI50))</f>
        <v>1.2507578750764589E-2</v>
      </c>
      <c r="AJ50" s="83">
        <f>RSeed!AJ50*(1-(MOVE!$J$6/RSeed!AJ50))</f>
        <v>1.2507578750764589E-2</v>
      </c>
      <c r="AK50" s="83">
        <f>RSeed!AK50*(1-(MOVE!$J$6/RSeed!AK50))</f>
        <v>1.2507578750764589E-2</v>
      </c>
      <c r="AL50" s="83">
        <f>RSeed!AL50*(1-(MOVE!$J$6/RSeed!AL50))</f>
        <v>1.2507578750764589E-2</v>
      </c>
      <c r="AM50" s="83">
        <f>RSeed!AM50*(1-(MOVE!$J$6/RSeed!AM50))</f>
        <v>1.2507578750764589E-2</v>
      </c>
      <c r="AN50" s="83">
        <f>RSeed!AN50*(1-(MOVE!$J$6/RSeed!AN50))</f>
        <v>1.2507578750764589E-2</v>
      </c>
      <c r="AO50" s="83">
        <f>RSeed!AO50*(1-(MOVE!$J$6/RSeed!AO50))</f>
        <v>1.2507578750764589E-2</v>
      </c>
      <c r="AP50" s="83">
        <f>RSeed!AP50*(1-(MOVE!$J$6/RSeed!AP50))</f>
        <v>1.2507578750764589E-2</v>
      </c>
      <c r="AQ50" s="83">
        <f>RSeed!AQ50*(1-(MOVE!$J$6/RSeed!AQ50))</f>
        <v>1.2507578750764589E-2</v>
      </c>
      <c r="AR50" s="92">
        <f>RSeed!AR50*(1-(MOVE!$X$6/RSeed!AR50))</f>
        <v>1.2507578750764589E-2</v>
      </c>
      <c r="AS50" s="86">
        <f>RSeed!AS50*(1-(MOVE!$X$6/RSeed!AS50))</f>
        <v>1.2507578750764589E-2</v>
      </c>
      <c r="AT50" s="86">
        <f>RSeed!AT50*(1-(MOVE!$X$6/RSeed!AT50))</f>
        <v>1.2507578750764589E-2</v>
      </c>
      <c r="AU50" s="86">
        <f>RSeed!AU50*(1-(MOVE!$X$6/RSeed!AU50))</f>
        <v>1.2507578750764589E-2</v>
      </c>
      <c r="AV50" s="86">
        <f>RSeed!AV50*(1-(MOVE!$X$6/RSeed!AV50))</f>
        <v>1.2507578750764589E-2</v>
      </c>
      <c r="AW50" s="86">
        <f>RSeed!AW50*(1-(MOVE!$X$6/RSeed!AW50))</f>
        <v>1.2507578750764589E-2</v>
      </c>
      <c r="AX50" s="86">
        <f>RSeed!AX50*(1-(MOVE!$X$6/RSeed!AX50))</f>
        <v>1.2507578750764589E-2</v>
      </c>
      <c r="AY50" s="87">
        <f>RSeed!AY50*(1-(MOVE!$X$6/RSeed!AY50))</f>
        <v>1.2507578750764589E-2</v>
      </c>
      <c r="AZ50" s="72">
        <f>RSeed!AZ50*(1-(MOVE!$X$6/RSeed!AZ50))</f>
        <v>1.2507578750764589E-2</v>
      </c>
      <c r="BA50" s="35">
        <v>32</v>
      </c>
    </row>
    <row r="51" spans="2:53" x14ac:dyDescent="0.2">
      <c r="B51" s="34">
        <v>33</v>
      </c>
      <c r="C51" s="72">
        <f>RSeed!C51*(1-(MOVE!$Q$6/RSeed!C51))</f>
        <v>1.4999999999999999E-2</v>
      </c>
      <c r="D51" s="95">
        <f>RSeed!D51*(1-(MOVE!$Q$6/RSeed!D51))</f>
        <v>1E-3</v>
      </c>
      <c r="E51" s="96">
        <f>RSeed!E51*(1-(MOVE!$Q$6/RSeed!E51))</f>
        <v>1E-3</v>
      </c>
      <c r="F51" s="96">
        <f>RSeed!F51*(1-(MOVE!$Q$6/RSeed!F51))</f>
        <v>1E-3</v>
      </c>
      <c r="G51" s="96">
        <f>RSeed!G51*(1-(MOVE!$Q$6/RSeed!G51))</f>
        <v>1E-3</v>
      </c>
      <c r="H51" s="96">
        <f>RSeed!H51*(1-(MOVE!$Q$6/RSeed!H51))</f>
        <v>1E-3</v>
      </c>
      <c r="I51" s="96">
        <f>RSeed!I51*(1-(MOVE!$Q$6/RSeed!I51))</f>
        <v>1E-3</v>
      </c>
      <c r="J51" s="96">
        <f>RSeed!J51*(1-(MOVE!$Q$6/RSeed!J51))</f>
        <v>1E-3</v>
      </c>
      <c r="K51" s="96">
        <f>RSeed!K51*(1-(MOVE!$Q$6/RSeed!K51))</f>
        <v>1E-3</v>
      </c>
      <c r="L51" s="96">
        <f>RSeed!L51*(1-(MOVE!$Q$6/RSeed!L51))</f>
        <v>1E-3</v>
      </c>
      <c r="M51" s="96">
        <f>RSeed!M51*(1-(MOVE!$Q$6/RSeed!M51))</f>
        <v>1E-3</v>
      </c>
      <c r="N51" s="96">
        <f>RSeed!N51*(1-(MOVE!$Q$6/RSeed!N51))</f>
        <v>1E-3</v>
      </c>
      <c r="O51" s="96">
        <f>RSeed!O51*(1-(MOVE!$Q$6/RSeed!O51))</f>
        <v>1E-3</v>
      </c>
      <c r="P51" s="96">
        <f>RSeed!P51*(1-(MOVE!$Q$6/RSeed!P51))</f>
        <v>1E-3</v>
      </c>
      <c r="Q51" s="96">
        <f>RSeed!Q51*(1-(MOVE!$Q$6/RSeed!Q51))</f>
        <v>1E-3</v>
      </c>
      <c r="R51" s="96">
        <f>RSeed!R51*(1-(MOVE!$Q$6/RSeed!R51))</f>
        <v>1E-3</v>
      </c>
      <c r="S51" s="96">
        <f>RSeed!S51*(1-(MOVE!$Q$6/RSeed!S51))</f>
        <v>1E-3</v>
      </c>
      <c r="T51" s="96">
        <f>RSeed!T51*(1-(MOVE!$Q$6/RSeed!T51))</f>
        <v>1E-3</v>
      </c>
      <c r="U51" s="96">
        <f>RSeed!U51*(1-(MOVE!$Q$6/RSeed!U51))</f>
        <v>1E-3</v>
      </c>
      <c r="V51" s="96">
        <f>RSeed!V51*(1-(MOVE!$Q$6/RSeed!V51))</f>
        <v>1E-3</v>
      </c>
      <c r="W51" s="96">
        <f>RSeed!W51*(1-(MOVE!$Q$6/RSeed!W51))</f>
        <v>1E-3</v>
      </c>
      <c r="X51" s="96">
        <f>RSeed!X51*(1-(MOVE!$Q$6/RSeed!X51))</f>
        <v>1E-3</v>
      </c>
      <c r="Y51" s="96">
        <f>RSeed!Y51*(1-(MOVE!$Q$6/RSeed!Y51))</f>
        <v>1E-3</v>
      </c>
      <c r="Z51" s="96">
        <f>RSeed!Z51*(1-(MOVE!$Q$6/RSeed!Z51))</f>
        <v>1E-3</v>
      </c>
      <c r="AA51" s="96">
        <f>RSeed!AA51*(1-(MOVE!$Q$6/RSeed!AA51))</f>
        <v>1E-3</v>
      </c>
      <c r="AB51" s="96">
        <f>RSeed!AB51*(1-(MOVE!$Q$6/RSeed!AB51))</f>
        <v>1E-3</v>
      </c>
      <c r="AC51" s="96">
        <f>RSeed!AC51*(1-(MOVE!$Q$6/RSeed!AC51))</f>
        <v>1E-3</v>
      </c>
      <c r="AD51" s="96">
        <f>RSeed!AD51*(1-(MOVE!$Q$6/RSeed!AD51))</f>
        <v>1E-3</v>
      </c>
      <c r="AE51" s="96">
        <f>RSeed!AE51*(1-(MOVE!$Q$6/RSeed!AE51))</f>
        <v>1E-3</v>
      </c>
      <c r="AF51" s="96">
        <f>RSeed!AF51*(1-(MOVE!$Q$6/RSeed!AF51))</f>
        <v>1E-3</v>
      </c>
      <c r="AG51" s="96">
        <f>RSeed!AG51*(1-(MOVE!$Q$6/RSeed!AG51))</f>
        <v>1E-3</v>
      </c>
      <c r="AH51" s="96">
        <f>RSeed!AH51*(1-(MOVE!$Q$6/RSeed!AH51))</f>
        <v>1E-3</v>
      </c>
      <c r="AI51" s="96">
        <f>RSeed!AI51*(1-(MOVE!$Q$6/RSeed!AI51))</f>
        <v>1E-3</v>
      </c>
      <c r="AJ51" s="96">
        <f>RSeed!AJ51*(1-(MOVE!$Q$6/RSeed!AJ51))</f>
        <v>1E-3</v>
      </c>
      <c r="AK51" s="96">
        <f>RSeed!AK51*(1-(MOVE!$Q$6/RSeed!AK51))</f>
        <v>1E-3</v>
      </c>
      <c r="AL51" s="96">
        <f>RSeed!AL51*(1-(MOVE!$Q$6/RSeed!AL51))</f>
        <v>1E-3</v>
      </c>
      <c r="AM51" s="96">
        <f>RSeed!AM51*(1-(MOVE!$Q$6/RSeed!AM51))</f>
        <v>1E-3</v>
      </c>
      <c r="AN51" s="96">
        <f>RSeed!AN51*(1-(MOVE!$Q$6/RSeed!AN51))</f>
        <v>1E-3</v>
      </c>
      <c r="AO51" s="96">
        <f>RSeed!AO51*(1-(MOVE!$Q$6/RSeed!AO51))</f>
        <v>1E-3</v>
      </c>
      <c r="AP51" s="96">
        <f>RSeed!AP51*(1-(MOVE!$Q$6/RSeed!AP51))</f>
        <v>1E-3</v>
      </c>
      <c r="AQ51" s="97">
        <f>RSeed!AQ51*(1-(MOVE!$Q$6/RSeed!AQ51))</f>
        <v>1E-3</v>
      </c>
      <c r="AR51" s="92">
        <f>RSeed!AR51*(1-(MOVE!$X$6/RSeed!AR51))</f>
        <v>1.2507578750764589E-2</v>
      </c>
      <c r="AS51" s="86">
        <f>RSeed!AS51*(1-(MOVE!$X$6/RSeed!AS51))</f>
        <v>1.2507578750764589E-2</v>
      </c>
      <c r="AT51" s="86">
        <f>RSeed!AT51*(1-(MOVE!$X$6/RSeed!AT51))</f>
        <v>1.2507578750764589E-2</v>
      </c>
      <c r="AU51" s="86">
        <f>RSeed!AU51*(1-(MOVE!$X$6/RSeed!AU51))</f>
        <v>1.2507578750764589E-2</v>
      </c>
      <c r="AV51" s="86">
        <f>RSeed!AV51*(1-(MOVE!$X$6/RSeed!AV51))</f>
        <v>1.2507578750764589E-2</v>
      </c>
      <c r="AW51" s="86">
        <f>RSeed!AW51*(1-(MOVE!$X$6/RSeed!AW51))</f>
        <v>1.2507578750764589E-2</v>
      </c>
      <c r="AX51" s="86">
        <f>RSeed!AX51*(1-(MOVE!$X$6/RSeed!AX51))</f>
        <v>1.2507578750764589E-2</v>
      </c>
      <c r="AY51" s="87">
        <f>RSeed!AY51*(1-(MOVE!$X$6/RSeed!AY51))</f>
        <v>1.2507578750764589E-2</v>
      </c>
      <c r="AZ51" s="72">
        <f>RSeed!AZ51*(1-(MOVE!$X$6/RSeed!AZ51))</f>
        <v>1.2507578750764589E-2</v>
      </c>
      <c r="BA51" s="35">
        <v>33</v>
      </c>
    </row>
    <row r="52" spans="2:53" x14ac:dyDescent="0.2">
      <c r="B52" s="34">
        <v>34</v>
      </c>
      <c r="C52" s="72">
        <f>RSeed!C52*(1-(MOVE!$Q$6/RSeed!C52))</f>
        <v>1.4999999999999999E-2</v>
      </c>
      <c r="D52" s="77">
        <f>RSeed!D52*(1-(MOVE!$Q$6/RSeed!D52))</f>
        <v>1E-3</v>
      </c>
      <c r="E52" s="78">
        <f>RSeed!E52*(1-(MOVE!$Q$6/RSeed!E52))</f>
        <v>1E-3</v>
      </c>
      <c r="F52" s="78">
        <f>RSeed!F52*(1-(MOVE!$Q$6/RSeed!F52))</f>
        <v>1E-3</v>
      </c>
      <c r="G52" s="78">
        <f>RSeed!G52*(1-(MOVE!$Q$6/RSeed!G52))</f>
        <v>1E-3</v>
      </c>
      <c r="H52" s="78">
        <f>RSeed!H52*(1-(MOVE!$Q$6/RSeed!H52))</f>
        <v>1E-3</v>
      </c>
      <c r="I52" s="78">
        <f>RSeed!I52*(1-(MOVE!$Q$6/RSeed!I52))</f>
        <v>1E-3</v>
      </c>
      <c r="J52" s="78">
        <f>RSeed!J52*(1-(MOVE!$Q$6/RSeed!J52))</f>
        <v>1E-3</v>
      </c>
      <c r="K52" s="78">
        <f>RSeed!K52*(1-(MOVE!$Q$6/RSeed!K52))</f>
        <v>1E-3</v>
      </c>
      <c r="L52" s="78">
        <f>RSeed!L52*(1-(MOVE!$Q$6/RSeed!L52))</f>
        <v>1E-3</v>
      </c>
      <c r="M52" s="78">
        <f>RSeed!M52*(1-(MOVE!$Q$6/RSeed!M52))</f>
        <v>1E-3</v>
      </c>
      <c r="N52" s="78">
        <f>RSeed!N52*(1-(MOVE!$Q$6/RSeed!N52))</f>
        <v>1E-3</v>
      </c>
      <c r="O52" s="78">
        <f>RSeed!O52*(1-(MOVE!$Q$6/RSeed!O52))</f>
        <v>1E-3</v>
      </c>
      <c r="P52" s="78">
        <f>RSeed!P52*(1-(MOVE!$Q$6/RSeed!P52))</f>
        <v>1E-3</v>
      </c>
      <c r="Q52" s="78">
        <f>RSeed!Q52*(1-(MOVE!$Q$6/RSeed!Q52))</f>
        <v>1E-3</v>
      </c>
      <c r="R52" s="78">
        <f>RSeed!R52*(1-(MOVE!$Q$6/RSeed!R52))</f>
        <v>1E-3</v>
      </c>
      <c r="S52" s="78">
        <f>RSeed!S52*(1-(MOVE!$Q$6/RSeed!S52))</f>
        <v>1E-3</v>
      </c>
      <c r="T52" s="78">
        <f>RSeed!T52*(1-(MOVE!$Q$6/RSeed!T52))</f>
        <v>1E-3</v>
      </c>
      <c r="U52" s="78">
        <f>RSeed!U52*(1-(MOVE!$Q$6/RSeed!U52))</f>
        <v>1E-3</v>
      </c>
      <c r="V52" s="78">
        <f>RSeed!V52*(1-(MOVE!$Q$6/RSeed!V52))</f>
        <v>1E-3</v>
      </c>
      <c r="W52" s="78">
        <f>RSeed!W52*(1-(MOVE!$Q$6/RSeed!W52))</f>
        <v>1E-3</v>
      </c>
      <c r="X52" s="78">
        <f>RSeed!X52*(1-(MOVE!$Q$6/RSeed!X52))</f>
        <v>1E-3</v>
      </c>
      <c r="Y52" s="78">
        <f>RSeed!Y52*(1-(MOVE!$Q$6/RSeed!Y52))</f>
        <v>1E-3</v>
      </c>
      <c r="Z52" s="78">
        <f>RSeed!Z52*(1-(MOVE!$Q$6/RSeed!Z52))</f>
        <v>1E-3</v>
      </c>
      <c r="AA52" s="78">
        <f>RSeed!AA52*(1-(MOVE!$Q$6/RSeed!AA52))</f>
        <v>1E-3</v>
      </c>
      <c r="AB52" s="78">
        <f>RSeed!AB52*(1-(MOVE!$Q$6/RSeed!AB52))</f>
        <v>1E-3</v>
      </c>
      <c r="AC52" s="78">
        <f>RSeed!AC52*(1-(MOVE!$Q$6/RSeed!AC52))</f>
        <v>1E-3</v>
      </c>
      <c r="AD52" s="78">
        <f>RSeed!AD52*(1-(MOVE!$Q$6/RSeed!AD52))</f>
        <v>1E-3</v>
      </c>
      <c r="AE52" s="78">
        <f>RSeed!AE52*(1-(MOVE!$Q$6/RSeed!AE52))</f>
        <v>1E-3</v>
      </c>
      <c r="AF52" s="78">
        <f>RSeed!AF52*(1-(MOVE!$Q$6/RSeed!AF52))</f>
        <v>1E-3</v>
      </c>
      <c r="AG52" s="78">
        <f>RSeed!AG52*(1-(MOVE!$Q$6/RSeed!AG52))</f>
        <v>1E-3</v>
      </c>
      <c r="AH52" s="78">
        <f>RSeed!AH52*(1-(MOVE!$Q$6/RSeed!AH52))</f>
        <v>1E-3</v>
      </c>
      <c r="AI52" s="78">
        <f>RSeed!AI52*(1-(MOVE!$Q$6/RSeed!AI52))</f>
        <v>1E-3</v>
      </c>
      <c r="AJ52" s="78">
        <f>RSeed!AJ52*(1-(MOVE!$Q$6/RSeed!AJ52))</f>
        <v>1E-3</v>
      </c>
      <c r="AK52" s="78">
        <f>RSeed!AK52*(1-(MOVE!$Q$6/RSeed!AK52))</f>
        <v>1E-3</v>
      </c>
      <c r="AL52" s="78">
        <f>RSeed!AL52*(1-(MOVE!$Q$6/RSeed!AL52))</f>
        <v>1E-3</v>
      </c>
      <c r="AM52" s="78">
        <f>RSeed!AM52*(1-(MOVE!$Q$6/RSeed!AM52))</f>
        <v>1E-3</v>
      </c>
      <c r="AN52" s="78">
        <f>RSeed!AN52*(1-(MOVE!$Q$6/RSeed!AN52))</f>
        <v>1E-3</v>
      </c>
      <c r="AO52" s="78">
        <f>RSeed!AO52*(1-(MOVE!$Q$6/RSeed!AO52))</f>
        <v>1E-3</v>
      </c>
      <c r="AP52" s="78">
        <f>RSeed!AP52*(1-(MOVE!$Q$6/RSeed!AP52))</f>
        <v>1E-3</v>
      </c>
      <c r="AQ52" s="79">
        <f>RSeed!AQ52*(1-(MOVE!$Q$6/RSeed!AQ52))</f>
        <v>1E-3</v>
      </c>
      <c r="AR52" s="92">
        <f>RSeed!AR52*(1-(MOVE!$X$6/RSeed!AR52))</f>
        <v>1.2507578750764589E-2</v>
      </c>
      <c r="AS52" s="86">
        <f>RSeed!AS52*(1-(MOVE!$X$6/RSeed!AS52))</f>
        <v>1.2507578750764589E-2</v>
      </c>
      <c r="AT52" s="86">
        <f>RSeed!AT52*(1-(MOVE!$X$6/RSeed!AT52))</f>
        <v>1.2507578750764589E-2</v>
      </c>
      <c r="AU52" s="86">
        <f>RSeed!AU52*(1-(MOVE!$X$6/RSeed!AU52))</f>
        <v>1.2507578750764589E-2</v>
      </c>
      <c r="AV52" s="86">
        <f>RSeed!AV52*(1-(MOVE!$X$6/RSeed!AV52))</f>
        <v>1.2507578750764589E-2</v>
      </c>
      <c r="AW52" s="86">
        <f>RSeed!AW52*(1-(MOVE!$X$6/RSeed!AW52))</f>
        <v>1.2507578750764589E-2</v>
      </c>
      <c r="AX52" s="86">
        <f>RSeed!AX52*(1-(MOVE!$X$6/RSeed!AX52))</f>
        <v>1.2507578750764589E-2</v>
      </c>
      <c r="AY52" s="87">
        <f>RSeed!AY52*(1-(MOVE!$X$6/RSeed!AY52))</f>
        <v>1.2507578750764589E-2</v>
      </c>
      <c r="AZ52" s="72">
        <f>RSeed!AZ52*(1-(MOVE!$X$6/RSeed!AZ52))</f>
        <v>1.2507578750764589E-2</v>
      </c>
      <c r="BA52" s="35">
        <v>34</v>
      </c>
    </row>
    <row r="53" spans="2:53" x14ac:dyDescent="0.2">
      <c r="B53" s="34">
        <v>35</v>
      </c>
      <c r="C53" s="72">
        <f>RSeed!C53*(1-(MOVE!$Q$6/RSeed!C53))</f>
        <v>1.4999999999999999E-2</v>
      </c>
      <c r="D53" s="77">
        <f>RSeed!D53*(1-(MOVE!$Q$6/RSeed!D53))</f>
        <v>1E-3</v>
      </c>
      <c r="E53" s="78">
        <f>RSeed!E53*(1-(MOVE!$Q$6/RSeed!E53))</f>
        <v>1E-3</v>
      </c>
      <c r="F53" s="78">
        <f>RSeed!F53*(1-(MOVE!$Q$6/RSeed!F53))</f>
        <v>1E-3</v>
      </c>
      <c r="G53" s="78">
        <f>RSeed!G53*(1-(MOVE!$Q$6/RSeed!G53))</f>
        <v>1E-3</v>
      </c>
      <c r="H53" s="78">
        <f>RSeed!H53*(1-(MOVE!$Q$6/RSeed!H53))</f>
        <v>1E-3</v>
      </c>
      <c r="I53" s="78">
        <f>RSeed!I53*(1-(MOVE!$Q$6/RSeed!I53))</f>
        <v>1E-3</v>
      </c>
      <c r="J53" s="78">
        <f>RSeed!J53*(1-(MOVE!$Q$6/RSeed!J53))</f>
        <v>1E-3</v>
      </c>
      <c r="K53" s="78">
        <f>RSeed!K53*(1-(MOVE!$Q$6/RSeed!K53))</f>
        <v>1E-3</v>
      </c>
      <c r="L53" s="78">
        <f>RSeed!L53*(1-(MOVE!$Q$6/RSeed!L53))</f>
        <v>1E-3</v>
      </c>
      <c r="M53" s="78">
        <f>RSeed!M53*(1-(MOVE!$Q$6/RSeed!M53))</f>
        <v>1E-3</v>
      </c>
      <c r="N53" s="78">
        <f>RSeed!N53*(1-(MOVE!$Q$6/RSeed!N53))</f>
        <v>1E-3</v>
      </c>
      <c r="O53" s="78">
        <f>RSeed!O53*(1-(MOVE!$Q$6/RSeed!O53))</f>
        <v>1E-3</v>
      </c>
      <c r="P53" s="78">
        <f>RSeed!P53*(1-(MOVE!$Q$6/RSeed!P53))</f>
        <v>1E-3</v>
      </c>
      <c r="Q53" s="78">
        <f>RSeed!Q53*(1-(MOVE!$Q$6/RSeed!Q53))</f>
        <v>1E-3</v>
      </c>
      <c r="R53" s="78">
        <f>RSeed!R53*(1-(MOVE!$Q$6/RSeed!R53))</f>
        <v>1E-3</v>
      </c>
      <c r="S53" s="78">
        <f>RSeed!S53*(1-(MOVE!$Q$6/RSeed!S53))</f>
        <v>1E-3</v>
      </c>
      <c r="T53" s="78">
        <f>RSeed!T53*(1-(MOVE!$Q$6/RSeed!T53))</f>
        <v>1E-3</v>
      </c>
      <c r="U53" s="78">
        <f>RSeed!U53*(1-(MOVE!$Q$6/RSeed!U53))</f>
        <v>1E-3</v>
      </c>
      <c r="V53" s="78">
        <f>RSeed!V53*(1-(MOVE!$Q$6/RSeed!V53))</f>
        <v>1E-3</v>
      </c>
      <c r="W53" s="78">
        <f>RSeed!W53*(1-(MOVE!$Q$6/RSeed!W53))</f>
        <v>1E-3</v>
      </c>
      <c r="X53" s="78">
        <f>RSeed!X53*(1-(MOVE!$Q$6/RSeed!X53))</f>
        <v>1E-3</v>
      </c>
      <c r="Y53" s="78">
        <f>RSeed!Y53*(1-(MOVE!$Q$6/RSeed!Y53))</f>
        <v>1E-3</v>
      </c>
      <c r="Z53" s="78">
        <f>RSeed!Z53*(1-(MOVE!$Q$6/RSeed!Z53))</f>
        <v>1E-3</v>
      </c>
      <c r="AA53" s="78">
        <f>RSeed!AA53*(1-(MOVE!$Q$6/RSeed!AA53))</f>
        <v>1E-3</v>
      </c>
      <c r="AB53" s="78">
        <f>RSeed!AB53*(1-(MOVE!$Q$6/RSeed!AB53))</f>
        <v>1E-3</v>
      </c>
      <c r="AC53" s="78">
        <f>RSeed!AC53*(1-(MOVE!$Q$6/RSeed!AC53))</f>
        <v>1E-3</v>
      </c>
      <c r="AD53" s="78">
        <f>RSeed!AD53*(1-(MOVE!$Q$6/RSeed!AD53))</f>
        <v>1E-3</v>
      </c>
      <c r="AE53" s="78">
        <f>RSeed!AE53*(1-(MOVE!$Q$6/RSeed!AE53))</f>
        <v>1E-3</v>
      </c>
      <c r="AF53" s="78">
        <f>RSeed!AF53*(1-(MOVE!$Q$6/RSeed!AF53))</f>
        <v>1E-3</v>
      </c>
      <c r="AG53" s="78">
        <f>RSeed!AG53*(1-(MOVE!$Q$6/RSeed!AG53))</f>
        <v>1E-3</v>
      </c>
      <c r="AH53" s="78">
        <f>RSeed!AH53*(1-(MOVE!$Q$6/RSeed!AH53))</f>
        <v>1E-3</v>
      </c>
      <c r="AI53" s="78">
        <f>RSeed!AI53*(1-(MOVE!$Q$6/RSeed!AI53))</f>
        <v>1E-3</v>
      </c>
      <c r="AJ53" s="78">
        <f>RSeed!AJ53*(1-(MOVE!$Q$6/RSeed!AJ53))</f>
        <v>1E-3</v>
      </c>
      <c r="AK53" s="78">
        <f>RSeed!AK53*(1-(MOVE!$Q$6/RSeed!AK53))</f>
        <v>1E-3</v>
      </c>
      <c r="AL53" s="78">
        <f>RSeed!AL53*(1-(MOVE!$Q$6/RSeed!AL53))</f>
        <v>1E-3</v>
      </c>
      <c r="AM53" s="78">
        <f>RSeed!AM53*(1-(MOVE!$Q$6/RSeed!AM53))</f>
        <v>1E-3</v>
      </c>
      <c r="AN53" s="78">
        <f>RSeed!AN53*(1-(MOVE!$Q$6/RSeed!AN53))</f>
        <v>1E-3</v>
      </c>
      <c r="AO53" s="78">
        <f>RSeed!AO53*(1-(MOVE!$Q$6/RSeed!AO53))</f>
        <v>1E-3</v>
      </c>
      <c r="AP53" s="78">
        <f>RSeed!AP53*(1-(MOVE!$Q$6/RSeed!AP53))</f>
        <v>1E-3</v>
      </c>
      <c r="AQ53" s="79">
        <f>RSeed!AQ53*(1-(MOVE!$Q$6/RSeed!AQ53))</f>
        <v>1E-3</v>
      </c>
      <c r="AR53" s="92">
        <f>RSeed!AR53*(1-(MOVE!$X$6/RSeed!AR53))</f>
        <v>1.2507578750764589E-2</v>
      </c>
      <c r="AS53" s="86">
        <f>RSeed!AS53*(1-(MOVE!$X$6/RSeed!AS53))</f>
        <v>1.2507578750764589E-2</v>
      </c>
      <c r="AT53" s="86">
        <f>RSeed!AT53*(1-(MOVE!$X$6/RSeed!AT53))</f>
        <v>1.2507578750764589E-2</v>
      </c>
      <c r="AU53" s="86">
        <f>RSeed!AU53*(1-(MOVE!$X$6/RSeed!AU53))</f>
        <v>1.2507578750764589E-2</v>
      </c>
      <c r="AV53" s="86">
        <f>RSeed!AV53*(1-(MOVE!$X$6/RSeed!AV53))</f>
        <v>1.2507578750764589E-2</v>
      </c>
      <c r="AW53" s="86">
        <f>RSeed!AW53*(1-(MOVE!$X$6/RSeed!AW53))</f>
        <v>1.2507578750764589E-2</v>
      </c>
      <c r="AX53" s="86">
        <f>RSeed!AX53*(1-(MOVE!$X$6/RSeed!AX53))</f>
        <v>1.2507578750764589E-2</v>
      </c>
      <c r="AY53" s="87">
        <f>RSeed!AY53*(1-(MOVE!$X$6/RSeed!AY53))</f>
        <v>1.2507578750764589E-2</v>
      </c>
      <c r="AZ53" s="72">
        <f>RSeed!AZ53*(1-(MOVE!$X$6/RSeed!AZ53))</f>
        <v>1.2507578750764589E-2</v>
      </c>
      <c r="BA53" s="35">
        <v>35</v>
      </c>
    </row>
    <row r="54" spans="2:53" x14ac:dyDescent="0.2">
      <c r="B54" s="34">
        <v>36</v>
      </c>
      <c r="C54" s="72">
        <f>RSeed!C54*(1-(MOVE!$Q$6/RSeed!C54))</f>
        <v>1.4999999999999999E-2</v>
      </c>
      <c r="D54" s="77">
        <f>RSeed!D54*(1-(MOVE!$Q$6/RSeed!D54))</f>
        <v>1E-3</v>
      </c>
      <c r="E54" s="78">
        <f>RSeed!E54*(1-(MOVE!$Q$6/RSeed!E54))</f>
        <v>1E-3</v>
      </c>
      <c r="F54" s="78">
        <f>RSeed!F54*(1-(MOVE!$Q$6/RSeed!F54))</f>
        <v>1E-3</v>
      </c>
      <c r="G54" s="78">
        <f>RSeed!G54*(1-(MOVE!$Q$6/RSeed!G54))</f>
        <v>1E-3</v>
      </c>
      <c r="H54" s="78">
        <f>RSeed!H54*(1-(MOVE!$Q$6/RSeed!H54))</f>
        <v>1E-3</v>
      </c>
      <c r="I54" s="78">
        <f>RSeed!I54*(1-(MOVE!$Q$6/RSeed!I54))</f>
        <v>1E-3</v>
      </c>
      <c r="J54" s="78">
        <f>RSeed!J54*(1-(MOVE!$Q$6/RSeed!J54))</f>
        <v>1E-3</v>
      </c>
      <c r="K54" s="78">
        <f>RSeed!K54*(1-(MOVE!$Q$6/RSeed!K54))</f>
        <v>1E-3</v>
      </c>
      <c r="L54" s="78">
        <f>RSeed!L54*(1-(MOVE!$Q$6/RSeed!L54))</f>
        <v>1E-3</v>
      </c>
      <c r="M54" s="78">
        <f>RSeed!M54*(1-(MOVE!$Q$6/RSeed!M54))</f>
        <v>1E-3</v>
      </c>
      <c r="N54" s="78">
        <f>RSeed!N54*(1-(MOVE!$Q$6/RSeed!N54))</f>
        <v>1E-3</v>
      </c>
      <c r="O54" s="78">
        <f>RSeed!O54*(1-(MOVE!$Q$6/RSeed!O54))</f>
        <v>1E-3</v>
      </c>
      <c r="P54" s="78">
        <f>RSeed!P54*(1-(MOVE!$Q$6/RSeed!P54))</f>
        <v>1E-3</v>
      </c>
      <c r="Q54" s="78">
        <f>RSeed!Q54*(1-(MOVE!$Q$6/RSeed!Q54))</f>
        <v>1E-3</v>
      </c>
      <c r="R54" s="78">
        <f>RSeed!R54*(1-(MOVE!$Q$6/RSeed!R54))</f>
        <v>1E-3</v>
      </c>
      <c r="S54" s="78">
        <f>RSeed!S54*(1-(MOVE!$Q$6/RSeed!S54))</f>
        <v>1E-3</v>
      </c>
      <c r="T54" s="78">
        <f>RSeed!T54*(1-(MOVE!$Q$6/RSeed!T54))</f>
        <v>1E-3</v>
      </c>
      <c r="U54" s="78">
        <f>RSeed!U54*(1-(MOVE!$Q$6/RSeed!U54))</f>
        <v>1E-3</v>
      </c>
      <c r="V54" s="78">
        <f>RSeed!V54*(1-(MOVE!$Q$6/RSeed!V54))</f>
        <v>1E-3</v>
      </c>
      <c r="W54" s="78">
        <f>RSeed!W54*(1-(MOVE!$Q$6/RSeed!W54))</f>
        <v>1E-3</v>
      </c>
      <c r="X54" s="78">
        <f>RSeed!X54*(1-(MOVE!$Q$6/RSeed!X54))</f>
        <v>1E-3</v>
      </c>
      <c r="Y54" s="78">
        <f>RSeed!Y54*(1-(MOVE!$Q$6/RSeed!Y54))</f>
        <v>1E-3</v>
      </c>
      <c r="Z54" s="78">
        <f>RSeed!Z54*(1-(MOVE!$Q$6/RSeed!Z54))</f>
        <v>1E-3</v>
      </c>
      <c r="AA54" s="78">
        <f>RSeed!AA54*(1-(MOVE!$Q$6/RSeed!AA54))</f>
        <v>1E-3</v>
      </c>
      <c r="AB54" s="78">
        <f>RSeed!AB54*(1-(MOVE!$Q$6/RSeed!AB54))</f>
        <v>1E-3</v>
      </c>
      <c r="AC54" s="78">
        <f>RSeed!AC54*(1-(MOVE!$Q$6/RSeed!AC54))</f>
        <v>1E-3</v>
      </c>
      <c r="AD54" s="78">
        <f>RSeed!AD54*(1-(MOVE!$Q$6/RSeed!AD54))</f>
        <v>1E-3</v>
      </c>
      <c r="AE54" s="78">
        <f>RSeed!AE54*(1-(MOVE!$Q$6/RSeed!AE54))</f>
        <v>1E-3</v>
      </c>
      <c r="AF54" s="78">
        <f>RSeed!AF54*(1-(MOVE!$Q$6/RSeed!AF54))</f>
        <v>1E-3</v>
      </c>
      <c r="AG54" s="78">
        <f>RSeed!AG54*(1-(MOVE!$Q$6/RSeed!AG54))</f>
        <v>1E-3</v>
      </c>
      <c r="AH54" s="78">
        <f>RSeed!AH54*(1-(MOVE!$Q$6/RSeed!AH54))</f>
        <v>1E-3</v>
      </c>
      <c r="AI54" s="78">
        <f>RSeed!AI54*(1-(MOVE!$Q$6/RSeed!AI54))</f>
        <v>1E-3</v>
      </c>
      <c r="AJ54" s="78">
        <f>RSeed!AJ54*(1-(MOVE!$Q$6/RSeed!AJ54))</f>
        <v>1E-3</v>
      </c>
      <c r="AK54" s="78">
        <f>RSeed!AK54*(1-(MOVE!$Q$6/RSeed!AK54))</f>
        <v>1E-3</v>
      </c>
      <c r="AL54" s="78">
        <f>RSeed!AL54*(1-(MOVE!$Q$6/RSeed!AL54))</f>
        <v>1E-3</v>
      </c>
      <c r="AM54" s="78">
        <f>RSeed!AM54*(1-(MOVE!$Q$6/RSeed!AM54))</f>
        <v>1E-3</v>
      </c>
      <c r="AN54" s="78">
        <f>RSeed!AN54*(1-(MOVE!$Q$6/RSeed!AN54))</f>
        <v>1E-3</v>
      </c>
      <c r="AO54" s="78">
        <f>RSeed!AO54*(1-(MOVE!$Q$6/RSeed!AO54))</f>
        <v>1E-3</v>
      </c>
      <c r="AP54" s="78">
        <f>RSeed!AP54*(1-(MOVE!$Q$6/RSeed!AP54))</f>
        <v>1E-3</v>
      </c>
      <c r="AQ54" s="79">
        <f>RSeed!AQ54*(1-(MOVE!$Q$6/RSeed!AQ54))</f>
        <v>1E-3</v>
      </c>
      <c r="AR54" s="92">
        <f>RSeed!AR54*(1-(MOVE!$X$6/RSeed!AR54))</f>
        <v>1.2507578750764589E-2</v>
      </c>
      <c r="AS54" s="86">
        <f>RSeed!AS54*(1-(MOVE!$X$6/RSeed!AS54))</f>
        <v>1.2507578750764589E-2</v>
      </c>
      <c r="AT54" s="86">
        <f>RSeed!AT54*(1-(MOVE!$X$6/RSeed!AT54))</f>
        <v>1.2507578750764589E-2</v>
      </c>
      <c r="AU54" s="86">
        <f>RSeed!AU54*(1-(MOVE!$X$6/RSeed!AU54))</f>
        <v>1.2507578750764589E-2</v>
      </c>
      <c r="AV54" s="86">
        <f>RSeed!AV54*(1-(MOVE!$X$6/RSeed!AV54))</f>
        <v>1.2507578750764589E-2</v>
      </c>
      <c r="AW54" s="86">
        <f>RSeed!AW54*(1-(MOVE!$X$6/RSeed!AW54))</f>
        <v>1.2507578750764589E-2</v>
      </c>
      <c r="AX54" s="86">
        <f>RSeed!AX54*(1-(MOVE!$X$6/RSeed!AX54))</f>
        <v>1.2507578750764589E-2</v>
      </c>
      <c r="AY54" s="87">
        <f>RSeed!AY54*(1-(MOVE!$X$6/RSeed!AY54))</f>
        <v>1.2507578750764589E-2</v>
      </c>
      <c r="AZ54" s="72">
        <f>RSeed!AZ54*(1-(MOVE!$X$6/RSeed!AZ54))</f>
        <v>1.2507578750764589E-2</v>
      </c>
      <c r="BA54" s="35">
        <v>36</v>
      </c>
    </row>
    <row r="55" spans="2:53" x14ac:dyDescent="0.2">
      <c r="B55" s="34">
        <v>37</v>
      </c>
      <c r="C55" s="72">
        <f>RSeed!C55*(1-(MOVE!$Q$6/RSeed!C55))</f>
        <v>1.4999999999999999E-2</v>
      </c>
      <c r="D55" s="77">
        <f>RSeed!D55*(1-(MOVE!$Q$6/RSeed!D55))</f>
        <v>1E-3</v>
      </c>
      <c r="E55" s="78">
        <f>RSeed!E55*(1-(MOVE!$Q$6/RSeed!E55))</f>
        <v>1E-3</v>
      </c>
      <c r="F55" s="78">
        <f>RSeed!F55*(1-(MOVE!$Q$6/RSeed!F55))</f>
        <v>1E-3</v>
      </c>
      <c r="G55" s="78">
        <f>RSeed!G55*(1-(MOVE!$Q$6/RSeed!G55))</f>
        <v>1E-3</v>
      </c>
      <c r="H55" s="78">
        <f>RSeed!H55*(1-(MOVE!$Q$6/RSeed!H55))</f>
        <v>1E-3</v>
      </c>
      <c r="I55" s="78">
        <f>RSeed!I55*(1-(MOVE!$Q$6/RSeed!I55))</f>
        <v>1E-3</v>
      </c>
      <c r="J55" s="78">
        <f>RSeed!J55*(1-(MOVE!$Q$6/RSeed!J55))</f>
        <v>1E-3</v>
      </c>
      <c r="K55" s="78">
        <f>RSeed!K55*(1-(MOVE!$Q$6/RSeed!K55))</f>
        <v>1E-3</v>
      </c>
      <c r="L55" s="78">
        <f>RSeed!L55*(1-(MOVE!$Q$6/RSeed!L55))</f>
        <v>1E-3</v>
      </c>
      <c r="M55" s="78">
        <f>RSeed!M55*(1-(MOVE!$Q$6/RSeed!M55))</f>
        <v>1E-3</v>
      </c>
      <c r="N55" s="78">
        <f>RSeed!N55*(1-(MOVE!$Q$6/RSeed!N55))</f>
        <v>1E-3</v>
      </c>
      <c r="O55" s="78">
        <f>RSeed!O55*(1-(MOVE!$Q$6/RSeed!O55))</f>
        <v>1E-3</v>
      </c>
      <c r="P55" s="78">
        <f>RSeed!P55*(1-(MOVE!$Q$6/RSeed!P55))</f>
        <v>1E-3</v>
      </c>
      <c r="Q55" s="78">
        <f>RSeed!Q55*(1-(MOVE!$Q$6/RSeed!Q55))</f>
        <v>1E-3</v>
      </c>
      <c r="R55" s="78">
        <f>RSeed!R55*(1-(MOVE!$Q$6/RSeed!R55))</f>
        <v>1E-3</v>
      </c>
      <c r="S55" s="78">
        <f>RSeed!S55*(1-(MOVE!$Q$6/RSeed!S55))</f>
        <v>1E-3</v>
      </c>
      <c r="T55" s="78">
        <f>RSeed!T55*(1-(MOVE!$Q$6/RSeed!T55))</f>
        <v>1E-3</v>
      </c>
      <c r="U55" s="78">
        <f>RSeed!U55*(1-(MOVE!$Q$6/RSeed!U55))</f>
        <v>1E-3</v>
      </c>
      <c r="V55" s="78">
        <f>RSeed!V55*(1-(MOVE!$Q$6/RSeed!V55))</f>
        <v>1E-3</v>
      </c>
      <c r="W55" s="78">
        <f>RSeed!W55*(1-(MOVE!$Q$6/RSeed!W55))</f>
        <v>1E-3</v>
      </c>
      <c r="X55" s="78">
        <f>RSeed!X55*(1-(MOVE!$Q$6/RSeed!X55))</f>
        <v>1E-3</v>
      </c>
      <c r="Y55" s="78">
        <f>RSeed!Y55*(1-(MOVE!$Q$6/RSeed!Y55))</f>
        <v>1E-3</v>
      </c>
      <c r="Z55" s="78">
        <f>RSeed!Z55*(1-(MOVE!$Q$6/RSeed!Z55))</f>
        <v>1E-3</v>
      </c>
      <c r="AA55" s="78">
        <f>RSeed!AA55*(1-(MOVE!$Q$6/RSeed!AA55))</f>
        <v>1E-3</v>
      </c>
      <c r="AB55" s="78">
        <f>RSeed!AB55*(1-(MOVE!$Q$6/RSeed!AB55))</f>
        <v>1E-3</v>
      </c>
      <c r="AC55" s="78">
        <f>RSeed!AC55*(1-(MOVE!$Q$6/RSeed!AC55))</f>
        <v>1E-3</v>
      </c>
      <c r="AD55" s="78">
        <f>RSeed!AD55*(1-(MOVE!$Q$6/RSeed!AD55))</f>
        <v>1E-3</v>
      </c>
      <c r="AE55" s="78">
        <f>RSeed!AE55*(1-(MOVE!$Q$6/RSeed!AE55))</f>
        <v>1E-3</v>
      </c>
      <c r="AF55" s="78">
        <f>RSeed!AF55*(1-(MOVE!$Q$6/RSeed!AF55))</f>
        <v>1E-3</v>
      </c>
      <c r="AG55" s="78">
        <f>RSeed!AG55*(1-(MOVE!$Q$6/RSeed!AG55))</f>
        <v>1E-3</v>
      </c>
      <c r="AH55" s="78">
        <f>RSeed!AH55*(1-(MOVE!$Q$6/RSeed!AH55))</f>
        <v>1E-3</v>
      </c>
      <c r="AI55" s="78">
        <f>RSeed!AI55*(1-(MOVE!$Q$6/RSeed!AI55))</f>
        <v>1E-3</v>
      </c>
      <c r="AJ55" s="78">
        <f>RSeed!AJ55*(1-(MOVE!$Q$6/RSeed!AJ55))</f>
        <v>1E-3</v>
      </c>
      <c r="AK55" s="78">
        <f>RSeed!AK55*(1-(MOVE!$Q$6/RSeed!AK55))</f>
        <v>1E-3</v>
      </c>
      <c r="AL55" s="78">
        <f>RSeed!AL55*(1-(MOVE!$Q$6/RSeed!AL55))</f>
        <v>1E-3</v>
      </c>
      <c r="AM55" s="78">
        <f>RSeed!AM55*(1-(MOVE!$Q$6/RSeed!AM55))</f>
        <v>1E-3</v>
      </c>
      <c r="AN55" s="78">
        <f>RSeed!AN55*(1-(MOVE!$Q$6/RSeed!AN55))</f>
        <v>1E-3</v>
      </c>
      <c r="AO55" s="78">
        <f>RSeed!AO55*(1-(MOVE!$Q$6/RSeed!AO55))</f>
        <v>1E-3</v>
      </c>
      <c r="AP55" s="78">
        <f>RSeed!AP55*(1-(MOVE!$Q$6/RSeed!AP55))</f>
        <v>1E-3</v>
      </c>
      <c r="AQ55" s="79">
        <f>RSeed!AQ55*(1-(MOVE!$Q$6/RSeed!AQ55))</f>
        <v>1E-3</v>
      </c>
      <c r="AR55" s="92">
        <f>RSeed!AR55*(1-(MOVE!$X$6/RSeed!AR55))</f>
        <v>1.2507578750764589E-2</v>
      </c>
      <c r="AS55" s="86">
        <f>RSeed!AS55*(1-(MOVE!$X$6/RSeed!AS55))</f>
        <v>1.2507578750764589E-2</v>
      </c>
      <c r="AT55" s="86">
        <f>RSeed!AT55*(1-(MOVE!$X$6/RSeed!AT55))</f>
        <v>1.2507578750764589E-2</v>
      </c>
      <c r="AU55" s="86">
        <f>RSeed!AU55*(1-(MOVE!$X$6/RSeed!AU55))</f>
        <v>1.2507578750764589E-2</v>
      </c>
      <c r="AV55" s="86">
        <f>RSeed!AV55*(1-(MOVE!$X$6/RSeed!AV55))</f>
        <v>1.2507578750764589E-2</v>
      </c>
      <c r="AW55" s="86">
        <f>RSeed!AW55*(1-(MOVE!$X$6/RSeed!AW55))</f>
        <v>1.2507578750764589E-2</v>
      </c>
      <c r="AX55" s="86">
        <f>RSeed!AX55*(1-(MOVE!$X$6/RSeed!AX55))</f>
        <v>1.2507578750764589E-2</v>
      </c>
      <c r="AY55" s="87">
        <f>RSeed!AY55*(1-(MOVE!$X$6/RSeed!AY55))</f>
        <v>1.2507578750764589E-2</v>
      </c>
      <c r="AZ55" s="72">
        <f>RSeed!AZ55*(1-(MOVE!$X$6/RSeed!AZ55))</f>
        <v>1.2507578750764589E-2</v>
      </c>
      <c r="BA55" s="35">
        <v>37</v>
      </c>
    </row>
    <row r="56" spans="2:53" x14ac:dyDescent="0.2">
      <c r="B56" s="34">
        <v>38</v>
      </c>
      <c r="C56" s="72">
        <f>RSeed!C56*(1-(MOVE!$Q$6/RSeed!C56))</f>
        <v>1.4999999999999999E-2</v>
      </c>
      <c r="D56" s="77">
        <f>RSeed!D56*(1-(MOVE!$Q$6/RSeed!D56))</f>
        <v>1E-3</v>
      </c>
      <c r="E56" s="78">
        <f>RSeed!E56*(1-(MOVE!$Q$6/RSeed!E56))</f>
        <v>1E-3</v>
      </c>
      <c r="F56" s="78">
        <f>RSeed!F56*(1-(MOVE!$Q$6/RSeed!F56))</f>
        <v>1E-3</v>
      </c>
      <c r="G56" s="78">
        <f>RSeed!G56*(1-(MOVE!$Q$6/RSeed!G56))</f>
        <v>1E-3</v>
      </c>
      <c r="H56" s="78">
        <f>RSeed!H56*(1-(MOVE!$Q$6/RSeed!H56))</f>
        <v>1E-3</v>
      </c>
      <c r="I56" s="78">
        <f>RSeed!I56*(1-(MOVE!$Q$6/RSeed!I56))</f>
        <v>1E-3</v>
      </c>
      <c r="J56" s="78">
        <f>RSeed!J56*(1-(MOVE!$Q$6/RSeed!J56))</f>
        <v>1E-3</v>
      </c>
      <c r="K56" s="78">
        <f>RSeed!K56*(1-(MOVE!$Q$6/RSeed!K56))</f>
        <v>1E-3</v>
      </c>
      <c r="L56" s="78">
        <f>RSeed!L56*(1-(MOVE!$Q$6/RSeed!L56))</f>
        <v>1E-3</v>
      </c>
      <c r="M56" s="78">
        <f>RSeed!M56*(1-(MOVE!$Q$6/RSeed!M56))</f>
        <v>1E-3</v>
      </c>
      <c r="N56" s="78">
        <f>RSeed!N56*(1-(MOVE!$Q$6/RSeed!N56))</f>
        <v>1E-3</v>
      </c>
      <c r="O56" s="78">
        <f>RSeed!O56*(1-(MOVE!$Q$6/RSeed!O56))</f>
        <v>1E-3</v>
      </c>
      <c r="P56" s="78">
        <f>RSeed!P56*(1-(MOVE!$Q$6/RSeed!P56))</f>
        <v>1E-3</v>
      </c>
      <c r="Q56" s="78">
        <f>RSeed!Q56*(1-(MOVE!$Q$6/RSeed!Q56))</f>
        <v>1E-3</v>
      </c>
      <c r="R56" s="78">
        <f>RSeed!R56*(1-(MOVE!$Q$6/RSeed!R56))</f>
        <v>1E-3</v>
      </c>
      <c r="S56" s="78">
        <f>RSeed!S56*(1-(MOVE!$Q$6/RSeed!S56))</f>
        <v>1E-3</v>
      </c>
      <c r="T56" s="78">
        <f>RSeed!T56*(1-(MOVE!$Q$6/RSeed!T56))</f>
        <v>1E-3</v>
      </c>
      <c r="U56" s="78">
        <f>RSeed!U56*(1-(MOVE!$Q$6/RSeed!U56))</f>
        <v>1E-3</v>
      </c>
      <c r="V56" s="78">
        <f>RSeed!V56*(1-(MOVE!$Q$6/RSeed!V56))</f>
        <v>1E-3</v>
      </c>
      <c r="W56" s="78">
        <f>RSeed!W56*(1-(MOVE!$Q$6/RSeed!W56))</f>
        <v>1E-3</v>
      </c>
      <c r="X56" s="78">
        <f>RSeed!X56*(1-(MOVE!$Q$6/RSeed!X56))</f>
        <v>1E-3</v>
      </c>
      <c r="Y56" s="78">
        <f>RSeed!Y56*(1-(MOVE!$Q$6/RSeed!Y56))</f>
        <v>1E-3</v>
      </c>
      <c r="Z56" s="78">
        <f>RSeed!Z56*(1-(MOVE!$Q$6/RSeed!Z56))</f>
        <v>1E-3</v>
      </c>
      <c r="AA56" s="78">
        <f>RSeed!AA56*(1-(MOVE!$Q$6/RSeed!AA56))</f>
        <v>1E-3</v>
      </c>
      <c r="AB56" s="78">
        <f>RSeed!AB56*(1-(MOVE!$Q$6/RSeed!AB56))</f>
        <v>1E-3</v>
      </c>
      <c r="AC56" s="78">
        <f>RSeed!AC56*(1-(MOVE!$Q$6/RSeed!AC56))</f>
        <v>1E-3</v>
      </c>
      <c r="AD56" s="78">
        <f>RSeed!AD56*(1-(MOVE!$Q$6/RSeed!AD56))</f>
        <v>1E-3</v>
      </c>
      <c r="AE56" s="78">
        <f>RSeed!AE56*(1-(MOVE!$Q$6/RSeed!AE56))</f>
        <v>1E-3</v>
      </c>
      <c r="AF56" s="78">
        <f>RSeed!AF56*(1-(MOVE!$Q$6/RSeed!AF56))</f>
        <v>1E-3</v>
      </c>
      <c r="AG56" s="78">
        <f>RSeed!AG56*(1-(MOVE!$Q$6/RSeed!AG56))</f>
        <v>1E-3</v>
      </c>
      <c r="AH56" s="78">
        <f>RSeed!AH56*(1-(MOVE!$Q$6/RSeed!AH56))</f>
        <v>1E-3</v>
      </c>
      <c r="AI56" s="78">
        <f>RSeed!AI56*(1-(MOVE!$Q$6/RSeed!AI56))</f>
        <v>1E-3</v>
      </c>
      <c r="AJ56" s="78">
        <f>RSeed!AJ56*(1-(MOVE!$Q$6/RSeed!AJ56))</f>
        <v>1E-3</v>
      </c>
      <c r="AK56" s="78">
        <f>RSeed!AK56*(1-(MOVE!$Q$6/RSeed!AK56))</f>
        <v>1E-3</v>
      </c>
      <c r="AL56" s="78">
        <f>RSeed!AL56*(1-(MOVE!$Q$6/RSeed!AL56))</f>
        <v>1E-3</v>
      </c>
      <c r="AM56" s="78">
        <f>RSeed!AM56*(1-(MOVE!$Q$6/RSeed!AM56))</f>
        <v>1E-3</v>
      </c>
      <c r="AN56" s="78">
        <f>RSeed!AN56*(1-(MOVE!$Q$6/RSeed!AN56))</f>
        <v>1E-3</v>
      </c>
      <c r="AO56" s="78">
        <f>RSeed!AO56*(1-(MOVE!$Q$6/RSeed!AO56))</f>
        <v>1E-3</v>
      </c>
      <c r="AP56" s="78">
        <f>RSeed!AP56*(1-(MOVE!$Q$6/RSeed!AP56))</f>
        <v>1E-3</v>
      </c>
      <c r="AQ56" s="79">
        <f>RSeed!AQ56*(1-(MOVE!$Q$6/RSeed!AQ56))</f>
        <v>1E-3</v>
      </c>
      <c r="AR56" s="92">
        <f>RSeed!AR56*(1-(MOVE!$X$6/RSeed!AR56))</f>
        <v>1.2507578750764589E-2</v>
      </c>
      <c r="AS56" s="86">
        <f>RSeed!AS56*(1-(MOVE!$X$6/RSeed!AS56))</f>
        <v>1.2507578750764589E-2</v>
      </c>
      <c r="AT56" s="86">
        <f>RSeed!AT56*(1-(MOVE!$X$6/RSeed!AT56))</f>
        <v>1.2507578750764589E-2</v>
      </c>
      <c r="AU56" s="86">
        <f>RSeed!AU56*(1-(MOVE!$X$6/RSeed!AU56))</f>
        <v>1.2507578750764589E-2</v>
      </c>
      <c r="AV56" s="86">
        <f>RSeed!AV56*(1-(MOVE!$X$6/RSeed!AV56))</f>
        <v>1.2507578750764589E-2</v>
      </c>
      <c r="AW56" s="86">
        <f>RSeed!AW56*(1-(MOVE!$X$6/RSeed!AW56))</f>
        <v>1.2507578750764589E-2</v>
      </c>
      <c r="AX56" s="86">
        <f>RSeed!AX56*(1-(MOVE!$X$6/RSeed!AX56))</f>
        <v>1.2507578750764589E-2</v>
      </c>
      <c r="AY56" s="87">
        <f>RSeed!AY56*(1-(MOVE!$X$6/RSeed!AY56))</f>
        <v>1.2507578750764589E-2</v>
      </c>
      <c r="AZ56" s="72">
        <f>RSeed!AZ56*(1-(MOVE!$X$6/RSeed!AZ56))</f>
        <v>1.2507578750764589E-2</v>
      </c>
      <c r="BA56" s="35">
        <v>38</v>
      </c>
    </row>
    <row r="57" spans="2:53" x14ac:dyDescent="0.2">
      <c r="B57" s="34">
        <v>39</v>
      </c>
      <c r="C57" s="72">
        <f>RSeed!C57*(1-(MOVE!$Q$6/RSeed!C57))</f>
        <v>1.4999999999999999E-2</v>
      </c>
      <c r="D57" s="77">
        <f>RSeed!D57*(1-(MOVE!$Q$6/RSeed!D57))</f>
        <v>1E-3</v>
      </c>
      <c r="E57" s="78">
        <f>RSeed!E57*(1-(MOVE!$Q$6/RSeed!E57))</f>
        <v>1E-3</v>
      </c>
      <c r="F57" s="78">
        <f>RSeed!F57*(1-(MOVE!$Q$6/RSeed!F57))</f>
        <v>1E-3</v>
      </c>
      <c r="G57" s="78">
        <f>RSeed!G57*(1-(MOVE!$Q$6/RSeed!G57))</f>
        <v>1E-3</v>
      </c>
      <c r="H57" s="78">
        <f>RSeed!H57*(1-(MOVE!$Q$6/RSeed!H57))</f>
        <v>1E-3</v>
      </c>
      <c r="I57" s="78">
        <f>RSeed!I57*(1-(MOVE!$Q$6/RSeed!I57))</f>
        <v>1E-3</v>
      </c>
      <c r="J57" s="78">
        <f>RSeed!J57*(1-(MOVE!$Q$6/RSeed!J57))</f>
        <v>1E-3</v>
      </c>
      <c r="K57" s="78">
        <f>RSeed!K57*(1-(MOVE!$Q$6/RSeed!K57))</f>
        <v>1E-3</v>
      </c>
      <c r="L57" s="78">
        <f>RSeed!L57*(1-(MOVE!$Q$6/RSeed!L57))</f>
        <v>1E-3</v>
      </c>
      <c r="M57" s="78">
        <f>RSeed!M57*(1-(MOVE!$Q$6/RSeed!M57))</f>
        <v>1E-3</v>
      </c>
      <c r="N57" s="78">
        <f>RSeed!N57*(1-(MOVE!$Q$6/RSeed!N57))</f>
        <v>1E-3</v>
      </c>
      <c r="O57" s="78">
        <f>RSeed!O57*(1-(MOVE!$Q$6/RSeed!O57))</f>
        <v>1E-3</v>
      </c>
      <c r="P57" s="78">
        <f>RSeed!P57*(1-(MOVE!$Q$6/RSeed!P57))</f>
        <v>1E-3</v>
      </c>
      <c r="Q57" s="78">
        <f>RSeed!Q57*(1-(MOVE!$Q$6/RSeed!Q57))</f>
        <v>1E-3</v>
      </c>
      <c r="R57" s="78">
        <f>RSeed!R57*(1-(MOVE!$Q$6/RSeed!R57))</f>
        <v>1E-3</v>
      </c>
      <c r="S57" s="78">
        <f>RSeed!S57*(1-(MOVE!$Q$6/RSeed!S57))</f>
        <v>1E-3</v>
      </c>
      <c r="T57" s="78">
        <f>RSeed!T57*(1-(MOVE!$Q$6/RSeed!T57))</f>
        <v>1E-3</v>
      </c>
      <c r="U57" s="78">
        <f>RSeed!U57*(1-(MOVE!$Q$6/RSeed!U57))</f>
        <v>1E-3</v>
      </c>
      <c r="V57" s="78">
        <f>RSeed!V57*(1-(MOVE!$Q$6/RSeed!V57))</f>
        <v>1E-3</v>
      </c>
      <c r="W57" s="78">
        <f>RSeed!W57*(1-(MOVE!$Q$6/RSeed!W57))</f>
        <v>1E-3</v>
      </c>
      <c r="X57" s="78">
        <f>RSeed!X57*(1-(MOVE!$Q$6/RSeed!X57))</f>
        <v>1E-3</v>
      </c>
      <c r="Y57" s="78">
        <f>RSeed!Y57*(1-(MOVE!$Q$6/RSeed!Y57))</f>
        <v>1E-3</v>
      </c>
      <c r="Z57" s="78">
        <f>RSeed!Z57*(1-(MOVE!$Q$6/RSeed!Z57))</f>
        <v>1E-3</v>
      </c>
      <c r="AA57" s="78">
        <f>RSeed!AA57*(1-(MOVE!$Q$6/RSeed!AA57))</f>
        <v>1E-3</v>
      </c>
      <c r="AB57" s="78">
        <f>RSeed!AB57*(1-(MOVE!$Q$6/RSeed!AB57))</f>
        <v>1E-3</v>
      </c>
      <c r="AC57" s="78">
        <f>RSeed!AC57*(1-(MOVE!$Q$6/RSeed!AC57))</f>
        <v>1E-3</v>
      </c>
      <c r="AD57" s="78">
        <f>RSeed!AD57*(1-(MOVE!$Q$6/RSeed!AD57))</f>
        <v>1E-3</v>
      </c>
      <c r="AE57" s="78">
        <f>RSeed!AE57*(1-(MOVE!$Q$6/RSeed!AE57))</f>
        <v>1E-3</v>
      </c>
      <c r="AF57" s="78">
        <f>RSeed!AF57*(1-(MOVE!$Q$6/RSeed!AF57))</f>
        <v>1E-3</v>
      </c>
      <c r="AG57" s="78">
        <f>RSeed!AG57*(1-(MOVE!$Q$6/RSeed!AG57))</f>
        <v>1E-3</v>
      </c>
      <c r="AH57" s="78">
        <f>RSeed!AH57*(1-(MOVE!$Q$6/RSeed!AH57))</f>
        <v>1E-3</v>
      </c>
      <c r="AI57" s="78">
        <f>RSeed!AI57*(1-(MOVE!$Q$6/RSeed!AI57))</f>
        <v>1E-3</v>
      </c>
      <c r="AJ57" s="78">
        <f>RSeed!AJ57*(1-(MOVE!$Q$6/RSeed!AJ57))</f>
        <v>1E-3</v>
      </c>
      <c r="AK57" s="78">
        <f>RSeed!AK57*(1-(MOVE!$Q$6/RSeed!AK57))</f>
        <v>1E-3</v>
      </c>
      <c r="AL57" s="78">
        <f>RSeed!AL57*(1-(MOVE!$Q$6/RSeed!AL57))</f>
        <v>1E-3</v>
      </c>
      <c r="AM57" s="78">
        <f>RSeed!AM57*(1-(MOVE!$Q$6/RSeed!AM57))</f>
        <v>1E-3</v>
      </c>
      <c r="AN57" s="78">
        <f>RSeed!AN57*(1-(MOVE!$Q$6/RSeed!AN57))</f>
        <v>1E-3</v>
      </c>
      <c r="AO57" s="78">
        <f>RSeed!AO57*(1-(MOVE!$Q$6/RSeed!AO57))</f>
        <v>1E-3</v>
      </c>
      <c r="AP57" s="78">
        <f>RSeed!AP57*(1-(MOVE!$Q$6/RSeed!AP57))</f>
        <v>1E-3</v>
      </c>
      <c r="AQ57" s="79">
        <f>RSeed!AQ57*(1-(MOVE!$Q$6/RSeed!AQ57))</f>
        <v>1E-3</v>
      </c>
      <c r="AR57" s="92">
        <f>RSeed!AR57*(1-(MOVE!$X$6/RSeed!AR57))</f>
        <v>1.2507578750764589E-2</v>
      </c>
      <c r="AS57" s="86">
        <f>RSeed!AS57*(1-(MOVE!$X$6/RSeed!AS57))</f>
        <v>1.2507578750764589E-2</v>
      </c>
      <c r="AT57" s="86">
        <f>RSeed!AT57*(1-(MOVE!$X$6/RSeed!AT57))</f>
        <v>1.2507578750764589E-2</v>
      </c>
      <c r="AU57" s="86">
        <f>RSeed!AU57*(1-(MOVE!$X$6/RSeed!AU57))</f>
        <v>1.2507578750764589E-2</v>
      </c>
      <c r="AV57" s="86">
        <f>RSeed!AV57*(1-(MOVE!$X$6/RSeed!AV57))</f>
        <v>1.2507578750764589E-2</v>
      </c>
      <c r="AW57" s="86">
        <f>RSeed!AW57*(1-(MOVE!$X$6/RSeed!AW57))</f>
        <v>1.2507578750764589E-2</v>
      </c>
      <c r="AX57" s="86">
        <f>RSeed!AX57*(1-(MOVE!$X$6/RSeed!AX57))</f>
        <v>1.2507578750764589E-2</v>
      </c>
      <c r="AY57" s="87">
        <f>RSeed!AY57*(1-(MOVE!$X$6/RSeed!AY57))</f>
        <v>1.2507578750764589E-2</v>
      </c>
      <c r="AZ57" s="72">
        <f>RSeed!AZ57*(1-(MOVE!$X$6/RSeed!AZ57))</f>
        <v>1.2507578750764589E-2</v>
      </c>
      <c r="BA57" s="35">
        <v>39</v>
      </c>
    </row>
    <row r="58" spans="2:53" x14ac:dyDescent="0.2">
      <c r="B58" s="34">
        <v>40</v>
      </c>
      <c r="C58" s="72">
        <f>RSeed!C58*(1-(MOVE!$Q$6/RSeed!C58))</f>
        <v>1.4999999999999999E-2</v>
      </c>
      <c r="D58" s="77">
        <f>RSeed!D58*(1-(MOVE!$Q$6/RSeed!D58))</f>
        <v>1E-3</v>
      </c>
      <c r="E58" s="78">
        <f>RSeed!E58*(1-(MOVE!$Q$6/RSeed!E58))</f>
        <v>1E-3</v>
      </c>
      <c r="F58" s="78">
        <f>RSeed!F58*(1-(MOVE!$Q$6/RSeed!F58))</f>
        <v>1E-3</v>
      </c>
      <c r="G58" s="78">
        <f>RSeed!G58*(1-(MOVE!$Q$6/RSeed!G58))</f>
        <v>1E-3</v>
      </c>
      <c r="H58" s="78">
        <f>RSeed!H58*(1-(MOVE!$Q$6/RSeed!H58))</f>
        <v>1E-3</v>
      </c>
      <c r="I58" s="78">
        <f>RSeed!I58*(1-(MOVE!$Q$6/RSeed!I58))</f>
        <v>1E-3</v>
      </c>
      <c r="J58" s="78">
        <f>RSeed!J58*(1-(MOVE!$Q$6/RSeed!J58))</f>
        <v>1E-3</v>
      </c>
      <c r="K58" s="78">
        <f>RSeed!K58*(1-(MOVE!$Q$6/RSeed!K58))</f>
        <v>1E-3</v>
      </c>
      <c r="L58" s="78">
        <f>RSeed!L58*(1-(MOVE!$Q$6/RSeed!L58))</f>
        <v>1E-3</v>
      </c>
      <c r="M58" s="78">
        <f>RSeed!M58*(1-(MOVE!$Q$6/RSeed!M58))</f>
        <v>1E-3</v>
      </c>
      <c r="N58" s="78">
        <f>RSeed!N58*(1-(MOVE!$Q$6/RSeed!N58))</f>
        <v>1E-3</v>
      </c>
      <c r="O58" s="78">
        <f>RSeed!O58*(1-(MOVE!$Q$6/RSeed!O58))</f>
        <v>1E-3</v>
      </c>
      <c r="P58" s="78">
        <f>RSeed!P58*(1-(MOVE!$Q$6/RSeed!P58))</f>
        <v>1E-3</v>
      </c>
      <c r="Q58" s="78">
        <f>RSeed!Q58*(1-(MOVE!$Q$6/RSeed!Q58))</f>
        <v>1E-3</v>
      </c>
      <c r="R58" s="78">
        <f>RSeed!R58*(1-(MOVE!$Q$6/RSeed!R58))</f>
        <v>1E-3</v>
      </c>
      <c r="S58" s="78">
        <f>RSeed!S58*(1-(MOVE!$Q$6/RSeed!S58))</f>
        <v>1E-3</v>
      </c>
      <c r="T58" s="78">
        <f>RSeed!T58*(1-(MOVE!$Q$6/RSeed!T58))</f>
        <v>1E-3</v>
      </c>
      <c r="U58" s="78">
        <f>RSeed!U58*(1-(MOVE!$Q$6/RSeed!U58))</f>
        <v>1E-3</v>
      </c>
      <c r="V58" s="78">
        <f>RSeed!V58*(1-(MOVE!$Q$6/RSeed!V58))</f>
        <v>1E-3</v>
      </c>
      <c r="W58" s="78">
        <f>RSeed!W58*(1-(MOVE!$Q$6/RSeed!W58))</f>
        <v>1E-3</v>
      </c>
      <c r="X58" s="78">
        <f>RSeed!X58*(1-(MOVE!$Q$6/RSeed!X58))</f>
        <v>1E-3</v>
      </c>
      <c r="Y58" s="78">
        <f>RSeed!Y58*(1-(MOVE!$Q$6/RSeed!Y58))</f>
        <v>1E-3</v>
      </c>
      <c r="Z58" s="78">
        <f>RSeed!Z58*(1-(MOVE!$Q$6/RSeed!Z58))</f>
        <v>1E-3</v>
      </c>
      <c r="AA58" s="78">
        <f>RSeed!AA58*(1-(MOVE!$Q$6/RSeed!AA58))</f>
        <v>1E-3</v>
      </c>
      <c r="AB58" s="78">
        <f>RSeed!AB58*(1-(MOVE!$Q$6/RSeed!AB58))</f>
        <v>1E-3</v>
      </c>
      <c r="AC58" s="78">
        <f>RSeed!AC58*(1-(MOVE!$Q$6/RSeed!AC58))</f>
        <v>1E-3</v>
      </c>
      <c r="AD58" s="78">
        <f>RSeed!AD58*(1-(MOVE!$Q$6/RSeed!AD58))</f>
        <v>1E-3</v>
      </c>
      <c r="AE58" s="78">
        <f>RSeed!AE58*(1-(MOVE!$Q$6/RSeed!AE58))</f>
        <v>1E-3</v>
      </c>
      <c r="AF58" s="78">
        <f>RSeed!AF58*(1-(MOVE!$Q$6/RSeed!AF58))</f>
        <v>1E-3</v>
      </c>
      <c r="AG58" s="78">
        <f>RSeed!AG58*(1-(MOVE!$Q$6/RSeed!AG58))</f>
        <v>1E-3</v>
      </c>
      <c r="AH58" s="78">
        <f>RSeed!AH58*(1-(MOVE!$Q$6/RSeed!AH58))</f>
        <v>1E-3</v>
      </c>
      <c r="AI58" s="78">
        <f>RSeed!AI58*(1-(MOVE!$Q$6/RSeed!AI58))</f>
        <v>1E-3</v>
      </c>
      <c r="AJ58" s="78">
        <f>RSeed!AJ58*(1-(MOVE!$Q$6/RSeed!AJ58))</f>
        <v>1E-3</v>
      </c>
      <c r="AK58" s="78">
        <f>RSeed!AK58*(1-(MOVE!$Q$6/RSeed!AK58))</f>
        <v>1E-3</v>
      </c>
      <c r="AL58" s="78">
        <f>RSeed!AL58*(1-(MOVE!$Q$6/RSeed!AL58))</f>
        <v>1E-3</v>
      </c>
      <c r="AM58" s="78">
        <f>RSeed!AM58*(1-(MOVE!$Q$6/RSeed!AM58))</f>
        <v>1E-3</v>
      </c>
      <c r="AN58" s="78">
        <f>RSeed!AN58*(1-(MOVE!$Q$6/RSeed!AN58))</f>
        <v>1E-3</v>
      </c>
      <c r="AO58" s="78">
        <f>RSeed!AO58*(1-(MOVE!$Q$6/RSeed!AO58))</f>
        <v>1E-3</v>
      </c>
      <c r="AP58" s="78">
        <f>RSeed!AP58*(1-(MOVE!$Q$6/RSeed!AP58))</f>
        <v>1E-3</v>
      </c>
      <c r="AQ58" s="79">
        <f>RSeed!AQ58*(1-(MOVE!$Q$6/RSeed!AQ58))</f>
        <v>1E-3</v>
      </c>
      <c r="AR58" s="92">
        <f>RSeed!AR58*(1-(MOVE!$X$6/RSeed!AR58))</f>
        <v>1.2507578750764589E-2</v>
      </c>
      <c r="AS58" s="86">
        <f>RSeed!AS58*(1-(MOVE!$X$6/RSeed!AS58))</f>
        <v>1.2507578750764589E-2</v>
      </c>
      <c r="AT58" s="86">
        <f>RSeed!AT58*(1-(MOVE!$X$6/RSeed!AT58))</f>
        <v>1.2507578750764589E-2</v>
      </c>
      <c r="AU58" s="86">
        <f>RSeed!AU58*(1-(MOVE!$X$6/RSeed!AU58))</f>
        <v>1.2507578750764589E-2</v>
      </c>
      <c r="AV58" s="86">
        <f>RSeed!AV58*(1-(MOVE!$X$6/RSeed!AV58))</f>
        <v>1.2507578750764589E-2</v>
      </c>
      <c r="AW58" s="86">
        <f>RSeed!AW58*(1-(MOVE!$X$6/RSeed!AW58))</f>
        <v>1.2507578750764589E-2</v>
      </c>
      <c r="AX58" s="86">
        <f>RSeed!AX58*(1-(MOVE!$X$6/RSeed!AX58))</f>
        <v>1.2507578750764589E-2</v>
      </c>
      <c r="AY58" s="87">
        <f>RSeed!AY58*(1-(MOVE!$X$6/RSeed!AY58))</f>
        <v>1.2507578750764589E-2</v>
      </c>
      <c r="AZ58" s="72">
        <f>RSeed!AZ58*(1-(MOVE!$X$6/RSeed!AZ58))</f>
        <v>1.2507578750764589E-2</v>
      </c>
      <c r="BA58" s="35">
        <v>40</v>
      </c>
    </row>
    <row r="59" spans="2:53" x14ac:dyDescent="0.2">
      <c r="B59" s="34">
        <v>41</v>
      </c>
      <c r="C59" s="72">
        <f>RSeed!C59*(1-(MOVE!$Q$6/RSeed!C59))</f>
        <v>1.4999999999999999E-2</v>
      </c>
      <c r="D59" s="77">
        <f>RSeed!D59*(1-(MOVE!$Q$6/RSeed!D59))</f>
        <v>1E-3</v>
      </c>
      <c r="E59" s="78">
        <f>RSeed!E59*(1-(MOVE!$Q$6/RSeed!E59))</f>
        <v>1E-3</v>
      </c>
      <c r="F59" s="78">
        <f>RSeed!F59*(1-(MOVE!$Q$6/RSeed!F59))</f>
        <v>1E-3</v>
      </c>
      <c r="G59" s="78">
        <f>RSeed!G59*(1-(MOVE!$Q$6/RSeed!G59))</f>
        <v>1E-3</v>
      </c>
      <c r="H59" s="78">
        <f>RSeed!H59*(1-(MOVE!$Q$6/RSeed!H59))</f>
        <v>1E-3</v>
      </c>
      <c r="I59" s="78">
        <f>RSeed!I59*(1-(MOVE!$Q$6/RSeed!I59))</f>
        <v>1E-3</v>
      </c>
      <c r="J59" s="78">
        <f>RSeed!J59*(1-(MOVE!$Q$6/RSeed!J59))</f>
        <v>1E-3</v>
      </c>
      <c r="K59" s="78">
        <f>RSeed!K59*(1-(MOVE!$Q$6/RSeed!K59))</f>
        <v>1E-3</v>
      </c>
      <c r="L59" s="78">
        <f>RSeed!L59*(1-(MOVE!$Q$6/RSeed!L59))</f>
        <v>1E-3</v>
      </c>
      <c r="M59" s="78">
        <f>RSeed!M59*(1-(MOVE!$Q$6/RSeed!M59))</f>
        <v>1E-3</v>
      </c>
      <c r="N59" s="78">
        <f>RSeed!N59*(1-(MOVE!$Q$6/RSeed!N59))</f>
        <v>1E-3</v>
      </c>
      <c r="O59" s="78">
        <f>RSeed!O59*(1-(MOVE!$Q$6/RSeed!O59))</f>
        <v>1E-3</v>
      </c>
      <c r="P59" s="78">
        <f>RSeed!P59*(1-(MOVE!$Q$6/RSeed!P59))</f>
        <v>1E-3</v>
      </c>
      <c r="Q59" s="78">
        <f>RSeed!Q59*(1-(MOVE!$Q$6/RSeed!Q59))</f>
        <v>1E-3</v>
      </c>
      <c r="R59" s="78">
        <f>RSeed!R59*(1-(MOVE!$Q$6/RSeed!R59))</f>
        <v>1E-3</v>
      </c>
      <c r="S59" s="78">
        <f>RSeed!S59*(1-(MOVE!$Q$6/RSeed!S59))</f>
        <v>1E-3</v>
      </c>
      <c r="T59" s="78">
        <f>RSeed!T59*(1-(MOVE!$Q$6/RSeed!T59))</f>
        <v>1E-3</v>
      </c>
      <c r="U59" s="78">
        <f>RSeed!U59*(1-(MOVE!$Q$6/RSeed!U59))</f>
        <v>1E-3</v>
      </c>
      <c r="V59" s="78">
        <f>RSeed!V59*(1-(MOVE!$Q$6/RSeed!V59))</f>
        <v>1E-3</v>
      </c>
      <c r="W59" s="78">
        <f>RSeed!W59*(1-(MOVE!$Q$6/RSeed!W59))</f>
        <v>1E-3</v>
      </c>
      <c r="X59" s="78">
        <f>RSeed!X59*(1-(MOVE!$Q$6/RSeed!X59))</f>
        <v>1E-3</v>
      </c>
      <c r="Y59" s="78">
        <f>RSeed!Y59*(1-(MOVE!$Q$6/RSeed!Y59))</f>
        <v>1E-3</v>
      </c>
      <c r="Z59" s="78">
        <f>RSeed!Z59*(1-(MOVE!$Q$6/RSeed!Z59))</f>
        <v>1E-3</v>
      </c>
      <c r="AA59" s="78">
        <f>RSeed!AA59*(1-(MOVE!$Q$6/RSeed!AA59))</f>
        <v>1E-3</v>
      </c>
      <c r="AB59" s="78">
        <f>RSeed!AB59*(1-(MOVE!$Q$6/RSeed!AB59))</f>
        <v>1E-3</v>
      </c>
      <c r="AC59" s="78">
        <f>RSeed!AC59*(1-(MOVE!$Q$6/RSeed!AC59))</f>
        <v>1E-3</v>
      </c>
      <c r="AD59" s="78">
        <f>RSeed!AD59*(1-(MOVE!$Q$6/RSeed!AD59))</f>
        <v>1E-3</v>
      </c>
      <c r="AE59" s="78">
        <f>RSeed!AE59*(1-(MOVE!$Q$6/RSeed!AE59))</f>
        <v>1E-3</v>
      </c>
      <c r="AF59" s="78">
        <f>RSeed!AF59*(1-(MOVE!$Q$6/RSeed!AF59))</f>
        <v>1E-3</v>
      </c>
      <c r="AG59" s="78">
        <f>RSeed!AG59*(1-(MOVE!$Q$6/RSeed!AG59))</f>
        <v>1E-3</v>
      </c>
      <c r="AH59" s="78">
        <f>RSeed!AH59*(1-(MOVE!$Q$6/RSeed!AH59))</f>
        <v>1E-3</v>
      </c>
      <c r="AI59" s="78">
        <f>RSeed!AI59*(1-(MOVE!$Q$6/RSeed!AI59))</f>
        <v>1E-3</v>
      </c>
      <c r="AJ59" s="78">
        <f>RSeed!AJ59*(1-(MOVE!$Q$6/RSeed!AJ59))</f>
        <v>1E-3</v>
      </c>
      <c r="AK59" s="78">
        <f>RSeed!AK59*(1-(MOVE!$Q$6/RSeed!AK59))</f>
        <v>1E-3</v>
      </c>
      <c r="AL59" s="78">
        <f>RSeed!AL59*(1-(MOVE!$Q$6/RSeed!AL59))</f>
        <v>1E-3</v>
      </c>
      <c r="AM59" s="78">
        <f>RSeed!AM59*(1-(MOVE!$Q$6/RSeed!AM59))</f>
        <v>1E-3</v>
      </c>
      <c r="AN59" s="78">
        <f>RSeed!AN59*(1-(MOVE!$Q$6/RSeed!AN59))</f>
        <v>1E-3</v>
      </c>
      <c r="AO59" s="78">
        <f>RSeed!AO59*(1-(MOVE!$Q$6/RSeed!AO59))</f>
        <v>1E-3</v>
      </c>
      <c r="AP59" s="78">
        <f>RSeed!AP59*(1-(MOVE!$Q$6/RSeed!AP59))</f>
        <v>1E-3</v>
      </c>
      <c r="AQ59" s="79">
        <f>RSeed!AQ59*(1-(MOVE!$Q$6/RSeed!AQ59))</f>
        <v>1E-3</v>
      </c>
      <c r="AR59" s="92">
        <f>RSeed!AR59*(1-(MOVE!$X$6/RSeed!AR59))</f>
        <v>1.2507578750764589E-2</v>
      </c>
      <c r="AS59" s="86">
        <f>RSeed!AS59*(1-(MOVE!$X$6/RSeed!AS59))</f>
        <v>1.2507578750764589E-2</v>
      </c>
      <c r="AT59" s="86">
        <f>RSeed!AT59*(1-(MOVE!$X$6/RSeed!AT59))</f>
        <v>1.2507578750764589E-2</v>
      </c>
      <c r="AU59" s="86">
        <f>RSeed!AU59*(1-(MOVE!$X$6/RSeed!AU59))</f>
        <v>1.2507578750764589E-2</v>
      </c>
      <c r="AV59" s="86">
        <f>RSeed!AV59*(1-(MOVE!$X$6/RSeed!AV59))</f>
        <v>1.2507578750764589E-2</v>
      </c>
      <c r="AW59" s="86">
        <f>RSeed!AW59*(1-(MOVE!$X$6/RSeed!AW59))</f>
        <v>1.2507578750764589E-2</v>
      </c>
      <c r="AX59" s="86">
        <f>RSeed!AX59*(1-(MOVE!$X$6/RSeed!AX59))</f>
        <v>1.2507578750764589E-2</v>
      </c>
      <c r="AY59" s="87">
        <f>RSeed!AY59*(1-(MOVE!$X$6/RSeed!AY59))</f>
        <v>1.2507578750764589E-2</v>
      </c>
      <c r="AZ59" s="72">
        <f>RSeed!AZ59*(1-(MOVE!$X$6/RSeed!AZ59))</f>
        <v>1.2507578750764589E-2</v>
      </c>
      <c r="BA59" s="35">
        <v>41</v>
      </c>
    </row>
    <row r="60" spans="2:53" x14ac:dyDescent="0.2">
      <c r="B60" s="34">
        <v>42</v>
      </c>
      <c r="C60" s="72">
        <f>RSeed!C60*(1-(MOVE!$Q$6/RSeed!C60))</f>
        <v>1.4999999999999999E-2</v>
      </c>
      <c r="D60" s="77">
        <f>RSeed!D60*(1-(MOVE!$Q$6/RSeed!D60))</f>
        <v>1E-3</v>
      </c>
      <c r="E60" s="78">
        <f>RSeed!E60*(1-(MOVE!$Q$6/RSeed!E60))</f>
        <v>1E-3</v>
      </c>
      <c r="F60" s="78">
        <f>RSeed!F60*(1-(MOVE!$Q$6/RSeed!F60))</f>
        <v>1E-3</v>
      </c>
      <c r="G60" s="78">
        <f>RSeed!G60*(1-(MOVE!$Q$6/RSeed!G60))</f>
        <v>1E-3</v>
      </c>
      <c r="H60" s="78">
        <f>RSeed!H60*(1-(MOVE!$Q$6/RSeed!H60))</f>
        <v>1E-3</v>
      </c>
      <c r="I60" s="78">
        <f>RSeed!I60*(1-(MOVE!$Q$6/RSeed!I60))</f>
        <v>1E-3</v>
      </c>
      <c r="J60" s="78">
        <f>RSeed!J60*(1-(MOVE!$Q$6/RSeed!J60))</f>
        <v>1E-3</v>
      </c>
      <c r="K60" s="78">
        <f>RSeed!K60*(1-(MOVE!$Q$6/RSeed!K60))</f>
        <v>1E-3</v>
      </c>
      <c r="L60" s="78">
        <f>RSeed!L60*(1-(MOVE!$Q$6/RSeed!L60))</f>
        <v>1E-3</v>
      </c>
      <c r="M60" s="78">
        <f>RSeed!M60*(1-(MOVE!$Q$6/RSeed!M60))</f>
        <v>1E-3</v>
      </c>
      <c r="N60" s="78">
        <f>RSeed!N60*(1-(MOVE!$Q$6/RSeed!N60))</f>
        <v>1E-3</v>
      </c>
      <c r="O60" s="78">
        <f>RSeed!O60*(1-(MOVE!$Q$6/RSeed!O60))</f>
        <v>1E-3</v>
      </c>
      <c r="P60" s="78">
        <f>RSeed!P60*(1-(MOVE!$Q$6/RSeed!P60))</f>
        <v>1E-3</v>
      </c>
      <c r="Q60" s="78">
        <f>RSeed!Q60*(1-(MOVE!$Q$6/RSeed!Q60))</f>
        <v>1E-3</v>
      </c>
      <c r="R60" s="78">
        <f>RSeed!R60*(1-(MOVE!$Q$6/RSeed!R60))</f>
        <v>1E-3</v>
      </c>
      <c r="S60" s="78">
        <f>RSeed!S60*(1-(MOVE!$Q$6/RSeed!S60))</f>
        <v>1E-3</v>
      </c>
      <c r="T60" s="78">
        <f>RSeed!T60*(1-(MOVE!$Q$6/RSeed!T60))</f>
        <v>1E-3</v>
      </c>
      <c r="U60" s="78">
        <f>RSeed!U60*(1-(MOVE!$Q$6/RSeed!U60))</f>
        <v>1E-3</v>
      </c>
      <c r="V60" s="78">
        <f>RSeed!V60*(1-(MOVE!$Q$6/RSeed!V60))</f>
        <v>1E-3</v>
      </c>
      <c r="W60" s="78">
        <f>RSeed!W60*(1-(MOVE!$Q$6/RSeed!W60))</f>
        <v>1E-3</v>
      </c>
      <c r="X60" s="78">
        <f>RSeed!X60*(1-(MOVE!$Q$6/RSeed!X60))</f>
        <v>1E-3</v>
      </c>
      <c r="Y60" s="78">
        <f>RSeed!Y60*(1-(MOVE!$Q$6/RSeed!Y60))</f>
        <v>1E-3</v>
      </c>
      <c r="Z60" s="78">
        <f>RSeed!Z60*(1-(MOVE!$Q$6/RSeed!Z60))</f>
        <v>1E-3</v>
      </c>
      <c r="AA60" s="78">
        <f>RSeed!AA60*(1-(MOVE!$Q$6/RSeed!AA60))</f>
        <v>1E-3</v>
      </c>
      <c r="AB60" s="78">
        <f>RSeed!AB60*(1-(MOVE!$Q$6/RSeed!AB60))</f>
        <v>1E-3</v>
      </c>
      <c r="AC60" s="78">
        <f>RSeed!AC60*(1-(MOVE!$Q$6/RSeed!AC60))</f>
        <v>1E-3</v>
      </c>
      <c r="AD60" s="78">
        <f>RSeed!AD60*(1-(MOVE!$Q$6/RSeed!AD60))</f>
        <v>1E-3</v>
      </c>
      <c r="AE60" s="78">
        <f>RSeed!AE60*(1-(MOVE!$Q$6/RSeed!AE60))</f>
        <v>1E-3</v>
      </c>
      <c r="AF60" s="78">
        <f>RSeed!AF60*(1-(MOVE!$Q$6/RSeed!AF60))</f>
        <v>1E-3</v>
      </c>
      <c r="AG60" s="78">
        <f>RSeed!AG60*(1-(MOVE!$Q$6/RSeed!AG60))</f>
        <v>1E-3</v>
      </c>
      <c r="AH60" s="78">
        <f>RSeed!AH60*(1-(MOVE!$Q$6/RSeed!AH60))</f>
        <v>1E-3</v>
      </c>
      <c r="AI60" s="78">
        <f>RSeed!AI60*(1-(MOVE!$Q$6/RSeed!AI60))</f>
        <v>1E-3</v>
      </c>
      <c r="AJ60" s="78">
        <f>RSeed!AJ60*(1-(MOVE!$Q$6/RSeed!AJ60))</f>
        <v>1E-3</v>
      </c>
      <c r="AK60" s="78">
        <f>RSeed!AK60*(1-(MOVE!$Q$6/RSeed!AK60))</f>
        <v>1E-3</v>
      </c>
      <c r="AL60" s="78">
        <f>RSeed!AL60*(1-(MOVE!$Q$6/RSeed!AL60))</f>
        <v>1E-3</v>
      </c>
      <c r="AM60" s="78">
        <f>RSeed!AM60*(1-(MOVE!$Q$6/RSeed!AM60))</f>
        <v>1E-3</v>
      </c>
      <c r="AN60" s="78">
        <f>RSeed!AN60*(1-(MOVE!$Q$6/RSeed!AN60))</f>
        <v>1E-3</v>
      </c>
      <c r="AO60" s="78">
        <f>RSeed!AO60*(1-(MOVE!$Q$6/RSeed!AO60))</f>
        <v>1E-3</v>
      </c>
      <c r="AP60" s="78">
        <f>RSeed!AP60*(1-(MOVE!$Q$6/RSeed!AP60))</f>
        <v>1E-3</v>
      </c>
      <c r="AQ60" s="79">
        <f>RSeed!AQ60*(1-(MOVE!$Q$6/RSeed!AQ60))</f>
        <v>1E-3</v>
      </c>
      <c r="AR60" s="92">
        <f>RSeed!AR60*(1-(MOVE!$X$6/RSeed!AR60))</f>
        <v>1.2507578750764589E-2</v>
      </c>
      <c r="AS60" s="86">
        <f>RSeed!AS60*(1-(MOVE!$X$6/RSeed!AS60))</f>
        <v>1.2507578750764589E-2</v>
      </c>
      <c r="AT60" s="86">
        <f>RSeed!AT60*(1-(MOVE!$X$6/RSeed!AT60))</f>
        <v>1.2507578750764589E-2</v>
      </c>
      <c r="AU60" s="86">
        <f>RSeed!AU60*(1-(MOVE!$X$6/RSeed!AU60))</f>
        <v>1.2507578750764589E-2</v>
      </c>
      <c r="AV60" s="86">
        <f>RSeed!AV60*(1-(MOVE!$X$6/RSeed!AV60))</f>
        <v>1.2507578750764589E-2</v>
      </c>
      <c r="AW60" s="86">
        <f>RSeed!AW60*(1-(MOVE!$X$6/RSeed!AW60))</f>
        <v>1.2507578750764589E-2</v>
      </c>
      <c r="AX60" s="86">
        <f>RSeed!AX60*(1-(MOVE!$X$6/RSeed!AX60))</f>
        <v>1.2507578750764589E-2</v>
      </c>
      <c r="AY60" s="87">
        <f>RSeed!AY60*(1-(MOVE!$X$6/RSeed!AY60))</f>
        <v>1.2507578750764589E-2</v>
      </c>
      <c r="AZ60" s="72">
        <f>RSeed!AZ60*(1-(MOVE!$X$6/RSeed!AZ60))</f>
        <v>1.2507578750764589E-2</v>
      </c>
      <c r="BA60" s="35">
        <v>42</v>
      </c>
    </row>
    <row r="61" spans="2:53" x14ac:dyDescent="0.2">
      <c r="B61" s="34">
        <v>43</v>
      </c>
      <c r="C61" s="72">
        <f>RSeed!C61*(1-(MOVE!$Q$6/RSeed!C61))</f>
        <v>1.4999999999999999E-2</v>
      </c>
      <c r="D61" s="77">
        <f>RSeed!D61*(1-(MOVE!$Q$6/RSeed!D61))</f>
        <v>1E-3</v>
      </c>
      <c r="E61" s="78">
        <f>RSeed!E61*(1-(MOVE!$Q$6/RSeed!E61))</f>
        <v>1E-3</v>
      </c>
      <c r="F61" s="78">
        <f>RSeed!F61*(1-(MOVE!$Q$6/RSeed!F61))</f>
        <v>1E-3</v>
      </c>
      <c r="G61" s="78">
        <f>RSeed!G61*(1-(MOVE!$Q$6/RSeed!G61))</f>
        <v>1E-3</v>
      </c>
      <c r="H61" s="78">
        <f>RSeed!H61*(1-(MOVE!$Q$6/RSeed!H61))</f>
        <v>1E-3</v>
      </c>
      <c r="I61" s="78">
        <f>RSeed!I61*(1-(MOVE!$Q$6/RSeed!I61))</f>
        <v>1E-3</v>
      </c>
      <c r="J61" s="78">
        <f>RSeed!J61*(1-(MOVE!$Q$6/RSeed!J61))</f>
        <v>1E-3</v>
      </c>
      <c r="K61" s="78">
        <f>RSeed!K61*(1-(MOVE!$Q$6/RSeed!K61))</f>
        <v>1E-3</v>
      </c>
      <c r="L61" s="78">
        <f>RSeed!L61*(1-(MOVE!$Q$6/RSeed!L61))</f>
        <v>1E-3</v>
      </c>
      <c r="M61" s="78">
        <f>RSeed!M61*(1-(MOVE!$Q$6/RSeed!M61))</f>
        <v>1E-3</v>
      </c>
      <c r="N61" s="78">
        <f>RSeed!N61*(1-(MOVE!$Q$6/RSeed!N61))</f>
        <v>1E-3</v>
      </c>
      <c r="O61" s="78">
        <f>RSeed!O61*(1-(MOVE!$Q$6/RSeed!O61))</f>
        <v>1E-3</v>
      </c>
      <c r="P61" s="78">
        <f>RSeed!P61*(1-(MOVE!$Q$6/RSeed!P61))</f>
        <v>1E-3</v>
      </c>
      <c r="Q61" s="78">
        <f>RSeed!Q61*(1-(MOVE!$Q$6/RSeed!Q61))</f>
        <v>1E-3</v>
      </c>
      <c r="R61" s="78">
        <f>RSeed!R61*(1-(MOVE!$Q$6/RSeed!R61))</f>
        <v>1E-3</v>
      </c>
      <c r="S61" s="78">
        <f>RSeed!S61*(1-(MOVE!$Q$6/RSeed!S61))</f>
        <v>1E-3</v>
      </c>
      <c r="T61" s="78">
        <f>RSeed!T61*(1-(MOVE!$Q$6/RSeed!T61))</f>
        <v>1E-3</v>
      </c>
      <c r="U61" s="78">
        <f>RSeed!U61*(1-(MOVE!$Q$6/RSeed!U61))</f>
        <v>1E-3</v>
      </c>
      <c r="V61" s="78">
        <f>RSeed!V61*(1-(MOVE!$Q$6/RSeed!V61))</f>
        <v>1E-3</v>
      </c>
      <c r="W61" s="78">
        <f>RSeed!W61*(1-(MOVE!$Q$6/RSeed!W61))</f>
        <v>1E-3</v>
      </c>
      <c r="X61" s="78">
        <f>RSeed!X61*(1-(MOVE!$Q$6/RSeed!X61))</f>
        <v>1E-3</v>
      </c>
      <c r="Y61" s="78">
        <f>RSeed!Y61*(1-(MOVE!$Q$6/RSeed!Y61))</f>
        <v>1E-3</v>
      </c>
      <c r="Z61" s="78">
        <f>RSeed!Z61*(1-(MOVE!$Q$6/RSeed!Z61))</f>
        <v>1E-3</v>
      </c>
      <c r="AA61" s="78">
        <f>RSeed!AA61*(1-(MOVE!$Q$6/RSeed!AA61))</f>
        <v>1E-3</v>
      </c>
      <c r="AB61" s="78">
        <f>RSeed!AB61*(1-(MOVE!$Q$6/RSeed!AB61))</f>
        <v>1E-3</v>
      </c>
      <c r="AC61" s="78">
        <f>RSeed!AC61*(1-(MOVE!$Q$6/RSeed!AC61))</f>
        <v>1E-3</v>
      </c>
      <c r="AD61" s="78">
        <f>RSeed!AD61*(1-(MOVE!$Q$6/RSeed!AD61))</f>
        <v>1E-3</v>
      </c>
      <c r="AE61" s="78">
        <f>RSeed!AE61*(1-(MOVE!$Q$6/RSeed!AE61))</f>
        <v>1E-3</v>
      </c>
      <c r="AF61" s="78">
        <f>RSeed!AF61*(1-(MOVE!$Q$6/RSeed!AF61))</f>
        <v>1E-3</v>
      </c>
      <c r="AG61" s="78">
        <f>RSeed!AG61*(1-(MOVE!$Q$6/RSeed!AG61))</f>
        <v>1E-3</v>
      </c>
      <c r="AH61" s="78">
        <f>RSeed!AH61*(1-(MOVE!$Q$6/RSeed!AH61))</f>
        <v>1E-3</v>
      </c>
      <c r="AI61" s="78">
        <f>RSeed!AI61*(1-(MOVE!$Q$6/RSeed!AI61))</f>
        <v>1E-3</v>
      </c>
      <c r="AJ61" s="78">
        <f>RSeed!AJ61*(1-(MOVE!$Q$6/RSeed!AJ61))</f>
        <v>1E-3</v>
      </c>
      <c r="AK61" s="78">
        <f>RSeed!AK61*(1-(MOVE!$Q$6/RSeed!AK61))</f>
        <v>1E-3</v>
      </c>
      <c r="AL61" s="78">
        <f>RSeed!AL61*(1-(MOVE!$Q$6/RSeed!AL61))</f>
        <v>1E-3</v>
      </c>
      <c r="AM61" s="78">
        <f>RSeed!AM61*(1-(MOVE!$Q$6/RSeed!AM61))</f>
        <v>1E-3</v>
      </c>
      <c r="AN61" s="78">
        <f>RSeed!AN61*(1-(MOVE!$Q$6/RSeed!AN61))</f>
        <v>1E-3</v>
      </c>
      <c r="AO61" s="78">
        <f>RSeed!AO61*(1-(MOVE!$Q$6/RSeed!AO61))</f>
        <v>1E-3</v>
      </c>
      <c r="AP61" s="78">
        <f>RSeed!AP61*(1-(MOVE!$Q$6/RSeed!AP61))</f>
        <v>1E-3</v>
      </c>
      <c r="AQ61" s="79">
        <f>RSeed!AQ61*(1-(MOVE!$Q$6/RSeed!AQ61))</f>
        <v>1E-3</v>
      </c>
      <c r="AR61" s="92">
        <f>RSeed!AR61*(1-(MOVE!$X$6/RSeed!AR61))</f>
        <v>1.2507578750764589E-2</v>
      </c>
      <c r="AS61" s="86">
        <f>RSeed!AS61*(1-(MOVE!$X$6/RSeed!AS61))</f>
        <v>1.2507578750764589E-2</v>
      </c>
      <c r="AT61" s="86">
        <f>RSeed!AT61*(1-(MOVE!$X$6/RSeed!AT61))</f>
        <v>1.2507578750764589E-2</v>
      </c>
      <c r="AU61" s="86">
        <f>RSeed!AU61*(1-(MOVE!$X$6/RSeed!AU61))</f>
        <v>1.2507578750764589E-2</v>
      </c>
      <c r="AV61" s="86">
        <f>RSeed!AV61*(1-(MOVE!$X$6/RSeed!AV61))</f>
        <v>1.2507578750764589E-2</v>
      </c>
      <c r="AW61" s="86">
        <f>RSeed!AW61*(1-(MOVE!$X$6/RSeed!AW61))</f>
        <v>1.2507578750764589E-2</v>
      </c>
      <c r="AX61" s="86">
        <f>RSeed!AX61*(1-(MOVE!$X$6/RSeed!AX61))</f>
        <v>1.2507578750764589E-2</v>
      </c>
      <c r="AY61" s="87">
        <f>RSeed!AY61*(1-(MOVE!$X$6/RSeed!AY61))</f>
        <v>1.2507578750764589E-2</v>
      </c>
      <c r="AZ61" s="72">
        <f>RSeed!AZ61*(1-(MOVE!$X$6/RSeed!AZ61))</f>
        <v>1.2507578750764589E-2</v>
      </c>
      <c r="BA61" s="35">
        <v>43</v>
      </c>
    </row>
    <row r="62" spans="2:53" x14ac:dyDescent="0.2">
      <c r="B62" s="34">
        <v>44</v>
      </c>
      <c r="C62" s="72">
        <f>RSeed!C62*(1-(MOVE!$Q$6/RSeed!C62))</f>
        <v>1.4999999999999999E-2</v>
      </c>
      <c r="D62" s="77">
        <f>RSeed!D62*(1-(MOVE!$Q$6/RSeed!D62))</f>
        <v>1E-3</v>
      </c>
      <c r="E62" s="78">
        <f>RSeed!E62*(1-(MOVE!$Q$6/RSeed!E62))</f>
        <v>1E-3</v>
      </c>
      <c r="F62" s="78">
        <f>RSeed!F62*(1-(MOVE!$Q$6/RSeed!F62))</f>
        <v>1E-3</v>
      </c>
      <c r="G62" s="78">
        <f>RSeed!G62*(1-(MOVE!$Q$6/RSeed!G62))</f>
        <v>1E-3</v>
      </c>
      <c r="H62" s="78">
        <f>RSeed!H62*(1-(MOVE!$Q$6/RSeed!H62))</f>
        <v>1E-3</v>
      </c>
      <c r="I62" s="78">
        <f>RSeed!I62*(1-(MOVE!$Q$6/RSeed!I62))</f>
        <v>1E-3</v>
      </c>
      <c r="J62" s="78">
        <f>RSeed!J62*(1-(MOVE!$Q$6/RSeed!J62))</f>
        <v>1E-3</v>
      </c>
      <c r="K62" s="78">
        <f>RSeed!K62*(1-(MOVE!$Q$6/RSeed!K62))</f>
        <v>1E-3</v>
      </c>
      <c r="L62" s="78">
        <f>RSeed!L62*(1-(MOVE!$Q$6/RSeed!L62))</f>
        <v>1E-3</v>
      </c>
      <c r="M62" s="78">
        <f>RSeed!M62*(1-(MOVE!$Q$6/RSeed!M62))</f>
        <v>1E-3</v>
      </c>
      <c r="N62" s="78">
        <f>RSeed!N62*(1-(MOVE!$Q$6/RSeed!N62))</f>
        <v>1E-3</v>
      </c>
      <c r="O62" s="78">
        <f>RSeed!O62*(1-(MOVE!$Q$6/RSeed!O62))</f>
        <v>1E-3</v>
      </c>
      <c r="P62" s="78">
        <f>RSeed!P62*(1-(MOVE!$Q$6/RSeed!P62))</f>
        <v>1E-3</v>
      </c>
      <c r="Q62" s="78">
        <f>RSeed!Q62*(1-(MOVE!$Q$6/RSeed!Q62))</f>
        <v>1E-3</v>
      </c>
      <c r="R62" s="78">
        <f>RSeed!R62*(1-(MOVE!$Q$6/RSeed!R62))</f>
        <v>1E-3</v>
      </c>
      <c r="S62" s="78">
        <f>RSeed!S62*(1-(MOVE!$Q$6/RSeed!S62))</f>
        <v>1E-3</v>
      </c>
      <c r="T62" s="78">
        <f>RSeed!T62*(1-(MOVE!$Q$6/RSeed!T62))</f>
        <v>1E-3</v>
      </c>
      <c r="U62" s="78">
        <f>RSeed!U62*(1-(MOVE!$Q$6/RSeed!U62))</f>
        <v>1E-3</v>
      </c>
      <c r="V62" s="78">
        <f>RSeed!V62*(1-(MOVE!$Q$6/RSeed!V62))</f>
        <v>1E-3</v>
      </c>
      <c r="W62" s="78">
        <f>RSeed!W62*(1-(MOVE!$Q$6/RSeed!W62))</f>
        <v>1E-3</v>
      </c>
      <c r="X62" s="78">
        <f>RSeed!X62*(1-(MOVE!$Q$6/RSeed!X62))</f>
        <v>1E-3</v>
      </c>
      <c r="Y62" s="78">
        <f>RSeed!Y62*(1-(MOVE!$Q$6/RSeed!Y62))</f>
        <v>1E-3</v>
      </c>
      <c r="Z62" s="78">
        <f>RSeed!Z62*(1-(MOVE!$Q$6/RSeed!Z62))</f>
        <v>1E-3</v>
      </c>
      <c r="AA62" s="78">
        <f>RSeed!AA62*(1-(MOVE!$Q$6/RSeed!AA62))</f>
        <v>1E-3</v>
      </c>
      <c r="AB62" s="78">
        <f>RSeed!AB62*(1-(MOVE!$Q$6/RSeed!AB62))</f>
        <v>1E-3</v>
      </c>
      <c r="AC62" s="78">
        <f>RSeed!AC62*(1-(MOVE!$Q$6/RSeed!AC62))</f>
        <v>1E-3</v>
      </c>
      <c r="AD62" s="78">
        <f>RSeed!AD62*(1-(MOVE!$Q$6/RSeed!AD62))</f>
        <v>1E-3</v>
      </c>
      <c r="AE62" s="78">
        <f>RSeed!AE62*(1-(MOVE!$Q$6/RSeed!AE62))</f>
        <v>1E-3</v>
      </c>
      <c r="AF62" s="78">
        <f>RSeed!AF62*(1-(MOVE!$Q$6/RSeed!AF62))</f>
        <v>1E-3</v>
      </c>
      <c r="AG62" s="78">
        <f>RSeed!AG62*(1-(MOVE!$Q$6/RSeed!AG62))</f>
        <v>1E-3</v>
      </c>
      <c r="AH62" s="78">
        <f>RSeed!AH62*(1-(MOVE!$Q$6/RSeed!AH62))</f>
        <v>1E-3</v>
      </c>
      <c r="AI62" s="78">
        <f>RSeed!AI62*(1-(MOVE!$Q$6/RSeed!AI62))</f>
        <v>1E-3</v>
      </c>
      <c r="AJ62" s="78">
        <f>RSeed!AJ62*(1-(MOVE!$Q$6/RSeed!AJ62))</f>
        <v>1E-3</v>
      </c>
      <c r="AK62" s="78">
        <f>RSeed!AK62*(1-(MOVE!$Q$6/RSeed!AK62))</f>
        <v>1E-3</v>
      </c>
      <c r="AL62" s="78">
        <f>RSeed!AL62*(1-(MOVE!$Q$6/RSeed!AL62))</f>
        <v>1E-3</v>
      </c>
      <c r="AM62" s="78">
        <f>RSeed!AM62*(1-(MOVE!$Q$6/RSeed!AM62))</f>
        <v>1E-3</v>
      </c>
      <c r="AN62" s="78">
        <f>RSeed!AN62*(1-(MOVE!$Q$6/RSeed!AN62))</f>
        <v>1E-3</v>
      </c>
      <c r="AO62" s="78">
        <f>RSeed!AO62*(1-(MOVE!$Q$6/RSeed!AO62))</f>
        <v>1E-3</v>
      </c>
      <c r="AP62" s="78">
        <f>RSeed!AP62*(1-(MOVE!$Q$6/RSeed!AP62))</f>
        <v>1E-3</v>
      </c>
      <c r="AQ62" s="79">
        <f>RSeed!AQ62*(1-(MOVE!$Q$6/RSeed!AQ62))</f>
        <v>1E-3</v>
      </c>
      <c r="AR62" s="92">
        <f>RSeed!AR62*(1-(MOVE!$X$6/RSeed!AR62))</f>
        <v>1.2507578750764589E-2</v>
      </c>
      <c r="AS62" s="86">
        <f>RSeed!AS62*(1-(MOVE!$X$6/RSeed!AS62))</f>
        <v>1.2507578750764589E-2</v>
      </c>
      <c r="AT62" s="86">
        <f>RSeed!AT62*(1-(MOVE!$X$6/RSeed!AT62))</f>
        <v>1.2507578750764589E-2</v>
      </c>
      <c r="AU62" s="86">
        <f>RSeed!AU62*(1-(MOVE!$X$6/RSeed!AU62))</f>
        <v>1.2507578750764589E-2</v>
      </c>
      <c r="AV62" s="86">
        <f>RSeed!AV62*(1-(MOVE!$X$6/RSeed!AV62))</f>
        <v>1.2507578750764589E-2</v>
      </c>
      <c r="AW62" s="86">
        <f>RSeed!AW62*(1-(MOVE!$X$6/RSeed!AW62))</f>
        <v>1.2507578750764589E-2</v>
      </c>
      <c r="AX62" s="86">
        <f>RSeed!AX62*(1-(MOVE!$X$6/RSeed!AX62))</f>
        <v>1.2507578750764589E-2</v>
      </c>
      <c r="AY62" s="87">
        <f>RSeed!AY62*(1-(MOVE!$X$6/RSeed!AY62))</f>
        <v>1.2507578750764589E-2</v>
      </c>
      <c r="AZ62" s="72">
        <f>RSeed!AZ62*(1-(MOVE!$X$6/RSeed!AZ62))</f>
        <v>1.2507578750764589E-2</v>
      </c>
      <c r="BA62" s="35">
        <v>44</v>
      </c>
    </row>
    <row r="63" spans="2:53" x14ac:dyDescent="0.2">
      <c r="B63" s="34">
        <v>45</v>
      </c>
      <c r="C63" s="72">
        <f>RSeed!C63*(1-(MOVE!$Q$6/RSeed!C63))</f>
        <v>1.4999999999999999E-2</v>
      </c>
      <c r="D63" s="77">
        <f>RSeed!D63*(1-(MOVE!$Q$6/RSeed!D63))</f>
        <v>1E-3</v>
      </c>
      <c r="E63" s="78">
        <f>RSeed!E63*(1-(MOVE!$Q$6/RSeed!E63))</f>
        <v>1E-3</v>
      </c>
      <c r="F63" s="78">
        <f>RSeed!F63*(1-(MOVE!$Q$6/RSeed!F63))</f>
        <v>1E-3</v>
      </c>
      <c r="G63" s="78">
        <f>RSeed!G63*(1-(MOVE!$Q$6/RSeed!G63))</f>
        <v>1E-3</v>
      </c>
      <c r="H63" s="78">
        <f>RSeed!H63*(1-(MOVE!$Q$6/RSeed!H63))</f>
        <v>1E-3</v>
      </c>
      <c r="I63" s="78">
        <f>RSeed!I63*(1-(MOVE!$Q$6/RSeed!I63))</f>
        <v>1E-3</v>
      </c>
      <c r="J63" s="78">
        <f>RSeed!J63*(1-(MOVE!$Q$6/RSeed!J63))</f>
        <v>1E-3</v>
      </c>
      <c r="K63" s="78">
        <f>RSeed!K63*(1-(MOVE!$Q$6/RSeed!K63))</f>
        <v>1E-3</v>
      </c>
      <c r="L63" s="78">
        <f>RSeed!L63*(1-(MOVE!$Q$6/RSeed!L63))</f>
        <v>1E-3</v>
      </c>
      <c r="M63" s="78">
        <f>RSeed!M63*(1-(MOVE!$Q$6/RSeed!M63))</f>
        <v>1E-3</v>
      </c>
      <c r="N63" s="78">
        <f>RSeed!N63*(1-(MOVE!$Q$6/RSeed!N63))</f>
        <v>1E-3</v>
      </c>
      <c r="O63" s="78">
        <f>RSeed!O63*(1-(MOVE!$Q$6/RSeed!O63))</f>
        <v>1E-3</v>
      </c>
      <c r="P63" s="78">
        <f>RSeed!P63*(1-(MOVE!$Q$6/RSeed!P63))</f>
        <v>1E-3</v>
      </c>
      <c r="Q63" s="78">
        <f>RSeed!Q63*(1-(MOVE!$Q$6/RSeed!Q63))</f>
        <v>1E-3</v>
      </c>
      <c r="R63" s="78">
        <f>RSeed!R63*(1-(MOVE!$Q$6/RSeed!R63))</f>
        <v>1E-3</v>
      </c>
      <c r="S63" s="78">
        <f>RSeed!S63*(1-(MOVE!$Q$6/RSeed!S63))</f>
        <v>1E-3</v>
      </c>
      <c r="T63" s="78">
        <f>RSeed!T63*(1-(MOVE!$Q$6/RSeed!T63))</f>
        <v>1E-3</v>
      </c>
      <c r="U63" s="78">
        <f>RSeed!U63*(1-(MOVE!$Q$6/RSeed!U63))</f>
        <v>1E-3</v>
      </c>
      <c r="V63" s="78">
        <f>RSeed!V63*(1-(MOVE!$Q$6/RSeed!V63))</f>
        <v>1E-3</v>
      </c>
      <c r="W63" s="78">
        <f>RSeed!W63*(1-(MOVE!$Q$6/RSeed!W63))</f>
        <v>1E-3</v>
      </c>
      <c r="X63" s="78">
        <f>RSeed!X63*(1-(MOVE!$Q$6/RSeed!X63))</f>
        <v>1E-3</v>
      </c>
      <c r="Y63" s="78">
        <f>RSeed!Y63*(1-(MOVE!$Q$6/RSeed!Y63))</f>
        <v>1E-3</v>
      </c>
      <c r="Z63" s="78">
        <f>RSeed!Z63*(1-(MOVE!$Q$6/RSeed!Z63))</f>
        <v>1E-3</v>
      </c>
      <c r="AA63" s="78">
        <f>RSeed!AA63*(1-(MOVE!$Q$6/RSeed!AA63))</f>
        <v>1E-3</v>
      </c>
      <c r="AB63" s="78">
        <f>RSeed!AB63*(1-(MOVE!$Q$6/RSeed!AB63))</f>
        <v>1E-3</v>
      </c>
      <c r="AC63" s="78">
        <f>RSeed!AC63*(1-(MOVE!$Q$6/RSeed!AC63))</f>
        <v>1E-3</v>
      </c>
      <c r="AD63" s="78">
        <f>RSeed!AD63*(1-(MOVE!$Q$6/RSeed!AD63))</f>
        <v>1E-3</v>
      </c>
      <c r="AE63" s="78">
        <f>RSeed!AE63*(1-(MOVE!$Q$6/RSeed!AE63))</f>
        <v>1E-3</v>
      </c>
      <c r="AF63" s="78">
        <f>RSeed!AF63*(1-(MOVE!$Q$6/RSeed!AF63))</f>
        <v>1E-3</v>
      </c>
      <c r="AG63" s="78">
        <f>RSeed!AG63*(1-(MOVE!$Q$6/RSeed!AG63))</f>
        <v>1E-3</v>
      </c>
      <c r="AH63" s="78">
        <f>RSeed!AH63*(1-(MOVE!$Q$6/RSeed!AH63))</f>
        <v>1E-3</v>
      </c>
      <c r="AI63" s="78">
        <f>RSeed!AI63*(1-(MOVE!$Q$6/RSeed!AI63))</f>
        <v>1E-3</v>
      </c>
      <c r="AJ63" s="78">
        <f>RSeed!AJ63*(1-(MOVE!$Q$6/RSeed!AJ63))</f>
        <v>1E-3</v>
      </c>
      <c r="AK63" s="78">
        <f>RSeed!AK63*(1-(MOVE!$Q$6/RSeed!AK63))</f>
        <v>1E-3</v>
      </c>
      <c r="AL63" s="78">
        <f>RSeed!AL63*(1-(MOVE!$Q$6/RSeed!AL63))</f>
        <v>1E-3</v>
      </c>
      <c r="AM63" s="78">
        <f>RSeed!AM63*(1-(MOVE!$Q$6/RSeed!AM63))</f>
        <v>1E-3</v>
      </c>
      <c r="AN63" s="78">
        <f>RSeed!AN63*(1-(MOVE!$Q$6/RSeed!AN63))</f>
        <v>1E-3</v>
      </c>
      <c r="AO63" s="78">
        <f>RSeed!AO63*(1-(MOVE!$Q$6/RSeed!AO63))</f>
        <v>1E-3</v>
      </c>
      <c r="AP63" s="78">
        <f>RSeed!AP63*(1-(MOVE!$Q$6/RSeed!AP63))</f>
        <v>1E-3</v>
      </c>
      <c r="AQ63" s="79">
        <f>RSeed!AQ63*(1-(MOVE!$Q$6/RSeed!AQ63))</f>
        <v>1E-3</v>
      </c>
      <c r="AR63" s="92">
        <f>RSeed!AR63*(1-(MOVE!$X$6/RSeed!AR63))</f>
        <v>1.2507578750764589E-2</v>
      </c>
      <c r="AS63" s="86">
        <f>RSeed!AS63*(1-(MOVE!$X$6/RSeed!AS63))</f>
        <v>1.2507578750764589E-2</v>
      </c>
      <c r="AT63" s="86">
        <f>RSeed!AT63*(1-(MOVE!$X$6/RSeed!AT63))</f>
        <v>1.2507578750764589E-2</v>
      </c>
      <c r="AU63" s="86">
        <f>RSeed!AU63*(1-(MOVE!$X$6/RSeed!AU63))</f>
        <v>1.2507578750764589E-2</v>
      </c>
      <c r="AV63" s="86">
        <f>RSeed!AV63*(1-(MOVE!$X$6/RSeed!AV63))</f>
        <v>1.2507578750764589E-2</v>
      </c>
      <c r="AW63" s="86">
        <f>RSeed!AW63*(1-(MOVE!$X$6/RSeed!AW63))</f>
        <v>1.2507578750764589E-2</v>
      </c>
      <c r="AX63" s="86">
        <f>RSeed!AX63*(1-(MOVE!$X$6/RSeed!AX63))</f>
        <v>1.2507578750764589E-2</v>
      </c>
      <c r="AY63" s="87">
        <f>RSeed!AY63*(1-(MOVE!$X$6/RSeed!AY63))</f>
        <v>1.2507578750764589E-2</v>
      </c>
      <c r="AZ63" s="72">
        <f>RSeed!AZ63*(1-(MOVE!$X$6/RSeed!AZ63))</f>
        <v>1.2507578750764589E-2</v>
      </c>
      <c r="BA63" s="35">
        <v>45</v>
      </c>
    </row>
    <row r="64" spans="2:53" x14ac:dyDescent="0.2">
      <c r="B64" s="34">
        <v>46</v>
      </c>
      <c r="C64" s="72">
        <f>RSeed!C64*(1-(MOVE!$Q$6/RSeed!C64))</f>
        <v>1E-3</v>
      </c>
      <c r="D64" s="77">
        <f>RSeed!D64*(1-(MOVE!$Q$6/RSeed!D64))</f>
        <v>1E-3</v>
      </c>
      <c r="E64" s="78">
        <f>RSeed!E64*(1-(MOVE!$Q$6/RSeed!E64))</f>
        <v>1E-3</v>
      </c>
      <c r="F64" s="78">
        <f>RSeed!F64*(1-(MOVE!$Q$6/RSeed!F64))</f>
        <v>1E-3</v>
      </c>
      <c r="G64" s="78">
        <f>RSeed!G64*(1-(MOVE!$Q$6/RSeed!G64))</f>
        <v>1E-3</v>
      </c>
      <c r="H64" s="78">
        <f>RSeed!H64*(1-(MOVE!$Q$6/RSeed!H64))</f>
        <v>1E-3</v>
      </c>
      <c r="I64" s="78">
        <f>RSeed!I64*(1-(MOVE!$Q$6/RSeed!I64))</f>
        <v>1E-3</v>
      </c>
      <c r="J64" s="78">
        <f>RSeed!J64*(1-(MOVE!$Q$6/RSeed!J64))</f>
        <v>1E-3</v>
      </c>
      <c r="K64" s="78">
        <f>RSeed!K64*(1-(MOVE!$Q$6/RSeed!K64))</f>
        <v>1E-3</v>
      </c>
      <c r="L64" s="78">
        <f>RSeed!L64*(1-(MOVE!$Q$6/RSeed!L64))</f>
        <v>1E-3</v>
      </c>
      <c r="M64" s="78">
        <f>RSeed!M64*(1-(MOVE!$Q$6/RSeed!M64))</f>
        <v>1E-3</v>
      </c>
      <c r="N64" s="78">
        <f>RSeed!N64*(1-(MOVE!$Q$6/RSeed!N64))</f>
        <v>1E-3</v>
      </c>
      <c r="O64" s="78">
        <f>RSeed!O64*(1-(MOVE!$Q$6/RSeed!O64))</f>
        <v>1E-3</v>
      </c>
      <c r="P64" s="78">
        <f>RSeed!P64*(1-(MOVE!$Q$6/RSeed!P64))</f>
        <v>1E-3</v>
      </c>
      <c r="Q64" s="78">
        <f>RSeed!Q64*(1-(MOVE!$Q$6/RSeed!Q64))</f>
        <v>1E-3</v>
      </c>
      <c r="R64" s="78">
        <f>RSeed!R64*(1-(MOVE!$Q$6/RSeed!R64))</f>
        <v>1E-3</v>
      </c>
      <c r="S64" s="78">
        <f>RSeed!S64*(1-(MOVE!$Q$6/RSeed!S64))</f>
        <v>1E-3</v>
      </c>
      <c r="T64" s="78">
        <f>RSeed!T64*(1-(MOVE!$Q$6/RSeed!T64))</f>
        <v>1E-3</v>
      </c>
      <c r="U64" s="78">
        <f>RSeed!U64*(1-(MOVE!$Q$6/RSeed!U64))</f>
        <v>1E-3</v>
      </c>
      <c r="V64" s="78">
        <f>RSeed!V64*(1-(MOVE!$Q$6/RSeed!V64))</f>
        <v>1E-3</v>
      </c>
      <c r="W64" s="78">
        <f>RSeed!W64*(1-(MOVE!$Q$6/RSeed!W64))</f>
        <v>1E-3</v>
      </c>
      <c r="X64" s="78">
        <f>RSeed!X64*(1-(MOVE!$Q$6/RSeed!X64))</f>
        <v>1E-3</v>
      </c>
      <c r="Y64" s="78">
        <f>RSeed!Y64*(1-(MOVE!$Q$6/RSeed!Y64))</f>
        <v>1E-3</v>
      </c>
      <c r="Z64" s="78">
        <f>RSeed!Z64*(1-(MOVE!$Q$6/RSeed!Z64))</f>
        <v>1E-3</v>
      </c>
      <c r="AA64" s="78">
        <f>RSeed!AA64*(1-(MOVE!$Q$6/RSeed!AA64))</f>
        <v>1E-3</v>
      </c>
      <c r="AB64" s="78">
        <f>RSeed!AB64*(1-(MOVE!$Q$6/RSeed!AB64))</f>
        <v>1E-3</v>
      </c>
      <c r="AC64" s="78">
        <f>RSeed!AC64*(1-(MOVE!$Q$6/RSeed!AC64))</f>
        <v>1E-3</v>
      </c>
      <c r="AD64" s="78">
        <f>RSeed!AD64*(1-(MOVE!$Q$6/RSeed!AD64))</f>
        <v>1E-3</v>
      </c>
      <c r="AE64" s="78">
        <f>RSeed!AE64*(1-(MOVE!$Q$6/RSeed!AE64))</f>
        <v>1E-3</v>
      </c>
      <c r="AF64" s="78">
        <f>RSeed!AF64*(1-(MOVE!$Q$6/RSeed!AF64))</f>
        <v>1E-3</v>
      </c>
      <c r="AG64" s="78">
        <f>RSeed!AG64*(1-(MOVE!$Q$6/RSeed!AG64))</f>
        <v>1E-3</v>
      </c>
      <c r="AH64" s="78">
        <f>RSeed!AH64*(1-(MOVE!$Q$6/RSeed!AH64))</f>
        <v>1E-3</v>
      </c>
      <c r="AI64" s="78">
        <f>RSeed!AI64*(1-(MOVE!$Q$6/RSeed!AI64))</f>
        <v>1E-3</v>
      </c>
      <c r="AJ64" s="78">
        <f>RSeed!AJ64*(1-(MOVE!$Q$6/RSeed!AJ64))</f>
        <v>1E-3</v>
      </c>
      <c r="AK64" s="78">
        <f>RSeed!AK64*(1-(MOVE!$Q$6/RSeed!AK64))</f>
        <v>1E-3</v>
      </c>
      <c r="AL64" s="78">
        <f>RSeed!AL64*(1-(MOVE!$Q$6/RSeed!AL64))</f>
        <v>1E-3</v>
      </c>
      <c r="AM64" s="78">
        <f>RSeed!AM64*(1-(MOVE!$Q$6/RSeed!AM64))</f>
        <v>1E-3</v>
      </c>
      <c r="AN64" s="78">
        <f>RSeed!AN64*(1-(MOVE!$Q$6/RSeed!AN64))</f>
        <v>1E-3</v>
      </c>
      <c r="AO64" s="78">
        <f>RSeed!AO64*(1-(MOVE!$Q$6/RSeed!AO64))</f>
        <v>1E-3</v>
      </c>
      <c r="AP64" s="78">
        <f>RSeed!AP64*(1-(MOVE!$Q$6/RSeed!AP64))</f>
        <v>1E-3</v>
      </c>
      <c r="AQ64" s="79">
        <f>RSeed!AQ64*(1-(MOVE!$Q$6/RSeed!AQ64))</f>
        <v>1E-3</v>
      </c>
      <c r="AR64" s="92">
        <f>RSeed!AR64*(1-(MOVE!$X$6/RSeed!AR64))</f>
        <v>1.2507578750764589E-2</v>
      </c>
      <c r="AS64" s="86">
        <f>RSeed!AS64*(1-(MOVE!$X$6/RSeed!AS64))</f>
        <v>1.2507578750764589E-2</v>
      </c>
      <c r="AT64" s="86">
        <f>RSeed!AT64*(1-(MOVE!$X$6/RSeed!AT64))</f>
        <v>1.2507578750764589E-2</v>
      </c>
      <c r="AU64" s="86">
        <f>RSeed!AU64*(1-(MOVE!$X$6/RSeed!AU64))</f>
        <v>1.2507578750764589E-2</v>
      </c>
      <c r="AV64" s="86">
        <f>RSeed!AV64*(1-(MOVE!$X$6/RSeed!AV64))</f>
        <v>1.2507578750764589E-2</v>
      </c>
      <c r="AW64" s="86">
        <f>RSeed!AW64*(1-(MOVE!$X$6/RSeed!AW64))</f>
        <v>1.2507578750764589E-2</v>
      </c>
      <c r="AX64" s="86">
        <f>RSeed!AX64*(1-(MOVE!$X$6/RSeed!AX64))</f>
        <v>1.2507578750764589E-2</v>
      </c>
      <c r="AY64" s="87">
        <f>RSeed!AY64*(1-(MOVE!$X$6/RSeed!AY64))</f>
        <v>1.2507578750764589E-2</v>
      </c>
      <c r="AZ64" s="72">
        <f>RSeed!AZ64*(1-(MOVE!$X$6/RSeed!AZ64))</f>
        <v>1.2507578750764589E-2</v>
      </c>
      <c r="BA64" s="35">
        <v>46</v>
      </c>
    </row>
    <row r="65" spans="2:53" x14ac:dyDescent="0.2">
      <c r="B65" s="34">
        <v>47</v>
      </c>
      <c r="C65" s="72">
        <f>RSeed!C65*(1-(MOVE!$Q$6/RSeed!C65))</f>
        <v>1E-3</v>
      </c>
      <c r="D65" s="77">
        <f>RSeed!D65*(1-(MOVE!$Q$6/RSeed!D65))</f>
        <v>1E-3</v>
      </c>
      <c r="E65" s="78">
        <f>RSeed!E65*(1-(MOVE!$Q$6/RSeed!E65))</f>
        <v>1E-3</v>
      </c>
      <c r="F65" s="78">
        <f>RSeed!F65*(1-(MOVE!$Q$6/RSeed!F65))</f>
        <v>1E-3</v>
      </c>
      <c r="G65" s="78">
        <f>RSeed!G65*(1-(MOVE!$Q$6/RSeed!G65))</f>
        <v>1E-3</v>
      </c>
      <c r="H65" s="78">
        <f>RSeed!H65*(1-(MOVE!$Q$6/RSeed!H65))</f>
        <v>1E-3</v>
      </c>
      <c r="I65" s="78">
        <f>RSeed!I65*(1-(MOVE!$Q$6/RSeed!I65))</f>
        <v>1E-3</v>
      </c>
      <c r="J65" s="78">
        <f>RSeed!J65*(1-(MOVE!$Q$6/RSeed!J65))</f>
        <v>1E-3</v>
      </c>
      <c r="K65" s="78">
        <f>RSeed!K65*(1-(MOVE!$Q$6/RSeed!K65))</f>
        <v>1E-3</v>
      </c>
      <c r="L65" s="78">
        <f>RSeed!L65*(1-(MOVE!$Q$6/RSeed!L65))</f>
        <v>1E-3</v>
      </c>
      <c r="M65" s="78">
        <f>RSeed!M65*(1-(MOVE!$Q$6/RSeed!M65))</f>
        <v>1E-3</v>
      </c>
      <c r="N65" s="78">
        <f>RSeed!N65*(1-(MOVE!$Q$6/RSeed!N65))</f>
        <v>1E-3</v>
      </c>
      <c r="O65" s="78">
        <f>RSeed!O65*(1-(MOVE!$Q$6/RSeed!O65))</f>
        <v>1E-3</v>
      </c>
      <c r="P65" s="78">
        <f>RSeed!P65*(1-(MOVE!$Q$6/RSeed!P65))</f>
        <v>1E-3</v>
      </c>
      <c r="Q65" s="78">
        <f>RSeed!Q65*(1-(MOVE!$Q$6/RSeed!Q65))</f>
        <v>1E-3</v>
      </c>
      <c r="R65" s="78">
        <f>RSeed!R65*(1-(MOVE!$Q$6/RSeed!R65))</f>
        <v>1E-3</v>
      </c>
      <c r="S65" s="78">
        <f>RSeed!S65*(1-(MOVE!$Q$6/RSeed!S65))</f>
        <v>1E-3</v>
      </c>
      <c r="T65" s="78">
        <f>RSeed!T65*(1-(MOVE!$Q$6/RSeed!T65))</f>
        <v>1E-3</v>
      </c>
      <c r="U65" s="78">
        <f>RSeed!U65*(1-(MOVE!$Q$6/RSeed!U65))</f>
        <v>1E-3</v>
      </c>
      <c r="V65" s="78">
        <f>RSeed!V65*(1-(MOVE!$Q$6/RSeed!V65))</f>
        <v>1E-3</v>
      </c>
      <c r="W65" s="78">
        <f>RSeed!W65*(1-(MOVE!$Q$6/RSeed!W65))</f>
        <v>1E-3</v>
      </c>
      <c r="X65" s="78">
        <f>RSeed!X65*(1-(MOVE!$Q$6/RSeed!X65))</f>
        <v>1E-3</v>
      </c>
      <c r="Y65" s="78">
        <f>RSeed!Y65*(1-(MOVE!$Q$6/RSeed!Y65))</f>
        <v>1E-3</v>
      </c>
      <c r="Z65" s="78">
        <f>RSeed!Z65*(1-(MOVE!$Q$6/RSeed!Z65))</f>
        <v>1E-3</v>
      </c>
      <c r="AA65" s="78">
        <f>RSeed!AA65*(1-(MOVE!$Q$6/RSeed!AA65))</f>
        <v>1E-3</v>
      </c>
      <c r="AB65" s="78">
        <f>RSeed!AB65*(1-(MOVE!$Q$6/RSeed!AB65))</f>
        <v>1E-3</v>
      </c>
      <c r="AC65" s="78">
        <f>RSeed!AC65*(1-(MOVE!$Q$6/RSeed!AC65))</f>
        <v>1E-3</v>
      </c>
      <c r="AD65" s="78">
        <f>RSeed!AD65*(1-(MOVE!$Q$6/RSeed!AD65))</f>
        <v>1E-3</v>
      </c>
      <c r="AE65" s="78">
        <f>RSeed!AE65*(1-(MOVE!$Q$6/RSeed!AE65))</f>
        <v>1E-3</v>
      </c>
      <c r="AF65" s="78">
        <f>RSeed!AF65*(1-(MOVE!$Q$6/RSeed!AF65))</f>
        <v>1E-3</v>
      </c>
      <c r="AG65" s="78">
        <f>RSeed!AG65*(1-(MOVE!$Q$6/RSeed!AG65))</f>
        <v>1E-3</v>
      </c>
      <c r="AH65" s="78">
        <f>RSeed!AH65*(1-(MOVE!$Q$6/RSeed!AH65))</f>
        <v>1E-3</v>
      </c>
      <c r="AI65" s="78">
        <f>RSeed!AI65*(1-(MOVE!$Q$6/RSeed!AI65))</f>
        <v>1E-3</v>
      </c>
      <c r="AJ65" s="78">
        <f>RSeed!AJ65*(1-(MOVE!$Q$6/RSeed!AJ65))</f>
        <v>1E-3</v>
      </c>
      <c r="AK65" s="78">
        <f>RSeed!AK65*(1-(MOVE!$Q$6/RSeed!AK65))</f>
        <v>1E-3</v>
      </c>
      <c r="AL65" s="78">
        <f>RSeed!AL65*(1-(MOVE!$Q$6/RSeed!AL65))</f>
        <v>1E-3</v>
      </c>
      <c r="AM65" s="78">
        <f>RSeed!AM65*(1-(MOVE!$Q$6/RSeed!AM65))</f>
        <v>1E-3</v>
      </c>
      <c r="AN65" s="78">
        <f>RSeed!AN65*(1-(MOVE!$Q$6/RSeed!AN65))</f>
        <v>1E-3</v>
      </c>
      <c r="AO65" s="78">
        <f>RSeed!AO65*(1-(MOVE!$Q$6/RSeed!AO65))</f>
        <v>1E-3</v>
      </c>
      <c r="AP65" s="78">
        <f>RSeed!AP65*(1-(MOVE!$Q$6/RSeed!AP65))</f>
        <v>1E-3</v>
      </c>
      <c r="AQ65" s="79">
        <f>RSeed!AQ65*(1-(MOVE!$Q$6/RSeed!AQ65))</f>
        <v>1E-3</v>
      </c>
      <c r="AR65" s="92">
        <f>RSeed!AR65*(1-(MOVE!$X$6/RSeed!AR65))</f>
        <v>1.2507578750764589E-2</v>
      </c>
      <c r="AS65" s="86">
        <f>RSeed!AS65*(1-(MOVE!$X$6/RSeed!AS65))</f>
        <v>1.2507578750764589E-2</v>
      </c>
      <c r="AT65" s="86">
        <f>RSeed!AT65*(1-(MOVE!$X$6/RSeed!AT65))</f>
        <v>1.2507578750764589E-2</v>
      </c>
      <c r="AU65" s="86">
        <f>RSeed!AU65*(1-(MOVE!$X$6/RSeed!AU65))</f>
        <v>1.2507578750764589E-2</v>
      </c>
      <c r="AV65" s="86">
        <f>RSeed!AV65*(1-(MOVE!$X$6/RSeed!AV65))</f>
        <v>1.2507578750764589E-2</v>
      </c>
      <c r="AW65" s="86">
        <f>RSeed!AW65*(1-(MOVE!$X$6/RSeed!AW65))</f>
        <v>1.2507578750764589E-2</v>
      </c>
      <c r="AX65" s="86">
        <f>RSeed!AX65*(1-(MOVE!$X$6/RSeed!AX65))</f>
        <v>1.2507578750764589E-2</v>
      </c>
      <c r="AY65" s="87">
        <f>RSeed!AY65*(1-(MOVE!$X$6/RSeed!AY65))</f>
        <v>1.2507578750764589E-2</v>
      </c>
      <c r="AZ65" s="72">
        <f>RSeed!AZ65*(1-(MOVE!$X$6/RSeed!AZ65))</f>
        <v>1.2507578750764589E-2</v>
      </c>
      <c r="BA65" s="35">
        <v>47</v>
      </c>
    </row>
    <row r="66" spans="2:53" x14ac:dyDescent="0.2">
      <c r="B66" s="34">
        <v>48</v>
      </c>
      <c r="C66" s="72">
        <f>RSeed!C66*(1-(MOVE!$Q$6/RSeed!C66))</f>
        <v>1E-3</v>
      </c>
      <c r="D66" s="77">
        <f>RSeed!D66*(1-(MOVE!$Q$6/RSeed!D66))</f>
        <v>1E-3</v>
      </c>
      <c r="E66" s="78">
        <f>RSeed!E66*(1-(MOVE!$Q$6/RSeed!E66))</f>
        <v>1E-3</v>
      </c>
      <c r="F66" s="78">
        <f>RSeed!F66*(1-(MOVE!$Q$6/RSeed!F66))</f>
        <v>1E-3</v>
      </c>
      <c r="G66" s="78">
        <f>RSeed!G66*(1-(MOVE!$Q$6/RSeed!G66))</f>
        <v>1E-3</v>
      </c>
      <c r="H66" s="78">
        <f>RSeed!H66*(1-(MOVE!$Q$6/RSeed!H66))</f>
        <v>1E-3</v>
      </c>
      <c r="I66" s="78">
        <f>RSeed!I66*(1-(MOVE!$Q$6/RSeed!I66))</f>
        <v>1E-3</v>
      </c>
      <c r="J66" s="78">
        <f>RSeed!J66*(1-(MOVE!$Q$6/RSeed!J66))</f>
        <v>1E-3</v>
      </c>
      <c r="K66" s="78">
        <f>RSeed!K66*(1-(MOVE!$Q$6/RSeed!K66))</f>
        <v>1E-3</v>
      </c>
      <c r="L66" s="78">
        <f>RSeed!L66*(1-(MOVE!$Q$6/RSeed!L66))</f>
        <v>1E-3</v>
      </c>
      <c r="M66" s="78">
        <f>RSeed!M66*(1-(MOVE!$Q$6/RSeed!M66))</f>
        <v>1E-3</v>
      </c>
      <c r="N66" s="78">
        <f>RSeed!N66*(1-(MOVE!$Q$6/RSeed!N66))</f>
        <v>1E-3</v>
      </c>
      <c r="O66" s="78">
        <f>RSeed!O66*(1-(MOVE!$Q$6/RSeed!O66))</f>
        <v>1E-3</v>
      </c>
      <c r="P66" s="78">
        <f>RSeed!P66*(1-(MOVE!$Q$6/RSeed!P66))</f>
        <v>1E-3</v>
      </c>
      <c r="Q66" s="78">
        <f>RSeed!Q66*(1-(MOVE!$Q$6/RSeed!Q66))</f>
        <v>1E-3</v>
      </c>
      <c r="R66" s="78">
        <f>RSeed!R66*(1-(MOVE!$Q$6/RSeed!R66))</f>
        <v>1E-3</v>
      </c>
      <c r="S66" s="78">
        <f>RSeed!S66*(1-(MOVE!$Q$6/RSeed!S66))</f>
        <v>1E-3</v>
      </c>
      <c r="T66" s="78">
        <f>RSeed!T66*(1-(MOVE!$Q$6/RSeed!T66))</f>
        <v>1E-3</v>
      </c>
      <c r="U66" s="78">
        <f>RSeed!U66*(1-(MOVE!$Q$6/RSeed!U66))</f>
        <v>1E-3</v>
      </c>
      <c r="V66" s="78">
        <f>RSeed!V66*(1-(MOVE!$Q$6/RSeed!V66))</f>
        <v>1E-3</v>
      </c>
      <c r="W66" s="78">
        <f>RSeed!W66*(1-(MOVE!$Q$6/RSeed!W66))</f>
        <v>1E-3</v>
      </c>
      <c r="X66" s="78">
        <f>RSeed!X66*(1-(MOVE!$Q$6/RSeed!X66))</f>
        <v>1E-3</v>
      </c>
      <c r="Y66" s="78">
        <f>RSeed!Y66*(1-(MOVE!$Q$6/RSeed!Y66))</f>
        <v>1E-3</v>
      </c>
      <c r="Z66" s="78">
        <f>RSeed!Z66*(1-(MOVE!$Q$6/RSeed!Z66))</f>
        <v>1E-3</v>
      </c>
      <c r="AA66" s="78">
        <f>RSeed!AA66*(1-(MOVE!$Q$6/RSeed!AA66))</f>
        <v>1E-3</v>
      </c>
      <c r="AB66" s="78">
        <f>RSeed!AB66*(1-(MOVE!$Q$6/RSeed!AB66))</f>
        <v>1E-3</v>
      </c>
      <c r="AC66" s="78">
        <f>RSeed!AC66*(1-(MOVE!$Q$6/RSeed!AC66))</f>
        <v>1E-3</v>
      </c>
      <c r="AD66" s="78">
        <f>RSeed!AD66*(1-(MOVE!$Q$6/RSeed!AD66))</f>
        <v>1E-3</v>
      </c>
      <c r="AE66" s="78">
        <f>RSeed!AE66*(1-(MOVE!$Q$6/RSeed!AE66))</f>
        <v>1E-3</v>
      </c>
      <c r="AF66" s="78">
        <f>RSeed!AF66*(1-(MOVE!$Q$6/RSeed!AF66))</f>
        <v>1E-3</v>
      </c>
      <c r="AG66" s="78">
        <f>RSeed!AG66*(1-(MOVE!$Q$6/RSeed!AG66))</f>
        <v>1E-3</v>
      </c>
      <c r="AH66" s="78">
        <f>RSeed!AH66*(1-(MOVE!$Q$6/RSeed!AH66))</f>
        <v>1E-3</v>
      </c>
      <c r="AI66" s="78">
        <f>RSeed!AI66*(1-(MOVE!$Q$6/RSeed!AI66))</f>
        <v>1E-3</v>
      </c>
      <c r="AJ66" s="78">
        <f>RSeed!AJ66*(1-(MOVE!$Q$6/RSeed!AJ66))</f>
        <v>1E-3</v>
      </c>
      <c r="AK66" s="78">
        <f>RSeed!AK66*(1-(MOVE!$Q$6/RSeed!AK66))</f>
        <v>1E-3</v>
      </c>
      <c r="AL66" s="78">
        <f>RSeed!AL66*(1-(MOVE!$Q$6/RSeed!AL66))</f>
        <v>1E-3</v>
      </c>
      <c r="AM66" s="78">
        <f>RSeed!AM66*(1-(MOVE!$Q$6/RSeed!AM66))</f>
        <v>1E-3</v>
      </c>
      <c r="AN66" s="78">
        <f>RSeed!AN66*(1-(MOVE!$Q$6/RSeed!AN66))</f>
        <v>1E-3</v>
      </c>
      <c r="AO66" s="78">
        <f>RSeed!AO66*(1-(MOVE!$Q$6/RSeed!AO66))</f>
        <v>1E-3</v>
      </c>
      <c r="AP66" s="78">
        <f>RSeed!AP66*(1-(MOVE!$Q$6/RSeed!AP66))</f>
        <v>1E-3</v>
      </c>
      <c r="AQ66" s="79">
        <f>RSeed!AQ66*(1-(MOVE!$Q$6/RSeed!AQ66))</f>
        <v>1E-3</v>
      </c>
      <c r="AR66" s="92">
        <f>RSeed!AR66*(1-(MOVE!$X$6/RSeed!AR66))</f>
        <v>1.2507578750764589E-2</v>
      </c>
      <c r="AS66" s="86">
        <f>RSeed!AS66*(1-(MOVE!$X$6/RSeed!AS66))</f>
        <v>1.2507578750764589E-2</v>
      </c>
      <c r="AT66" s="86">
        <f>RSeed!AT66*(1-(MOVE!$X$6/RSeed!AT66))</f>
        <v>1.2507578750764589E-2</v>
      </c>
      <c r="AU66" s="86">
        <f>RSeed!AU66*(1-(MOVE!$X$6/RSeed!AU66))</f>
        <v>1.2507578750764589E-2</v>
      </c>
      <c r="AV66" s="86">
        <f>RSeed!AV66*(1-(MOVE!$X$6/RSeed!AV66))</f>
        <v>1.2507578750764589E-2</v>
      </c>
      <c r="AW66" s="86">
        <f>RSeed!AW66*(1-(MOVE!$X$6/RSeed!AW66))</f>
        <v>1.2507578750764589E-2</v>
      </c>
      <c r="AX66" s="86">
        <f>RSeed!AX66*(1-(MOVE!$X$6/RSeed!AX66))</f>
        <v>1.2507578750764589E-2</v>
      </c>
      <c r="AY66" s="87">
        <f>RSeed!AY66*(1-(MOVE!$X$6/RSeed!AY66))</f>
        <v>1.2507578750764589E-2</v>
      </c>
      <c r="AZ66" s="72">
        <f>RSeed!AZ66*(1-(MOVE!$X$6/RSeed!AZ66))</f>
        <v>1.2507578750764589E-2</v>
      </c>
      <c r="BA66" s="35">
        <v>48</v>
      </c>
    </row>
    <row r="67" spans="2:53" x14ac:dyDescent="0.2">
      <c r="B67" s="34">
        <v>49</v>
      </c>
      <c r="C67" s="72">
        <f>RSeed!C67*(1-(MOVE!$Q$6/RSeed!C67))</f>
        <v>1E-3</v>
      </c>
      <c r="D67" s="80">
        <f>RSeed!D67*(1-(MOVE!$Q$6/RSeed!D67))</f>
        <v>1E-3</v>
      </c>
      <c r="E67" s="81">
        <f>RSeed!E67*(1-(MOVE!$Q$6/RSeed!E67))</f>
        <v>1E-3</v>
      </c>
      <c r="F67" s="81">
        <f>RSeed!F67*(1-(MOVE!$Q$6/RSeed!F67))</f>
        <v>1E-3</v>
      </c>
      <c r="G67" s="81">
        <f>RSeed!G67*(1-(MOVE!$Q$6/RSeed!G67))</f>
        <v>1E-3</v>
      </c>
      <c r="H67" s="81">
        <f>RSeed!H67*(1-(MOVE!$Q$6/RSeed!H67))</f>
        <v>1E-3</v>
      </c>
      <c r="I67" s="81">
        <f>RSeed!I67*(1-(MOVE!$Q$6/RSeed!I67))</f>
        <v>1E-3</v>
      </c>
      <c r="J67" s="81">
        <f>RSeed!J67*(1-(MOVE!$Q$6/RSeed!J67))</f>
        <v>1E-3</v>
      </c>
      <c r="K67" s="81">
        <f>RSeed!K67*(1-(MOVE!$Q$6/RSeed!K67))</f>
        <v>1E-3</v>
      </c>
      <c r="L67" s="81">
        <f>RSeed!L67*(1-(MOVE!$Q$6/RSeed!L67))</f>
        <v>1E-3</v>
      </c>
      <c r="M67" s="81">
        <f>RSeed!M67*(1-(MOVE!$Q$6/RSeed!M67))</f>
        <v>1E-3</v>
      </c>
      <c r="N67" s="81">
        <f>RSeed!N67*(1-(MOVE!$Q$6/RSeed!N67))</f>
        <v>1E-3</v>
      </c>
      <c r="O67" s="81">
        <f>RSeed!O67*(1-(MOVE!$Q$6/RSeed!O67))</f>
        <v>1E-3</v>
      </c>
      <c r="P67" s="81">
        <f>RSeed!P67*(1-(MOVE!$Q$6/RSeed!P67))</f>
        <v>1E-3</v>
      </c>
      <c r="Q67" s="81">
        <f>RSeed!Q67*(1-(MOVE!$Q$6/RSeed!Q67))</f>
        <v>1E-3</v>
      </c>
      <c r="R67" s="81">
        <f>RSeed!R67*(1-(MOVE!$Q$6/RSeed!R67))</f>
        <v>1E-3</v>
      </c>
      <c r="S67" s="81">
        <f>RSeed!S67*(1-(MOVE!$Q$6/RSeed!S67))</f>
        <v>1E-3</v>
      </c>
      <c r="T67" s="81">
        <f>RSeed!T67*(1-(MOVE!$Q$6/RSeed!T67))</f>
        <v>1E-3</v>
      </c>
      <c r="U67" s="81">
        <f>RSeed!U67*(1-(MOVE!$Q$6/RSeed!U67))</f>
        <v>1E-3</v>
      </c>
      <c r="V67" s="81">
        <f>RSeed!V67*(1-(MOVE!$Q$6/RSeed!V67))</f>
        <v>1E-3</v>
      </c>
      <c r="W67" s="81">
        <f>RSeed!W67*(1-(MOVE!$Q$6/RSeed!W67))</f>
        <v>1E-3</v>
      </c>
      <c r="X67" s="81">
        <f>RSeed!X67*(1-(MOVE!$Q$6/RSeed!X67))</f>
        <v>1E-3</v>
      </c>
      <c r="Y67" s="81">
        <f>RSeed!Y67*(1-(MOVE!$Q$6/RSeed!Y67))</f>
        <v>1E-3</v>
      </c>
      <c r="Z67" s="81">
        <f>RSeed!Z67*(1-(MOVE!$Q$6/RSeed!Z67))</f>
        <v>1E-3</v>
      </c>
      <c r="AA67" s="81">
        <f>RSeed!AA67*(1-(MOVE!$Q$6/RSeed!AA67))</f>
        <v>1E-3</v>
      </c>
      <c r="AB67" s="81">
        <f>RSeed!AB67*(1-(MOVE!$Q$6/RSeed!AB67))</f>
        <v>1E-3</v>
      </c>
      <c r="AC67" s="81">
        <f>RSeed!AC67*(1-(MOVE!$Q$6/RSeed!AC67))</f>
        <v>1E-3</v>
      </c>
      <c r="AD67" s="81">
        <f>RSeed!AD67*(1-(MOVE!$Q$6/RSeed!AD67))</f>
        <v>1E-3</v>
      </c>
      <c r="AE67" s="81">
        <f>RSeed!AE67*(1-(MOVE!$Q$6/RSeed!AE67))</f>
        <v>1E-3</v>
      </c>
      <c r="AF67" s="81">
        <f>RSeed!AF67*(1-(MOVE!$Q$6/RSeed!AF67))</f>
        <v>1E-3</v>
      </c>
      <c r="AG67" s="81">
        <f>RSeed!AG67*(1-(MOVE!$Q$6/RSeed!AG67))</f>
        <v>1E-3</v>
      </c>
      <c r="AH67" s="81">
        <f>RSeed!AH67*(1-(MOVE!$Q$6/RSeed!AH67))</f>
        <v>1E-3</v>
      </c>
      <c r="AI67" s="81">
        <f>RSeed!AI67*(1-(MOVE!$Q$6/RSeed!AI67))</f>
        <v>1E-3</v>
      </c>
      <c r="AJ67" s="81">
        <f>RSeed!AJ67*(1-(MOVE!$Q$6/RSeed!AJ67))</f>
        <v>1E-3</v>
      </c>
      <c r="AK67" s="81">
        <f>RSeed!AK67*(1-(MOVE!$Q$6/RSeed!AK67))</f>
        <v>1E-3</v>
      </c>
      <c r="AL67" s="81">
        <f>RSeed!AL67*(1-(MOVE!$Q$6/RSeed!AL67))</f>
        <v>1E-3</v>
      </c>
      <c r="AM67" s="81">
        <f>RSeed!AM67*(1-(MOVE!$Q$6/RSeed!AM67))</f>
        <v>1E-3</v>
      </c>
      <c r="AN67" s="81">
        <f>RSeed!AN67*(1-(MOVE!$Q$6/RSeed!AN67))</f>
        <v>1E-3</v>
      </c>
      <c r="AO67" s="81">
        <f>RSeed!AO67*(1-(MOVE!$Q$6/RSeed!AO67))</f>
        <v>1E-3</v>
      </c>
      <c r="AP67" s="81">
        <f>RSeed!AP67*(1-(MOVE!$Q$6/RSeed!AP67))</f>
        <v>1E-3</v>
      </c>
      <c r="AQ67" s="82">
        <f>RSeed!AQ67*(1-(MOVE!$Q$6/RSeed!AQ67))</f>
        <v>1E-3</v>
      </c>
      <c r="AR67" s="93">
        <f>RSeed!AR67*(1-(MOVE!$X$6/RSeed!AR67))</f>
        <v>1.2507578750764589E-2</v>
      </c>
      <c r="AS67" s="88">
        <f>RSeed!AS67*(1-(MOVE!$X$6/RSeed!AS67))</f>
        <v>1.2507578750764589E-2</v>
      </c>
      <c r="AT67" s="88">
        <f>RSeed!AT67*(1-(MOVE!$X$6/RSeed!AT67))</f>
        <v>1.2507578750764589E-2</v>
      </c>
      <c r="AU67" s="88">
        <f>RSeed!AU67*(1-(MOVE!$X$6/RSeed!AU67))</f>
        <v>1.2507578750764589E-2</v>
      </c>
      <c r="AV67" s="88">
        <f>RSeed!AV67*(1-(MOVE!$X$6/RSeed!AV67))</f>
        <v>1.2507578750764589E-2</v>
      </c>
      <c r="AW67" s="88">
        <f>RSeed!AW67*(1-(MOVE!$X$6/RSeed!AW67))</f>
        <v>1.2507578750764589E-2</v>
      </c>
      <c r="AX67" s="88">
        <f>RSeed!AX67*(1-(MOVE!$X$6/RSeed!AX67))</f>
        <v>1.2507578750764589E-2</v>
      </c>
      <c r="AY67" s="89">
        <f>RSeed!AY67*(1-(MOVE!$X$6/RSeed!AY67))</f>
        <v>1.2507578750764589E-2</v>
      </c>
      <c r="AZ67" s="72">
        <f>RSeed!AZ67*(1-(MOVE!$X$6/RSeed!AZ67))</f>
        <v>1.2507578750764589E-2</v>
      </c>
      <c r="BA67" s="35">
        <v>49</v>
      </c>
    </row>
    <row r="68" spans="2:53" x14ac:dyDescent="0.2">
      <c r="B68" s="34">
        <v>50</v>
      </c>
      <c r="C68" s="73">
        <f>RSeed!C68*(1-(MOVE!$Q$6/RSeed!C68))</f>
        <v>1E-3</v>
      </c>
      <c r="D68" s="70">
        <f>RSeed!D68*(1-(MOVE!$Q$6/RSeed!D68))</f>
        <v>1E-3</v>
      </c>
      <c r="E68" s="70">
        <f>RSeed!E68*(1-(MOVE!$Q$6/RSeed!E68))</f>
        <v>1E-3</v>
      </c>
      <c r="F68" s="70">
        <f>RSeed!F68*(1-(MOVE!$Q$6/RSeed!F68))</f>
        <v>1E-3</v>
      </c>
      <c r="G68" s="70">
        <f>RSeed!G68*(1-(MOVE!$Q$6/RSeed!G68))</f>
        <v>1E-3</v>
      </c>
      <c r="H68" s="70">
        <f>RSeed!H68*(1-(MOVE!$Q$6/RSeed!H68))</f>
        <v>1E-3</v>
      </c>
      <c r="I68" s="70">
        <f>RSeed!I68*(1-(MOVE!$Q$6/RSeed!I68))</f>
        <v>1E-3</v>
      </c>
      <c r="J68" s="70">
        <f>RSeed!J68*(1-(MOVE!$Q$6/RSeed!J68))</f>
        <v>1E-3</v>
      </c>
      <c r="K68" s="70">
        <f>RSeed!K68*(1-(MOVE!$Q$6/RSeed!K68))</f>
        <v>1E-3</v>
      </c>
      <c r="L68" s="70">
        <f>RSeed!L68*(1-(MOVE!$Q$6/RSeed!L68))</f>
        <v>1E-3</v>
      </c>
      <c r="M68" s="70">
        <f>RSeed!M68*(1-(MOVE!$Q$6/RSeed!M68))</f>
        <v>1E-3</v>
      </c>
      <c r="N68" s="70">
        <f>RSeed!N68*(1-(MOVE!$Q$6/RSeed!N68))</f>
        <v>1E-3</v>
      </c>
      <c r="O68" s="70">
        <f>RSeed!O68*(1-(MOVE!$Q$6/RSeed!O68))</f>
        <v>1E-3</v>
      </c>
      <c r="P68" s="70">
        <f>RSeed!P68*(1-(MOVE!$Q$6/RSeed!P68))</f>
        <v>1E-3</v>
      </c>
      <c r="Q68" s="70">
        <f>RSeed!Q68*(1-(MOVE!$Q$6/RSeed!Q68))</f>
        <v>1E-3</v>
      </c>
      <c r="R68" s="70">
        <f>RSeed!R68*(1-(MOVE!$Q$6/RSeed!R68))</f>
        <v>1E-3</v>
      </c>
      <c r="S68" s="70">
        <f>RSeed!S68*(1-(MOVE!$Q$6/RSeed!S68))</f>
        <v>1E-3</v>
      </c>
      <c r="T68" s="70">
        <f>RSeed!T68*(1-(MOVE!$Q$6/RSeed!T68))</f>
        <v>1E-3</v>
      </c>
      <c r="U68" s="70">
        <f>RSeed!U68*(1-(MOVE!$Q$6/RSeed!U68))</f>
        <v>1E-3</v>
      </c>
      <c r="V68" s="70">
        <f>RSeed!V68*(1-(MOVE!$Q$6/RSeed!V68))</f>
        <v>1E-3</v>
      </c>
      <c r="W68" s="70">
        <f>RSeed!W68*(1-(MOVE!$Q$6/RSeed!W68))</f>
        <v>1E-3</v>
      </c>
      <c r="X68" s="70">
        <f>RSeed!X68*(1-(MOVE!$Q$6/RSeed!X68))</f>
        <v>1E-3</v>
      </c>
      <c r="Y68" s="70">
        <f>RSeed!Y68*(1-(MOVE!$Q$6/RSeed!Y68))</f>
        <v>1E-3</v>
      </c>
      <c r="Z68" s="70">
        <f>RSeed!Z68*(1-(MOVE!$Q$6/RSeed!Z68))</f>
        <v>1E-3</v>
      </c>
      <c r="AA68" s="70">
        <f>RSeed!AA68*(1-(MOVE!$Q$6/RSeed!AA68))</f>
        <v>1E-3</v>
      </c>
      <c r="AB68" s="70">
        <f>RSeed!AB68*(1-(MOVE!$Q$6/RSeed!AB68))</f>
        <v>1E-3</v>
      </c>
      <c r="AC68" s="70">
        <f>RSeed!AC68*(1-(MOVE!$Q$6/RSeed!AC68))</f>
        <v>1E-3</v>
      </c>
      <c r="AD68" s="70">
        <f>RSeed!AD68*(1-(MOVE!$Q$6/RSeed!AD68))</f>
        <v>1E-3</v>
      </c>
      <c r="AE68" s="70">
        <f>RSeed!AE68*(1-(MOVE!$Q$6/RSeed!AE68))</f>
        <v>1E-3</v>
      </c>
      <c r="AF68" s="70">
        <f>RSeed!AF68*(1-(MOVE!$Q$6/RSeed!AF68))</f>
        <v>1E-3</v>
      </c>
      <c r="AG68" s="70">
        <f>RSeed!AG68*(1-(MOVE!$Q$6/RSeed!AG68))</f>
        <v>1E-3</v>
      </c>
      <c r="AH68" s="70">
        <f>RSeed!AH68*(1-(MOVE!$Q$6/RSeed!AH68))</f>
        <v>1E-3</v>
      </c>
      <c r="AI68" s="70">
        <f>RSeed!AI68*(1-(MOVE!$Q$6/RSeed!AI68))</f>
        <v>1E-3</v>
      </c>
      <c r="AJ68" s="70">
        <f>RSeed!AJ68*(1-(MOVE!$Q$6/RSeed!AJ68))</f>
        <v>1E-3</v>
      </c>
      <c r="AK68" s="70">
        <f>RSeed!AK68*(1-(MOVE!$Q$6/RSeed!AK68))</f>
        <v>1E-3</v>
      </c>
      <c r="AL68" s="70">
        <f>RSeed!AL68*(1-(MOVE!$Q$6/RSeed!AL68))</f>
        <v>1E-3</v>
      </c>
      <c r="AM68" s="70">
        <f>RSeed!AM68*(1-(MOVE!$Q$6/RSeed!AM68))</f>
        <v>1E-3</v>
      </c>
      <c r="AN68" s="70">
        <f>RSeed!AN68*(1-(MOVE!$Q$6/RSeed!AN68))</f>
        <v>1E-3</v>
      </c>
      <c r="AO68" s="70">
        <f>RSeed!AO68*(1-(MOVE!$Q$6/RSeed!AO68))</f>
        <v>1E-3</v>
      </c>
      <c r="AP68" s="70">
        <f>RSeed!AP68*(1-(MOVE!$Q$6/RSeed!AP68))</f>
        <v>1E-3</v>
      </c>
      <c r="AQ68" s="70">
        <f>RSeed!AQ68*(1-(MOVE!$Q$6/RSeed!AQ68))</f>
        <v>1E-3</v>
      </c>
      <c r="AR68" s="70">
        <f>RSeed!AR68*(1-(MOVE!$X$6/RSeed!AR68))</f>
        <v>1.2507578750764589E-2</v>
      </c>
      <c r="AS68" s="70">
        <f>RSeed!AS68*(1-(MOVE!$X$6/RSeed!AS68))</f>
        <v>1.2507578750764589E-2</v>
      </c>
      <c r="AT68" s="70">
        <f>RSeed!AT68*(1-(MOVE!$X$6/RSeed!AT68))</f>
        <v>1.2507578750764589E-2</v>
      </c>
      <c r="AU68" s="70">
        <f>RSeed!AU68*(1-(MOVE!$X$6/RSeed!AU68))</f>
        <v>1.2507578750764589E-2</v>
      </c>
      <c r="AV68" s="70">
        <f>RSeed!AV68*(1-(MOVE!$X$6/RSeed!AV68))</f>
        <v>1.2507578750764589E-2</v>
      </c>
      <c r="AW68" s="70">
        <f>RSeed!AW68*(1-(MOVE!$X$6/RSeed!AW68))</f>
        <v>1.2507578750764589E-2</v>
      </c>
      <c r="AX68" s="70">
        <f>RSeed!AX68*(1-(MOVE!$X$6/RSeed!AX68))</f>
        <v>1.2507578750764589E-2</v>
      </c>
      <c r="AY68" s="70">
        <f>RSeed!AY68*(1-(MOVE!$X$6/RSeed!AY68))</f>
        <v>1.2507578750764589E-2</v>
      </c>
      <c r="AZ68" s="90">
        <f>RSeed!AZ68*(1-(MOVE!$X$6/RSeed!AZ68))</f>
        <v>1.2507578750764589E-2</v>
      </c>
      <c r="BA68" s="35">
        <v>50</v>
      </c>
    </row>
    <row r="69" spans="2:53" x14ac:dyDescent="0.2">
      <c r="B69" s="36"/>
      <c r="C69" s="37">
        <v>1</v>
      </c>
      <c r="D69" s="37">
        <v>2</v>
      </c>
      <c r="E69" s="37">
        <v>3</v>
      </c>
      <c r="F69" s="37">
        <v>4</v>
      </c>
      <c r="G69" s="37">
        <v>5</v>
      </c>
      <c r="H69" s="37">
        <v>6</v>
      </c>
      <c r="I69" s="37">
        <v>7</v>
      </c>
      <c r="J69" s="37">
        <v>8</v>
      </c>
      <c r="K69" s="37">
        <v>9</v>
      </c>
      <c r="L69" s="37">
        <v>10</v>
      </c>
      <c r="M69" s="37">
        <v>11</v>
      </c>
      <c r="N69" s="37">
        <v>12</v>
      </c>
      <c r="O69" s="37">
        <v>13</v>
      </c>
      <c r="P69" s="37">
        <v>14</v>
      </c>
      <c r="Q69" s="37">
        <v>15</v>
      </c>
      <c r="R69" s="37">
        <v>16</v>
      </c>
      <c r="S69" s="37">
        <v>17</v>
      </c>
      <c r="T69" s="37">
        <v>18</v>
      </c>
      <c r="U69" s="37">
        <v>19</v>
      </c>
      <c r="V69" s="37">
        <v>20</v>
      </c>
      <c r="W69" s="37">
        <v>21</v>
      </c>
      <c r="X69" s="37">
        <v>22</v>
      </c>
      <c r="Y69" s="37">
        <v>23</v>
      </c>
      <c r="Z69" s="37">
        <v>24</v>
      </c>
      <c r="AA69" s="37">
        <v>25</v>
      </c>
      <c r="AB69" s="37">
        <v>26</v>
      </c>
      <c r="AC69" s="37">
        <v>27</v>
      </c>
      <c r="AD69" s="37">
        <v>28</v>
      </c>
      <c r="AE69" s="37">
        <v>29</v>
      </c>
      <c r="AF69" s="37">
        <v>30</v>
      </c>
      <c r="AG69" s="37">
        <v>31</v>
      </c>
      <c r="AH69" s="37">
        <v>32</v>
      </c>
      <c r="AI69" s="37">
        <v>33</v>
      </c>
      <c r="AJ69" s="37">
        <v>34</v>
      </c>
      <c r="AK69" s="37">
        <v>35</v>
      </c>
      <c r="AL69" s="37">
        <v>36</v>
      </c>
      <c r="AM69" s="37">
        <v>37</v>
      </c>
      <c r="AN69" s="37">
        <v>38</v>
      </c>
      <c r="AO69" s="37">
        <v>39</v>
      </c>
      <c r="AP69" s="37">
        <v>40</v>
      </c>
      <c r="AQ69" s="37">
        <v>41</v>
      </c>
      <c r="AR69" s="37">
        <v>42</v>
      </c>
      <c r="AS69" s="37">
        <v>43</v>
      </c>
      <c r="AT69" s="37">
        <v>44</v>
      </c>
      <c r="AU69" s="37">
        <v>45</v>
      </c>
      <c r="AV69" s="37">
        <v>46</v>
      </c>
      <c r="AW69" s="37">
        <v>47</v>
      </c>
      <c r="AX69" s="37">
        <v>48</v>
      </c>
      <c r="AY69" s="37">
        <v>49</v>
      </c>
      <c r="AZ69" s="37">
        <v>50</v>
      </c>
      <c r="BA69" s="38"/>
    </row>
  </sheetData>
  <pageMargins left="0.75" right="0.75" top="1" bottom="1" header="0.5" footer="0.5"/>
  <pageSetup paperSize="9" orientation="portrait" horizontalDpi="120" verticalDpi="144" copies="0" r:id="rId1"/>
  <headerFooter alignWithMargins="0">
    <oddHeader>&amp;A</oddHeader>
    <oddFooter>Page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BA69"/>
  <sheetViews>
    <sheetView topLeftCell="A5" zoomScale="75" workbookViewId="0">
      <selection activeCell="M22" sqref="M22"/>
    </sheetView>
  </sheetViews>
  <sheetFormatPr defaultColWidth="9.109375" defaultRowHeight="10.199999999999999" x14ac:dyDescent="0.2"/>
  <cols>
    <col min="1" max="2" width="4.6640625" style="3" customWidth="1"/>
    <col min="3" max="53" width="6.6640625" style="3" customWidth="1"/>
    <col min="54" max="16384" width="9.109375" style="3"/>
  </cols>
  <sheetData>
    <row r="1" spans="1:39" x14ac:dyDescent="0.2">
      <c r="A1" s="29" t="s">
        <v>10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69"/>
      <c r="V1" s="69"/>
      <c r="W1" s="69"/>
      <c r="X1" s="69"/>
      <c r="Y1" s="69"/>
      <c r="Z1" s="69"/>
      <c r="AA1" s="69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</row>
    <row r="2" spans="1:39" ht="11.4" x14ac:dyDescent="0.2"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69"/>
      <c r="V2" s="60" t="s">
        <v>16</v>
      </c>
      <c r="W2" s="61"/>
      <c r="X2" s="61"/>
      <c r="Y2" s="61"/>
      <c r="Z2" s="62"/>
      <c r="AA2" s="69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</row>
    <row r="3" spans="1:39" ht="11.4" x14ac:dyDescent="0.2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69"/>
      <c r="V3" s="54"/>
      <c r="W3" s="55"/>
      <c r="X3" s="55"/>
      <c r="Y3" s="55"/>
      <c r="Z3" s="56"/>
      <c r="AA3" s="69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</row>
    <row r="4" spans="1:39" ht="11.4" x14ac:dyDescent="0.2"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69"/>
      <c r="V4" s="54"/>
      <c r="W4" s="55"/>
      <c r="X4" s="55"/>
      <c r="Y4" s="55"/>
      <c r="Z4" s="56"/>
      <c r="AA4" s="69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</row>
    <row r="5" spans="1:39" ht="11.4" x14ac:dyDescent="0.2"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69"/>
      <c r="V5" s="54"/>
      <c r="W5" s="55"/>
      <c r="X5" s="55"/>
      <c r="Y5" s="55"/>
      <c r="Z5" s="56"/>
      <c r="AA5" s="69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</row>
    <row r="6" spans="1:39" ht="11.4" x14ac:dyDescent="0.2"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69"/>
      <c r="V6" s="54"/>
      <c r="W6" s="55"/>
      <c r="X6" s="55"/>
      <c r="Y6" s="55"/>
      <c r="Z6" s="56"/>
      <c r="AA6" s="69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</row>
    <row r="7" spans="1:39" ht="11.4" x14ac:dyDescent="0.2"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69"/>
      <c r="V7" s="54"/>
      <c r="W7" s="55"/>
      <c r="X7" s="55"/>
      <c r="Y7" s="55"/>
      <c r="Z7" s="56"/>
      <c r="AA7" s="69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</row>
    <row r="8" spans="1:39" ht="11.4" x14ac:dyDescent="0.2"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69"/>
      <c r="V8" s="54"/>
      <c r="W8" s="55"/>
      <c r="X8" s="55"/>
      <c r="Y8" s="55"/>
      <c r="Z8" s="56"/>
      <c r="AA8" s="69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</row>
    <row r="9" spans="1:39" ht="11.4" x14ac:dyDescent="0.2"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69"/>
      <c r="V9" s="54"/>
      <c r="W9" s="55"/>
      <c r="X9" s="55"/>
      <c r="Y9" s="55"/>
      <c r="Z9" s="56"/>
      <c r="AA9" s="69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</row>
    <row r="10" spans="1:39" ht="11.4" x14ac:dyDescent="0.2"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69"/>
      <c r="V10" s="63"/>
      <c r="W10" s="64"/>
      <c r="X10" s="64"/>
      <c r="Y10" s="64"/>
      <c r="Z10" s="65"/>
      <c r="AA10" s="69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</row>
    <row r="11" spans="1:39" x14ac:dyDescent="0.2"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69"/>
      <c r="V11" s="69"/>
      <c r="W11" s="69"/>
      <c r="X11" s="69"/>
      <c r="Y11" s="69"/>
      <c r="Z11" s="69"/>
      <c r="AA11" s="69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</row>
    <row r="12" spans="1:39" x14ac:dyDescent="0.2"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</row>
    <row r="13" spans="1:39" x14ac:dyDescent="0.2"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</row>
    <row r="14" spans="1:39" x14ac:dyDescent="0.2"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</row>
    <row r="15" spans="1:39" x14ac:dyDescent="0.2"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</row>
    <row r="16" spans="1:39" x14ac:dyDescent="0.2"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</row>
    <row r="17" spans="2:53" x14ac:dyDescent="0.2"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</row>
    <row r="18" spans="2:53" x14ac:dyDescent="0.2">
      <c r="B18" s="31"/>
      <c r="C18" s="32">
        <v>1</v>
      </c>
      <c r="D18" s="32">
        <v>2</v>
      </c>
      <c r="E18" s="32">
        <v>3</v>
      </c>
      <c r="F18" s="32">
        <v>4</v>
      </c>
      <c r="G18" s="32">
        <v>5</v>
      </c>
      <c r="H18" s="32">
        <v>6</v>
      </c>
      <c r="I18" s="32">
        <v>7</v>
      </c>
      <c r="J18" s="32">
        <v>8</v>
      </c>
      <c r="K18" s="32">
        <v>9</v>
      </c>
      <c r="L18" s="32">
        <v>10</v>
      </c>
      <c r="M18" s="32">
        <v>11</v>
      </c>
      <c r="N18" s="32">
        <v>12</v>
      </c>
      <c r="O18" s="32">
        <v>13</v>
      </c>
      <c r="P18" s="32">
        <v>14</v>
      </c>
      <c r="Q18" s="32">
        <v>15</v>
      </c>
      <c r="R18" s="32">
        <v>16</v>
      </c>
      <c r="S18" s="32">
        <v>17</v>
      </c>
      <c r="T18" s="32">
        <v>18</v>
      </c>
      <c r="U18" s="32">
        <v>19</v>
      </c>
      <c r="V18" s="32">
        <v>20</v>
      </c>
      <c r="W18" s="32">
        <v>21</v>
      </c>
      <c r="X18" s="32">
        <v>22</v>
      </c>
      <c r="Y18" s="32">
        <v>23</v>
      </c>
      <c r="Z18" s="32">
        <v>24</v>
      </c>
      <c r="AA18" s="32">
        <v>25</v>
      </c>
      <c r="AB18" s="32">
        <v>26</v>
      </c>
      <c r="AC18" s="32">
        <v>27</v>
      </c>
      <c r="AD18" s="32">
        <v>28</v>
      </c>
      <c r="AE18" s="32">
        <v>29</v>
      </c>
      <c r="AF18" s="32">
        <v>30</v>
      </c>
      <c r="AG18" s="32">
        <v>31</v>
      </c>
      <c r="AH18" s="32">
        <v>32</v>
      </c>
      <c r="AI18" s="32">
        <v>33</v>
      </c>
      <c r="AJ18" s="32">
        <v>34</v>
      </c>
      <c r="AK18" s="32">
        <v>35</v>
      </c>
      <c r="AL18" s="32">
        <v>36</v>
      </c>
      <c r="AM18" s="32">
        <v>37</v>
      </c>
      <c r="AN18" s="32">
        <v>38</v>
      </c>
      <c r="AO18" s="32">
        <v>39</v>
      </c>
      <c r="AP18" s="32">
        <v>40</v>
      </c>
      <c r="AQ18" s="32">
        <v>41</v>
      </c>
      <c r="AR18" s="32">
        <v>42</v>
      </c>
      <c r="AS18" s="32">
        <v>43</v>
      </c>
      <c r="AT18" s="32">
        <v>44</v>
      </c>
      <c r="AU18" s="32">
        <v>45</v>
      </c>
      <c r="AV18" s="32">
        <v>46</v>
      </c>
      <c r="AW18" s="32">
        <v>47</v>
      </c>
      <c r="AX18" s="32">
        <v>48</v>
      </c>
      <c r="AY18" s="32">
        <v>49</v>
      </c>
      <c r="AZ18" s="32">
        <v>50</v>
      </c>
      <c r="BA18" s="33"/>
    </row>
    <row r="19" spans="2:53" x14ac:dyDescent="0.2">
      <c r="B19" s="34">
        <v>1</v>
      </c>
      <c r="C19" s="71">
        <f>KSeed!C19*(1-(MOVE!$C$6)/RSeed!C19)</f>
        <v>83.383858338430599</v>
      </c>
      <c r="D19" s="70">
        <f>KSeed!D19*(1-(MOVE!$C$6)/RSeed!D19)</f>
        <v>83.383858338430599</v>
      </c>
      <c r="E19" s="70">
        <f>KSeed!E19*(1-(MOVE!$C$6)/RSeed!E19)</f>
        <v>83.383858338430599</v>
      </c>
      <c r="F19" s="70">
        <f>KSeed!F19*(1-(MOVE!$C$6)/RSeed!F19)</f>
        <v>83.383858338430599</v>
      </c>
      <c r="G19" s="70">
        <f>KSeed!G19*(1-(MOVE!$C$6)/RSeed!G19)</f>
        <v>83.383858338430599</v>
      </c>
      <c r="H19" s="70">
        <f>KSeed!H19*(1-(MOVE!$C$6)/RSeed!H19)</f>
        <v>83.383858338430599</v>
      </c>
      <c r="I19" s="70">
        <f>KSeed!I19*(1-(MOVE!$C$6)/RSeed!I19)</f>
        <v>83.383858338430599</v>
      </c>
      <c r="J19" s="70">
        <f>KSeed!J19*(1-(MOVE!$C$6)/RSeed!J19)</f>
        <v>83.383858338430599</v>
      </c>
      <c r="K19" s="70">
        <f>KSeed!K19*(1-(MOVE!$C$6)/RSeed!K19)</f>
        <v>83.383858338430599</v>
      </c>
      <c r="L19" s="70">
        <f>KSeed!L19*(1-(MOVE!$C$6)/RSeed!L19)</f>
        <v>83.383858338430599</v>
      </c>
      <c r="M19" s="70">
        <f>KSeed!M19*(1-(MOVE!$C$6)/RSeed!M19)</f>
        <v>83.383858338430599</v>
      </c>
      <c r="N19" s="70">
        <f>KSeed!N19*(1-(MOVE!$C$6)/RSeed!N19)</f>
        <v>83.383858338430599</v>
      </c>
      <c r="O19" s="70">
        <f>KSeed!O19*(1-(MOVE!$C$6)/RSeed!O19)</f>
        <v>83.383858338430599</v>
      </c>
      <c r="P19" s="70">
        <f>KSeed!P19*(1-(MOVE!$C$6)/RSeed!P19)</f>
        <v>83.383858338430599</v>
      </c>
      <c r="Q19" s="70">
        <f>KSeed!Q19*(1-(MOVE!$C$6)/RSeed!Q19)</f>
        <v>83.383858338430599</v>
      </c>
      <c r="R19" s="70">
        <f>KSeed!R19*(1-(MOVE!$C$6)/RSeed!R19)</f>
        <v>83.383858338430599</v>
      </c>
      <c r="S19" s="70">
        <f>KSeed!S19*(1-(MOVE!$C$6)/RSeed!S19)</f>
        <v>83.383858338430599</v>
      </c>
      <c r="T19" s="70">
        <f>KSeed!T19*(1-(MOVE!$C$6)/RSeed!T19)</f>
        <v>83.383858338430599</v>
      </c>
      <c r="U19" s="70">
        <f>KSeed!U19*(1-(MOVE!$C$6)/RSeed!U19)</f>
        <v>83.383858338430599</v>
      </c>
      <c r="V19" s="70">
        <f>KSeed!V19*(1-(MOVE!$C$6)/RSeed!V19)</f>
        <v>83.383858338430599</v>
      </c>
      <c r="W19" s="70">
        <f>KSeed!W19*(1-(MOVE!$C$6)/RSeed!W19)</f>
        <v>83.383858338430599</v>
      </c>
      <c r="X19" s="70">
        <f>KSeed!X19*(1-(MOVE!$C$6)/RSeed!X19)</f>
        <v>83.383858338430599</v>
      </c>
      <c r="Y19" s="70">
        <f>KSeed!Y19*(1-(MOVE!$C$6)/RSeed!Y19)</f>
        <v>83.383858338430599</v>
      </c>
      <c r="Z19" s="70">
        <f>KSeed!Z19*(1-(MOVE!$C$6)/RSeed!Z19)</f>
        <v>83.383858338430599</v>
      </c>
      <c r="AA19" s="70">
        <f>KSeed!AA19*(1-(MOVE!$C$6)/RSeed!AA19)</f>
        <v>83.383858338430599</v>
      </c>
      <c r="AB19" s="70">
        <f>KSeed!AB19*(1-(MOVE!$C$6)/RSeed!AB19)</f>
        <v>83.383858338430599</v>
      </c>
      <c r="AC19" s="70">
        <f>KSeed!AC19*(1-(MOVE!$C$6)/RSeed!AC19)</f>
        <v>83.383858338430599</v>
      </c>
      <c r="AD19" s="70">
        <f>KSeed!AD19*(1-(MOVE!$C$6)/RSeed!AD19)</f>
        <v>83.383858338430599</v>
      </c>
      <c r="AE19" s="70">
        <f>KSeed!AE19*(1-(MOVE!$C$6)/RSeed!AE19)</f>
        <v>83.383858338430599</v>
      </c>
      <c r="AF19" s="70">
        <f>KSeed!AF19*(1-(MOVE!$C$6)/RSeed!AF19)</f>
        <v>83.383858338430599</v>
      </c>
      <c r="AG19" s="70">
        <f>KSeed!AG19*(1-(MOVE!$C$6)/RSeed!AG19)</f>
        <v>83.383858338430599</v>
      </c>
      <c r="AH19" s="70">
        <f>KSeed!AH19*(1-(MOVE!$C$6)/RSeed!AH19)</f>
        <v>83.383858338430599</v>
      </c>
      <c r="AI19" s="70">
        <f>KSeed!AI19*(1-(MOVE!$C$6)/RSeed!AI19)</f>
        <v>83.383858338430599</v>
      </c>
      <c r="AJ19" s="70">
        <f>KSeed!AJ19*(1-(MOVE!$C$6)/RSeed!AJ19)</f>
        <v>83.383858338430599</v>
      </c>
      <c r="AK19" s="70">
        <f>KSeed!AK19*(1-(MOVE!$C$6)/RSeed!AK19)</f>
        <v>83.383858338430599</v>
      </c>
      <c r="AL19" s="70">
        <f>KSeed!AL19*(1-(MOVE!$C$6)/RSeed!AL19)</f>
        <v>83.383858338430599</v>
      </c>
      <c r="AM19" s="70">
        <f>KSeed!AM19*(1-(MOVE!$C$6)/RSeed!AM19)</f>
        <v>83.383858338430599</v>
      </c>
      <c r="AN19" s="70">
        <f>KSeed!AN19*(1-(MOVE!$C$6)/RSeed!AN19)</f>
        <v>83.383858338430599</v>
      </c>
      <c r="AO19" s="70">
        <f>KSeed!AO19*(1-(MOVE!$C$6)/RSeed!AO19)</f>
        <v>83.383858338430599</v>
      </c>
      <c r="AP19" s="70">
        <f>KSeed!AP19*(1-(MOVE!$C$6)/RSeed!AP19)</f>
        <v>83.383858338430599</v>
      </c>
      <c r="AQ19" s="70">
        <f>KSeed!AQ19*(1-(MOVE!$C$6)/RSeed!AQ19)</f>
        <v>83.383858338430599</v>
      </c>
      <c r="AR19" s="70">
        <f>KSeed!AR19*(1-(MOVE!$X$6)/RSeed!AR19)</f>
        <v>8.3383858338430592</v>
      </c>
      <c r="AS19" s="70">
        <f>KSeed!AS19*(1-(MOVE!$X$6)/RSeed!AS19)</f>
        <v>8.3383858338430592</v>
      </c>
      <c r="AT19" s="70">
        <f>KSeed!AT19*(1-(MOVE!$X$6)/RSeed!AT19)</f>
        <v>8.3383858338430592</v>
      </c>
      <c r="AU19" s="70">
        <f>KSeed!AU19*(1-(MOVE!$X$6)/RSeed!AU19)</f>
        <v>8.3383858338430592</v>
      </c>
      <c r="AV19" s="70">
        <f>KSeed!AV19*(1-(MOVE!$X$6)/RSeed!AV19)</f>
        <v>8.3383858338430592</v>
      </c>
      <c r="AW19" s="70">
        <f>KSeed!AW19*(1-(MOVE!$X$6)/RSeed!AW19)</f>
        <v>8.3383858338430592</v>
      </c>
      <c r="AX19" s="70">
        <f>KSeed!AX19*(1-(MOVE!$X$6)/RSeed!AX19)</f>
        <v>8.3383858338430592</v>
      </c>
      <c r="AY19" s="70">
        <f>KSeed!AY19*(1-(MOVE!$X$6)/RSeed!AY19)</f>
        <v>8.3383858338430592</v>
      </c>
      <c r="AZ19" s="85">
        <f>KSeed!AZ19*(1-(MOVE!$X$6)/RSeed!AZ19)</f>
        <v>8.3383858338430592</v>
      </c>
      <c r="BA19" s="35">
        <v>1</v>
      </c>
    </row>
    <row r="20" spans="2:53" x14ac:dyDescent="0.2">
      <c r="B20" s="34">
        <v>2</v>
      </c>
      <c r="C20" s="72">
        <f>KSeed!C20*(1-(MOVE!$C$6)/RSeed!C20)</f>
        <v>83.383858338430599</v>
      </c>
      <c r="D20" s="31">
        <f>KSeed!D20*(1-(MOVE!$C$6)/RSeed!D20)</f>
        <v>83.383858338430599</v>
      </c>
      <c r="E20" s="76">
        <f>KSeed!E20*(1-(MOVE!$C$6)/RSeed!E20)</f>
        <v>83.383858338430599</v>
      </c>
      <c r="F20" s="76">
        <f>KSeed!F20*(1-(MOVE!$C$6)/RSeed!F20)</f>
        <v>83.383858338430599</v>
      </c>
      <c r="G20" s="76">
        <f>KSeed!G20*(1-(MOVE!$C$6)/RSeed!G20)</f>
        <v>83.383858338430599</v>
      </c>
      <c r="H20" s="76">
        <f>KSeed!H20*(1-(MOVE!$C$6)/RSeed!H20)</f>
        <v>83.383858338430599</v>
      </c>
      <c r="I20" s="76">
        <f>KSeed!I20*(1-(MOVE!$C$6)/RSeed!I20)</f>
        <v>83.383858338430599</v>
      </c>
      <c r="J20" s="76">
        <f>KSeed!J20*(1-(MOVE!$C$6)/RSeed!J20)</f>
        <v>83.383858338430599</v>
      </c>
      <c r="K20" s="76">
        <f>KSeed!K20*(1-(MOVE!$C$6)/RSeed!K20)</f>
        <v>83.383858338430599</v>
      </c>
      <c r="L20" s="76">
        <f>KSeed!L20*(1-(MOVE!$C$6)/RSeed!L20)</f>
        <v>83.383858338430599</v>
      </c>
      <c r="M20" s="76">
        <f>KSeed!M20*(1-(MOVE!$C$6)/RSeed!M20)</f>
        <v>83.383858338430599</v>
      </c>
      <c r="N20" s="76">
        <f>KSeed!N20*(1-(MOVE!$C$6)/RSeed!N20)</f>
        <v>83.383858338430599</v>
      </c>
      <c r="O20" s="76">
        <f>KSeed!O20*(1-(MOVE!$C$6)/RSeed!O20)</f>
        <v>83.383858338430599</v>
      </c>
      <c r="P20" s="76">
        <f>KSeed!P20*(1-(MOVE!$C$6)/RSeed!P20)</f>
        <v>83.383858338430599</v>
      </c>
      <c r="Q20" s="76">
        <f>KSeed!Q20*(1-(MOVE!$C$6)/RSeed!Q20)</f>
        <v>83.383858338430599</v>
      </c>
      <c r="R20" s="76">
        <f>KSeed!R20*(1-(MOVE!$C$6)/RSeed!R20)</f>
        <v>83.383858338430599</v>
      </c>
      <c r="S20" s="76">
        <f>KSeed!S20*(1-(MOVE!$C$6)/RSeed!S20)</f>
        <v>83.383858338430599</v>
      </c>
      <c r="T20" s="76">
        <f>KSeed!T20*(1-(MOVE!$C$6)/RSeed!T20)</f>
        <v>83.383858338430599</v>
      </c>
      <c r="U20" s="76">
        <f>KSeed!U20*(1-(MOVE!$C$6)/RSeed!U20)</f>
        <v>83.383858338430599</v>
      </c>
      <c r="V20" s="76">
        <f>KSeed!V20*(1-(MOVE!$C$6)/RSeed!V20)</f>
        <v>83.383858338430599</v>
      </c>
      <c r="W20" s="76">
        <f>KSeed!W20*(1-(MOVE!$C$6)/RSeed!W20)</f>
        <v>83.383858338430599</v>
      </c>
      <c r="X20" s="76">
        <f>KSeed!X20*(1-(MOVE!$C$6)/RSeed!X20)</f>
        <v>83.383858338430599</v>
      </c>
      <c r="Y20" s="76">
        <f>KSeed!Y20*(1-(MOVE!$C$6)/RSeed!Y20)</f>
        <v>83.383858338430599</v>
      </c>
      <c r="Z20" s="76">
        <f>KSeed!Z20*(1-(MOVE!$C$6)/RSeed!Z20)</f>
        <v>83.383858338430599</v>
      </c>
      <c r="AA20" s="76">
        <f>KSeed!AA20*(1-(MOVE!$C$6)/RSeed!AA20)</f>
        <v>83.383858338430599</v>
      </c>
      <c r="AB20" s="76">
        <f>KSeed!AB20*(1-(MOVE!$C$6)/RSeed!AB20)</f>
        <v>83.383858338430599</v>
      </c>
      <c r="AC20" s="76">
        <f>KSeed!AC20*(1-(MOVE!$C$6)/RSeed!AC20)</f>
        <v>83.383858338430599</v>
      </c>
      <c r="AD20" s="76">
        <f>KSeed!AD20*(1-(MOVE!$C$6)/RSeed!AD20)</f>
        <v>83.383858338430599</v>
      </c>
      <c r="AE20" s="76">
        <f>KSeed!AE20*(1-(MOVE!$C$6)/RSeed!AE20)</f>
        <v>83.383858338430599</v>
      </c>
      <c r="AF20" s="76">
        <f>KSeed!AF20*(1-(MOVE!$C$6)/RSeed!AF20)</f>
        <v>83.383858338430599</v>
      </c>
      <c r="AG20" s="76">
        <f>KSeed!AG20*(1-(MOVE!$C$6)/RSeed!AG20)</f>
        <v>83.383858338430599</v>
      </c>
      <c r="AH20" s="76">
        <f>KSeed!AH20*(1-(MOVE!$C$6)/RSeed!AH20)</f>
        <v>83.383858338430599</v>
      </c>
      <c r="AI20" s="76">
        <f>KSeed!AI20*(1-(MOVE!$C$6)/RSeed!AI20)</f>
        <v>83.383858338430599</v>
      </c>
      <c r="AJ20" s="76">
        <f>KSeed!AJ20*(1-(MOVE!$C$6)/RSeed!AJ20)</f>
        <v>83.383858338430599</v>
      </c>
      <c r="AK20" s="76">
        <f>KSeed!AK20*(1-(MOVE!$C$6)/RSeed!AK20)</f>
        <v>83.383858338430599</v>
      </c>
      <c r="AL20" s="76">
        <f>KSeed!AL20*(1-(MOVE!$C$6)/RSeed!AL20)</f>
        <v>83.383858338430599</v>
      </c>
      <c r="AM20" s="76">
        <f>KSeed!AM20*(1-(MOVE!$C$6)/RSeed!AM20)</f>
        <v>83.383858338430599</v>
      </c>
      <c r="AN20" s="76">
        <f>KSeed!AN20*(1-(MOVE!$C$6)/RSeed!AN20)</f>
        <v>83.383858338430599</v>
      </c>
      <c r="AO20" s="76">
        <f>KSeed!AO20*(1-(MOVE!$C$6)/RSeed!AO20)</f>
        <v>83.383858338430599</v>
      </c>
      <c r="AP20" s="76">
        <f>KSeed!AP20*(1-(MOVE!$C$6)/RSeed!AP20)</f>
        <v>83.383858338430599</v>
      </c>
      <c r="AQ20" s="33">
        <f>KSeed!AQ20*(1-(MOVE!$C$6)/RSeed!AQ20)</f>
        <v>83.383858338430599</v>
      </c>
      <c r="AR20" s="91">
        <f>KSeed!AR20*(1-(MOVE!$X$6)/RSeed!AR20)</f>
        <v>8.3383858338430592</v>
      </c>
      <c r="AS20" s="84">
        <f>KSeed!AS20*(1-(MOVE!$X$6)/RSeed!AS20)</f>
        <v>8.3383858338430592</v>
      </c>
      <c r="AT20" s="84">
        <f>KSeed!AT20*(1-(MOVE!$X$6)/RSeed!AT20)</f>
        <v>8.3383858338430592</v>
      </c>
      <c r="AU20" s="84">
        <f>KSeed!AU20*(1-(MOVE!$X$6)/RSeed!AU20)</f>
        <v>8.3383858338430592</v>
      </c>
      <c r="AV20" s="84">
        <f>KSeed!AV20*(1-(MOVE!$X$6)/RSeed!AV20)</f>
        <v>8.3383858338430592</v>
      </c>
      <c r="AW20" s="84">
        <f>KSeed!AW20*(1-(MOVE!$X$6)/RSeed!AW20)</f>
        <v>8.3383858338430592</v>
      </c>
      <c r="AX20" s="84">
        <f>KSeed!AX20*(1-(MOVE!$X$6)/RSeed!AX20)</f>
        <v>8.3383858338430592</v>
      </c>
      <c r="AY20" s="111">
        <f>KSeed!AY20*(1-(MOVE!$X$6)/RSeed!AY20)</f>
        <v>8.3383858338430592</v>
      </c>
      <c r="AZ20" s="72">
        <f>KSeed!AZ20*(1-(MOVE!$X$6)/RSeed!AZ20)</f>
        <v>8.3383858338430592</v>
      </c>
      <c r="BA20" s="35">
        <v>2</v>
      </c>
    </row>
    <row r="21" spans="2:53" x14ac:dyDescent="0.2">
      <c r="B21" s="34">
        <v>3</v>
      </c>
      <c r="C21" s="72">
        <f>KSeed!C21*(1-(MOVE!$C$6)/RSeed!C21)</f>
        <v>83.383858338430599</v>
      </c>
      <c r="D21" s="74">
        <f>KSeed!D21*(1-(MOVE!$C$6)/RSeed!D21)</f>
        <v>83.383858338430599</v>
      </c>
      <c r="E21" s="75">
        <f>KSeed!E21*(1-(MOVE!$C$6)/RSeed!E21)</f>
        <v>83.383858338430599</v>
      </c>
      <c r="F21" s="75">
        <f>KSeed!F21*(1-(MOVE!$C$6)/RSeed!F21)</f>
        <v>83.383858338430599</v>
      </c>
      <c r="G21" s="75">
        <f>KSeed!G21*(1-(MOVE!$C$6)/RSeed!G21)</f>
        <v>83.383858338430599</v>
      </c>
      <c r="H21" s="75">
        <f>KSeed!H21*(1-(MOVE!$C$6)/RSeed!H21)</f>
        <v>83.383858338430599</v>
      </c>
      <c r="I21" s="75">
        <f>KSeed!I21*(1-(MOVE!$C$6)/RSeed!I21)</f>
        <v>83.383858338430599</v>
      </c>
      <c r="J21" s="75">
        <f>KSeed!J21*(1-(MOVE!$C$6)/RSeed!J21)</f>
        <v>83.383858338430599</v>
      </c>
      <c r="K21" s="75">
        <f>KSeed!K21*(1-(MOVE!$C$6)/RSeed!K21)</f>
        <v>83.383858338430599</v>
      </c>
      <c r="L21" s="75">
        <f>KSeed!L21*(1-(MOVE!$C$6)/RSeed!L21)</f>
        <v>83.383858338430599</v>
      </c>
      <c r="M21" s="75">
        <f>KSeed!M21*(1-(MOVE!$C$6)/RSeed!M21)</f>
        <v>83.383858338430599</v>
      </c>
      <c r="N21" s="75">
        <f>KSeed!N21*(1-(MOVE!$C$6)/RSeed!N21)</f>
        <v>83.383858338430599</v>
      </c>
      <c r="O21" s="75">
        <f>KSeed!O21*(1-(MOVE!$C$6)/RSeed!O21)</f>
        <v>83.383858338430599</v>
      </c>
      <c r="P21" s="75">
        <f>KSeed!P21*(1-(MOVE!$C$6)/RSeed!P21)</f>
        <v>83.383858338430599</v>
      </c>
      <c r="Q21" s="75">
        <f>KSeed!Q21*(1-(MOVE!$C$6)/RSeed!Q21)</f>
        <v>83.383858338430599</v>
      </c>
      <c r="R21" s="75">
        <f>KSeed!R21*(1-(MOVE!$C$6)/RSeed!R21)</f>
        <v>83.383858338430599</v>
      </c>
      <c r="S21" s="75">
        <f>KSeed!S21*(1-(MOVE!$C$6)/RSeed!S21)</f>
        <v>83.383858338430599</v>
      </c>
      <c r="T21" s="75">
        <f>KSeed!T21*(1-(MOVE!$C$6)/RSeed!T21)</f>
        <v>83.383858338430599</v>
      </c>
      <c r="U21" s="75">
        <f>KSeed!U21*(1-(MOVE!$C$6)/RSeed!U21)</f>
        <v>83.383858338430599</v>
      </c>
      <c r="V21" s="75">
        <f>KSeed!V21*(1-(MOVE!$C$6)/RSeed!V21)</f>
        <v>83.383858338430599</v>
      </c>
      <c r="W21" s="75">
        <f>KSeed!W21*(1-(MOVE!$C$6)/RSeed!W21)</f>
        <v>83.383858338430599</v>
      </c>
      <c r="X21" s="75">
        <f>KSeed!X21*(1-(MOVE!$C$6)/RSeed!X21)</f>
        <v>83.383858338430599</v>
      </c>
      <c r="Y21" s="75">
        <f>KSeed!Y21*(1-(MOVE!$C$6)/RSeed!Y21)</f>
        <v>83.383858338430599</v>
      </c>
      <c r="Z21" s="75">
        <f>KSeed!Z21*(1-(MOVE!$C$6)/RSeed!Z21)</f>
        <v>83.383858338430599</v>
      </c>
      <c r="AA21" s="75">
        <f>KSeed!AA21*(1-(MOVE!$C$6)/RSeed!AA21)</f>
        <v>83.383858338430599</v>
      </c>
      <c r="AB21" s="75">
        <f>KSeed!AB21*(1-(MOVE!$C$6)/RSeed!AB21)</f>
        <v>83.383858338430599</v>
      </c>
      <c r="AC21" s="75">
        <f>KSeed!AC21*(1-(MOVE!$C$6)/RSeed!AC21)</f>
        <v>83.383858338430599</v>
      </c>
      <c r="AD21" s="75">
        <f>KSeed!AD21*(1-(MOVE!$C$6)/RSeed!AD21)</f>
        <v>83.383858338430599</v>
      </c>
      <c r="AE21" s="75">
        <f>KSeed!AE21*(1-(MOVE!$C$6)/RSeed!AE21)</f>
        <v>83.383858338430599</v>
      </c>
      <c r="AF21" s="75">
        <f>KSeed!AF21*(1-(MOVE!$C$6)/RSeed!AF21)</f>
        <v>83.383858338430599</v>
      </c>
      <c r="AG21" s="75">
        <f>KSeed!AG21*(1-(MOVE!$C$6)/RSeed!AG21)</f>
        <v>83.383858338430599</v>
      </c>
      <c r="AH21" s="75">
        <f>KSeed!AH21*(1-(MOVE!$C$6)/RSeed!AH21)</f>
        <v>83.383858338430599</v>
      </c>
      <c r="AI21" s="75">
        <f>KSeed!AI21*(1-(MOVE!$C$6)/RSeed!AI21)</f>
        <v>83.383858338430599</v>
      </c>
      <c r="AJ21" s="75">
        <f>KSeed!AJ21*(1-(MOVE!$C$6)/RSeed!AJ21)</f>
        <v>83.383858338430599</v>
      </c>
      <c r="AK21" s="75">
        <f>KSeed!AK21*(1-(MOVE!$C$6)/RSeed!AK21)</f>
        <v>83.383858338430599</v>
      </c>
      <c r="AL21" s="75">
        <f>KSeed!AL21*(1-(MOVE!$C$6)/RSeed!AL21)</f>
        <v>83.383858338430599</v>
      </c>
      <c r="AM21" s="75">
        <f>KSeed!AM21*(1-(MOVE!$C$6)/RSeed!AM21)</f>
        <v>83.383858338430599</v>
      </c>
      <c r="AN21" s="75">
        <f>KSeed!AN21*(1-(MOVE!$C$6)/RSeed!AN21)</f>
        <v>83.383858338430599</v>
      </c>
      <c r="AO21" s="75">
        <f>KSeed!AO21*(1-(MOVE!$C$6)/RSeed!AO21)</f>
        <v>83.383858338430599</v>
      </c>
      <c r="AP21" s="75">
        <f>KSeed!AP21*(1-(MOVE!$C$6)/RSeed!AP21)</f>
        <v>83.383858338430599</v>
      </c>
      <c r="AQ21" s="94">
        <f>KSeed!AQ21*(1-(MOVE!$C$6)/RSeed!AQ21)</f>
        <v>83.383858338430599</v>
      </c>
      <c r="AR21" s="92">
        <f>KSeed!AR21*(1-(MOVE!$X$6)/RSeed!AR21)</f>
        <v>8.3383858338430592</v>
      </c>
      <c r="AS21" s="86">
        <f>KSeed!AS21*(1-(MOVE!$X$6)/RSeed!AS21)</f>
        <v>8.3383858338430592</v>
      </c>
      <c r="AT21" s="86">
        <f>KSeed!AT21*(1-(MOVE!$X$6)/RSeed!AT21)</f>
        <v>8.3383858338430592</v>
      </c>
      <c r="AU21" s="86">
        <f>KSeed!AU21*(1-(MOVE!$X$6)/RSeed!AU21)</f>
        <v>8.3383858338430592</v>
      </c>
      <c r="AV21" s="86">
        <f>KSeed!AV21*(1-(MOVE!$X$6)/RSeed!AV21)</f>
        <v>8.3383858338430592</v>
      </c>
      <c r="AW21" s="86">
        <f>KSeed!AW21*(1-(MOVE!$X$6)/RSeed!AW21)</f>
        <v>8.3383858338430592</v>
      </c>
      <c r="AX21" s="86">
        <f>KSeed!AX21*(1-(MOVE!$X$6)/RSeed!AX21)</f>
        <v>8.3383858338430592</v>
      </c>
      <c r="AY21" s="87">
        <f>KSeed!AY21*(1-(MOVE!$X$6)/RSeed!AY21)</f>
        <v>8.3383858338430592</v>
      </c>
      <c r="AZ21" s="72">
        <f>KSeed!AZ21*(1-(MOVE!$X$6)/RSeed!AZ21)</f>
        <v>8.3383858338430592</v>
      </c>
      <c r="BA21" s="35">
        <v>3</v>
      </c>
    </row>
    <row r="22" spans="2:53" x14ac:dyDescent="0.2">
      <c r="B22" s="34">
        <v>4</v>
      </c>
      <c r="C22" s="72">
        <f>KSeed!C22*(1-(MOVE!$C$6)/RSeed!C22)</f>
        <v>83.383858338430599</v>
      </c>
      <c r="D22" s="74">
        <f>KSeed!D22*(1-(MOVE!$C$6)/RSeed!D22)</f>
        <v>83.383858338430599</v>
      </c>
      <c r="E22" s="75">
        <f>KSeed!E22*(1-(MOVE!$C$6)/RSeed!E22)</f>
        <v>83.383858338430599</v>
      </c>
      <c r="F22" s="75">
        <f>KSeed!F22*(1-(MOVE!$C$6)/RSeed!F22)</f>
        <v>83.383858338430599</v>
      </c>
      <c r="G22" s="75">
        <f>KSeed!G22*(1-(MOVE!$C$6)/RSeed!G22)</f>
        <v>83.383858338430599</v>
      </c>
      <c r="H22" s="75">
        <f>KSeed!H22*(1-(MOVE!$C$6)/RSeed!H22)</f>
        <v>83.383858338430599</v>
      </c>
      <c r="I22" s="75">
        <f>KSeed!I22*(1-(MOVE!$C$6)/RSeed!I22)</f>
        <v>83.383858338430599</v>
      </c>
      <c r="J22" s="75">
        <f>KSeed!J22*(1-(MOVE!$C$6)/RSeed!J22)</f>
        <v>83.383858338430599</v>
      </c>
      <c r="K22" s="75">
        <f>KSeed!K22*(1-(MOVE!$C$6)/RSeed!K22)</f>
        <v>83.383858338430599</v>
      </c>
      <c r="L22" s="75">
        <f>KSeed!L22*(1-(MOVE!$C$6)/RSeed!L22)</f>
        <v>83.383858338430599</v>
      </c>
      <c r="M22" s="75">
        <f>KSeed!M22*(1-(MOVE!$C$6)/RSeed!M22)</f>
        <v>83.383858338430599</v>
      </c>
      <c r="N22" s="75">
        <f>KSeed!N22*(1-(MOVE!$C$6)/RSeed!N22)</f>
        <v>83.383858338430599</v>
      </c>
      <c r="O22" s="75">
        <f>KSeed!O22*(1-(MOVE!$C$6)/RSeed!O22)</f>
        <v>83.383858338430599</v>
      </c>
      <c r="P22" s="75">
        <f>KSeed!P22*(1-(MOVE!$C$6)/RSeed!P22)</f>
        <v>83.383858338430599</v>
      </c>
      <c r="Q22" s="75">
        <f>KSeed!Q22*(1-(MOVE!$C$6)/RSeed!Q22)</f>
        <v>83.383858338430599</v>
      </c>
      <c r="R22" s="75">
        <f>KSeed!R22*(1-(MOVE!$C$6)/RSeed!R22)</f>
        <v>83.383858338430599</v>
      </c>
      <c r="S22" s="75">
        <f>KSeed!S22*(1-(MOVE!$C$6)/RSeed!S22)</f>
        <v>83.383858338430599</v>
      </c>
      <c r="T22" s="75">
        <f>KSeed!T22*(1-(MOVE!$C$6)/RSeed!T22)</f>
        <v>83.383858338430599</v>
      </c>
      <c r="U22" s="75">
        <f>KSeed!U22*(1-(MOVE!$C$6)/RSeed!U22)</f>
        <v>83.383858338430599</v>
      </c>
      <c r="V22" s="75">
        <f>KSeed!V22*(1-(MOVE!$C$6)/RSeed!V22)</f>
        <v>83.383858338430599</v>
      </c>
      <c r="W22" s="75">
        <f>KSeed!W22*(1-(MOVE!$C$6)/RSeed!W22)</f>
        <v>83.383858338430599</v>
      </c>
      <c r="X22" s="75">
        <f>KSeed!X22*(1-(MOVE!$C$6)/RSeed!X22)</f>
        <v>83.383858338430599</v>
      </c>
      <c r="Y22" s="75">
        <f>KSeed!Y22*(1-(MOVE!$C$6)/RSeed!Y22)</f>
        <v>83.383858338430599</v>
      </c>
      <c r="Z22" s="75">
        <f>KSeed!Z22*(1-(MOVE!$C$6)/RSeed!Z22)</f>
        <v>83.383858338430599</v>
      </c>
      <c r="AA22" s="75">
        <f>KSeed!AA22*(1-(MOVE!$C$6)/RSeed!AA22)</f>
        <v>83.383858338430599</v>
      </c>
      <c r="AB22" s="75">
        <f>KSeed!AB22*(1-(MOVE!$C$6)/RSeed!AB22)</f>
        <v>83.383858338430599</v>
      </c>
      <c r="AC22" s="75">
        <f>KSeed!AC22*(1-(MOVE!$C$6)/RSeed!AC22)</f>
        <v>83.383858338430599</v>
      </c>
      <c r="AD22" s="75">
        <f>KSeed!AD22*(1-(MOVE!$C$6)/RSeed!AD22)</f>
        <v>83.383858338430599</v>
      </c>
      <c r="AE22" s="75">
        <f>KSeed!AE22*(1-(MOVE!$C$6)/RSeed!AE22)</f>
        <v>83.383858338430599</v>
      </c>
      <c r="AF22" s="75">
        <f>KSeed!AF22*(1-(MOVE!$C$6)/RSeed!AF22)</f>
        <v>83.383858338430599</v>
      </c>
      <c r="AG22" s="75">
        <f>KSeed!AG22*(1-(MOVE!$C$6)/RSeed!AG22)</f>
        <v>83.383858338430599</v>
      </c>
      <c r="AH22" s="75">
        <f>KSeed!AH22*(1-(MOVE!$C$6)/RSeed!AH22)</f>
        <v>83.383858338430599</v>
      </c>
      <c r="AI22" s="75">
        <f>KSeed!AI22*(1-(MOVE!$C$6)/RSeed!AI22)</f>
        <v>83.383858338430599</v>
      </c>
      <c r="AJ22" s="75">
        <f>KSeed!AJ22*(1-(MOVE!$C$6)/RSeed!AJ22)</f>
        <v>83.383858338430599</v>
      </c>
      <c r="AK22" s="75">
        <f>KSeed!AK22*(1-(MOVE!$C$6)/RSeed!AK22)</f>
        <v>83.383858338430599</v>
      </c>
      <c r="AL22" s="75">
        <f>KSeed!AL22*(1-(MOVE!$C$6)/RSeed!AL22)</f>
        <v>83.383858338430599</v>
      </c>
      <c r="AM22" s="75">
        <f>KSeed!AM22*(1-(MOVE!$C$6)/RSeed!AM22)</f>
        <v>83.383858338430599</v>
      </c>
      <c r="AN22" s="75">
        <f>KSeed!AN22*(1-(MOVE!$C$6)/RSeed!AN22)</f>
        <v>83.383858338430599</v>
      </c>
      <c r="AO22" s="75">
        <f>KSeed!AO22*(1-(MOVE!$C$6)/RSeed!AO22)</f>
        <v>83.383858338430599</v>
      </c>
      <c r="AP22" s="75">
        <f>KSeed!AP22*(1-(MOVE!$C$6)/RSeed!AP22)</f>
        <v>83.383858338430599</v>
      </c>
      <c r="AQ22" s="94">
        <f>KSeed!AQ22*(1-(MOVE!$C$6)/RSeed!AQ22)</f>
        <v>83.383858338430599</v>
      </c>
      <c r="AR22" s="92">
        <f>KSeed!AR22*(1-(MOVE!$X$6)/RSeed!AR22)</f>
        <v>8.3383858338430592</v>
      </c>
      <c r="AS22" s="86">
        <f>KSeed!AS22*(1-(MOVE!$X$6)/RSeed!AS22)</f>
        <v>8.3383858338430592</v>
      </c>
      <c r="AT22" s="86">
        <f>KSeed!AT22*(1-(MOVE!$X$6)/RSeed!AT22)</f>
        <v>8.3383858338430592</v>
      </c>
      <c r="AU22" s="86">
        <f>KSeed!AU22*(1-(MOVE!$X$6)/RSeed!AU22)</f>
        <v>8.3383858338430592</v>
      </c>
      <c r="AV22" s="86">
        <f>KSeed!AV22*(1-(MOVE!$X$6)/RSeed!AV22)</f>
        <v>8.3383858338430592</v>
      </c>
      <c r="AW22" s="86">
        <f>KSeed!AW22*(1-(MOVE!$X$6)/RSeed!AW22)</f>
        <v>8.3383858338430592</v>
      </c>
      <c r="AX22" s="86">
        <f>KSeed!AX22*(1-(MOVE!$X$6)/RSeed!AX22)</f>
        <v>8.3383858338430592</v>
      </c>
      <c r="AY22" s="87">
        <f>KSeed!AY22*(1-(MOVE!$X$6)/RSeed!AY22)</f>
        <v>8.3383858338430592</v>
      </c>
      <c r="AZ22" s="72">
        <f>KSeed!AZ22*(1-(MOVE!$X$6)/RSeed!AZ22)</f>
        <v>8.3383858338430592</v>
      </c>
      <c r="BA22" s="35">
        <v>4</v>
      </c>
    </row>
    <row r="23" spans="2:53" x14ac:dyDescent="0.2">
      <c r="B23" s="34">
        <v>5</v>
      </c>
      <c r="C23" s="72">
        <f>KSeed!C23*(1-(MOVE!$C$6)/RSeed!C23)</f>
        <v>83.383858338430599</v>
      </c>
      <c r="D23" s="74">
        <f>KSeed!D23*(1-(MOVE!$C$6)/RSeed!D23)</f>
        <v>83.383858338430599</v>
      </c>
      <c r="E23" s="75">
        <f>KSeed!E23*(1-(MOVE!$C$6)/RSeed!E23)</f>
        <v>83.383858338430599</v>
      </c>
      <c r="F23" s="75">
        <f>KSeed!F23*(1-(MOVE!$C$6)/RSeed!F23)</f>
        <v>83.383858338430599</v>
      </c>
      <c r="G23" s="75">
        <f>KSeed!G23*(1-(MOVE!$C$6)/RSeed!G23)</f>
        <v>83.383858338430599</v>
      </c>
      <c r="H23" s="75">
        <f>KSeed!H23*(1-(MOVE!$C$6)/RSeed!H23)</f>
        <v>83.383858338430599</v>
      </c>
      <c r="I23" s="75">
        <f>KSeed!I23*(1-(MOVE!$C$6)/RSeed!I23)</f>
        <v>83.383858338430599</v>
      </c>
      <c r="J23" s="75">
        <f>KSeed!J23*(1-(MOVE!$C$6)/RSeed!J23)</f>
        <v>83.383858338430599</v>
      </c>
      <c r="K23" s="75">
        <f>KSeed!K23*(1-(MOVE!$C$6)/RSeed!K23)</f>
        <v>83.383858338430599</v>
      </c>
      <c r="L23" s="75">
        <f>KSeed!L23*(1-(MOVE!$C$6)/RSeed!L23)</f>
        <v>83.383858338430599</v>
      </c>
      <c r="M23" s="75">
        <f>KSeed!M23*(1-(MOVE!$C$6)/RSeed!M23)</f>
        <v>83.383858338430599</v>
      </c>
      <c r="N23" s="75">
        <f>KSeed!N23*(1-(MOVE!$C$6)/RSeed!N23)</f>
        <v>83.383858338430599</v>
      </c>
      <c r="O23" s="75">
        <f>KSeed!O23*(1-(MOVE!$C$6)/RSeed!O23)</f>
        <v>83.383858338430599</v>
      </c>
      <c r="P23" s="75">
        <f>KSeed!P23*(1-(MOVE!$C$6)/RSeed!P23)</f>
        <v>83.383858338430599</v>
      </c>
      <c r="Q23" s="75">
        <f>KSeed!Q23*(1-(MOVE!$C$6)/RSeed!Q23)</f>
        <v>83.383858338430599</v>
      </c>
      <c r="R23" s="75">
        <f>KSeed!R23*(1-(MOVE!$C$6)/RSeed!R23)</f>
        <v>83.383858338430599</v>
      </c>
      <c r="S23" s="75">
        <f>KSeed!S23*(1-(MOVE!$C$6)/RSeed!S23)</f>
        <v>83.383858338430599</v>
      </c>
      <c r="T23" s="75">
        <f>KSeed!T23*(1-(MOVE!$C$6)/RSeed!T23)</f>
        <v>83.383858338430599</v>
      </c>
      <c r="U23" s="75">
        <f>KSeed!U23*(1-(MOVE!$C$6)/RSeed!U23)</f>
        <v>83.383858338430599</v>
      </c>
      <c r="V23" s="75">
        <f>KSeed!V23*(1-(MOVE!$C$6)/RSeed!V23)</f>
        <v>83.383858338430599</v>
      </c>
      <c r="W23" s="75">
        <f>KSeed!W23*(1-(MOVE!$C$6)/RSeed!W23)</f>
        <v>83.383858338430599</v>
      </c>
      <c r="X23" s="75">
        <f>KSeed!X23*(1-(MOVE!$C$6)/RSeed!X23)</f>
        <v>83.383858338430599</v>
      </c>
      <c r="Y23" s="75">
        <f>KSeed!Y23*(1-(MOVE!$C$6)/RSeed!Y23)</f>
        <v>83.383858338430599</v>
      </c>
      <c r="Z23" s="75">
        <f>KSeed!Z23*(1-(MOVE!$C$6)/RSeed!Z23)</f>
        <v>83.383858338430599</v>
      </c>
      <c r="AA23" s="75">
        <f>KSeed!AA23*(1-(MOVE!$C$6)/RSeed!AA23)</f>
        <v>83.383858338430599</v>
      </c>
      <c r="AB23" s="75">
        <f>KSeed!AB23*(1-(MOVE!$C$6)/RSeed!AB23)</f>
        <v>83.383858338430599</v>
      </c>
      <c r="AC23" s="75">
        <f>KSeed!AC23*(1-(MOVE!$C$6)/RSeed!AC23)</f>
        <v>83.383858338430599</v>
      </c>
      <c r="AD23" s="75">
        <f>KSeed!AD23*(1-(MOVE!$C$6)/RSeed!AD23)</f>
        <v>83.383858338430599</v>
      </c>
      <c r="AE23" s="75">
        <f>KSeed!AE23*(1-(MOVE!$C$6)/RSeed!AE23)</f>
        <v>83.383858338430599</v>
      </c>
      <c r="AF23" s="75">
        <f>KSeed!AF23*(1-(MOVE!$C$6)/RSeed!AF23)</f>
        <v>83.383858338430599</v>
      </c>
      <c r="AG23" s="75">
        <f>KSeed!AG23*(1-(MOVE!$C$6)/RSeed!AG23)</f>
        <v>83.383858338430599</v>
      </c>
      <c r="AH23" s="75">
        <f>KSeed!AH23*(1-(MOVE!$C$6)/RSeed!AH23)</f>
        <v>83.383858338430599</v>
      </c>
      <c r="AI23" s="75">
        <f>KSeed!AI23*(1-(MOVE!$C$6)/RSeed!AI23)</f>
        <v>83.383858338430599</v>
      </c>
      <c r="AJ23" s="75">
        <f>KSeed!AJ23*(1-(MOVE!$C$6)/RSeed!AJ23)</f>
        <v>83.383858338430599</v>
      </c>
      <c r="AK23" s="75">
        <f>KSeed!AK23*(1-(MOVE!$C$6)/RSeed!AK23)</f>
        <v>83.383858338430599</v>
      </c>
      <c r="AL23" s="75">
        <f>KSeed!AL23*(1-(MOVE!$C$6)/RSeed!AL23)</f>
        <v>83.383858338430599</v>
      </c>
      <c r="AM23" s="75">
        <f>KSeed!AM23*(1-(MOVE!$C$6)/RSeed!AM23)</f>
        <v>83.383858338430599</v>
      </c>
      <c r="AN23" s="75">
        <f>KSeed!AN23*(1-(MOVE!$C$6)/RSeed!AN23)</f>
        <v>83.383858338430599</v>
      </c>
      <c r="AO23" s="75">
        <f>KSeed!AO23*(1-(MOVE!$C$6)/RSeed!AO23)</f>
        <v>83.383858338430599</v>
      </c>
      <c r="AP23" s="75">
        <f>KSeed!AP23*(1-(MOVE!$C$6)/RSeed!AP23)</f>
        <v>83.383858338430599</v>
      </c>
      <c r="AQ23" s="94">
        <f>KSeed!AQ23*(1-(MOVE!$C$6)/RSeed!AQ23)</f>
        <v>83.383858338430599</v>
      </c>
      <c r="AR23" s="92">
        <f>KSeed!AR23*(1-(MOVE!$X$6)/RSeed!AR23)</f>
        <v>8.3383858338430592</v>
      </c>
      <c r="AS23" s="86">
        <f>KSeed!AS23*(1-(MOVE!$X$6)/RSeed!AS23)</f>
        <v>8.3383858338430592</v>
      </c>
      <c r="AT23" s="86">
        <f>KSeed!AT23*(1-(MOVE!$X$6)/RSeed!AT23)</f>
        <v>8.3383858338430592</v>
      </c>
      <c r="AU23" s="86">
        <f>KSeed!AU23*(1-(MOVE!$X$6)/RSeed!AU23)</f>
        <v>8.3383858338430592</v>
      </c>
      <c r="AV23" s="86">
        <f>KSeed!AV23*(1-(MOVE!$X$6)/RSeed!AV23)</f>
        <v>8.3383858338430592</v>
      </c>
      <c r="AW23" s="86">
        <f>KSeed!AW23*(1-(MOVE!$X$6)/RSeed!AW23)</f>
        <v>8.3383858338430592</v>
      </c>
      <c r="AX23" s="86">
        <f>KSeed!AX23*(1-(MOVE!$X$6)/RSeed!AX23)</f>
        <v>8.3383858338430592</v>
      </c>
      <c r="AY23" s="87">
        <f>KSeed!AY23*(1-(MOVE!$X$6)/RSeed!AY23)</f>
        <v>8.3383858338430592</v>
      </c>
      <c r="AZ23" s="72">
        <f>KSeed!AZ23*(1-(MOVE!$X$6)/RSeed!AZ23)</f>
        <v>8.3383858338430592</v>
      </c>
      <c r="BA23" s="35">
        <v>5</v>
      </c>
    </row>
    <row r="24" spans="2:53" x14ac:dyDescent="0.2">
      <c r="B24" s="34">
        <v>6</v>
      </c>
      <c r="C24" s="72">
        <f>KSeed!C24*(1-(MOVE!$C$6)/RSeed!C24)</f>
        <v>83.383858338430599</v>
      </c>
      <c r="D24" s="74">
        <f>KSeed!D24*(1-(MOVE!$C$6)/RSeed!D24)</f>
        <v>83.383858338430599</v>
      </c>
      <c r="E24" s="75">
        <f>KSeed!E24*(1-(MOVE!$C$6)/RSeed!E24)</f>
        <v>83.383858338430599</v>
      </c>
      <c r="F24" s="75">
        <f>KSeed!F24*(1-(MOVE!$C$6)/RSeed!F24)</f>
        <v>83.383858338430599</v>
      </c>
      <c r="G24" s="75">
        <f>KSeed!G24*(1-(MOVE!$C$6)/RSeed!G24)</f>
        <v>83.383858338430599</v>
      </c>
      <c r="H24" s="75">
        <f>KSeed!H24*(1-(MOVE!$C$6)/RSeed!H24)</f>
        <v>83.383858338430599</v>
      </c>
      <c r="I24" s="75">
        <f>KSeed!I24*(1-(MOVE!$C$6)/RSeed!I24)</f>
        <v>83.383858338430599</v>
      </c>
      <c r="J24" s="75">
        <f>KSeed!J24*(1-(MOVE!$C$6)/RSeed!J24)</f>
        <v>83.383858338430599</v>
      </c>
      <c r="K24" s="75">
        <f>KSeed!K24*(1-(MOVE!$C$6)/RSeed!K24)</f>
        <v>83.383858338430599</v>
      </c>
      <c r="L24" s="75">
        <f>KSeed!L24*(1-(MOVE!$C$6)/RSeed!L24)</f>
        <v>83.383858338430599</v>
      </c>
      <c r="M24" s="75">
        <f>KSeed!M24*(1-(MOVE!$C$6)/RSeed!M24)</f>
        <v>83.383858338430599</v>
      </c>
      <c r="N24" s="75">
        <f>KSeed!N24*(1-(MOVE!$C$6)/RSeed!N24)</f>
        <v>83.383858338430599</v>
      </c>
      <c r="O24" s="75">
        <f>KSeed!O24*(1-(MOVE!$C$6)/RSeed!O24)</f>
        <v>83.383858338430599</v>
      </c>
      <c r="P24" s="75">
        <f>KSeed!P24*(1-(MOVE!$C$6)/RSeed!P24)</f>
        <v>83.383858338430599</v>
      </c>
      <c r="Q24" s="75">
        <f>KSeed!Q24*(1-(MOVE!$C$6)/RSeed!Q24)</f>
        <v>83.383858338430599</v>
      </c>
      <c r="R24" s="75">
        <f>KSeed!R24*(1-(MOVE!$C$6)/RSeed!R24)</f>
        <v>83.383858338430599</v>
      </c>
      <c r="S24" s="75">
        <f>KSeed!S24*(1-(MOVE!$C$6)/RSeed!S24)</f>
        <v>83.383858338430599</v>
      </c>
      <c r="T24" s="75">
        <f>KSeed!T24*(1-(MOVE!$C$6)/RSeed!T24)</f>
        <v>83.383858338430599</v>
      </c>
      <c r="U24" s="75">
        <f>KSeed!U24*(1-(MOVE!$C$6)/RSeed!U24)</f>
        <v>83.383858338430599</v>
      </c>
      <c r="V24" s="75">
        <f>KSeed!V24*(1-(MOVE!$C$6)/RSeed!V24)</f>
        <v>83.383858338430599</v>
      </c>
      <c r="W24" s="75">
        <f>KSeed!W24*(1-(MOVE!$C$6)/RSeed!W24)</f>
        <v>83.383858338430599</v>
      </c>
      <c r="X24" s="75">
        <f>KSeed!X24*(1-(MOVE!$C$6)/RSeed!X24)</f>
        <v>83.383858338430599</v>
      </c>
      <c r="Y24" s="75">
        <f>KSeed!Y24*(1-(MOVE!$C$6)/RSeed!Y24)</f>
        <v>83.383858338430599</v>
      </c>
      <c r="Z24" s="75">
        <f>KSeed!Z24*(1-(MOVE!$C$6)/RSeed!Z24)</f>
        <v>83.383858338430599</v>
      </c>
      <c r="AA24" s="75">
        <f>KSeed!AA24*(1-(MOVE!$C$6)/RSeed!AA24)</f>
        <v>83.383858338430599</v>
      </c>
      <c r="AB24" s="75">
        <f>KSeed!AB24*(1-(MOVE!$C$6)/RSeed!AB24)</f>
        <v>83.383858338430599</v>
      </c>
      <c r="AC24" s="75">
        <f>KSeed!AC24*(1-(MOVE!$C$6)/RSeed!AC24)</f>
        <v>83.383858338430599</v>
      </c>
      <c r="AD24" s="75">
        <f>KSeed!AD24*(1-(MOVE!$C$6)/RSeed!AD24)</f>
        <v>83.383858338430599</v>
      </c>
      <c r="AE24" s="75">
        <f>KSeed!AE24*(1-(MOVE!$C$6)/RSeed!AE24)</f>
        <v>83.383858338430599</v>
      </c>
      <c r="AF24" s="75">
        <f>KSeed!AF24*(1-(MOVE!$C$6)/RSeed!AF24)</f>
        <v>83.383858338430599</v>
      </c>
      <c r="AG24" s="75">
        <f>KSeed!AG24*(1-(MOVE!$C$6)/RSeed!AG24)</f>
        <v>83.383858338430599</v>
      </c>
      <c r="AH24" s="75">
        <f>KSeed!AH24*(1-(MOVE!$C$6)/RSeed!AH24)</f>
        <v>83.383858338430599</v>
      </c>
      <c r="AI24" s="75">
        <f>KSeed!AI24*(1-(MOVE!$C$6)/RSeed!AI24)</f>
        <v>83.383858338430599</v>
      </c>
      <c r="AJ24" s="75">
        <f>KSeed!AJ24*(1-(MOVE!$C$6)/RSeed!AJ24)</f>
        <v>83.383858338430599</v>
      </c>
      <c r="AK24" s="75">
        <f>KSeed!AK24*(1-(MOVE!$C$6)/RSeed!AK24)</f>
        <v>83.383858338430599</v>
      </c>
      <c r="AL24" s="75">
        <f>KSeed!AL24*(1-(MOVE!$C$6)/RSeed!AL24)</f>
        <v>83.383858338430599</v>
      </c>
      <c r="AM24" s="75">
        <f>KSeed!AM24*(1-(MOVE!$C$6)/RSeed!AM24)</f>
        <v>83.383858338430599</v>
      </c>
      <c r="AN24" s="75">
        <f>KSeed!AN24*(1-(MOVE!$C$6)/RSeed!AN24)</f>
        <v>83.383858338430599</v>
      </c>
      <c r="AO24" s="75">
        <f>KSeed!AO24*(1-(MOVE!$C$6)/RSeed!AO24)</f>
        <v>83.383858338430599</v>
      </c>
      <c r="AP24" s="75">
        <f>KSeed!AP24*(1-(MOVE!$C$6)/RSeed!AP24)</f>
        <v>83.383858338430599</v>
      </c>
      <c r="AQ24" s="94">
        <f>KSeed!AQ24*(1-(MOVE!$C$6)/RSeed!AQ24)</f>
        <v>83.383858338430599</v>
      </c>
      <c r="AR24" s="92">
        <f>KSeed!AR24*(1-(MOVE!$X$6)/RSeed!AR24)</f>
        <v>8.3383858338430592</v>
      </c>
      <c r="AS24" s="86">
        <f>KSeed!AS24*(1-(MOVE!$X$6)/RSeed!AS24)</f>
        <v>8.3383858338430592</v>
      </c>
      <c r="AT24" s="86">
        <f>KSeed!AT24*(1-(MOVE!$X$6)/RSeed!AT24)</f>
        <v>8.3383858338430592</v>
      </c>
      <c r="AU24" s="86">
        <f>KSeed!AU24*(1-(MOVE!$X$6)/RSeed!AU24)</f>
        <v>8.3383858338430592</v>
      </c>
      <c r="AV24" s="86">
        <f>KSeed!AV24*(1-(MOVE!$X$6)/RSeed!AV24)</f>
        <v>8.3383858338430592</v>
      </c>
      <c r="AW24" s="86">
        <f>KSeed!AW24*(1-(MOVE!$X$6)/RSeed!AW24)</f>
        <v>8.3383858338430592</v>
      </c>
      <c r="AX24" s="86">
        <f>KSeed!AX24*(1-(MOVE!$X$6)/RSeed!AX24)</f>
        <v>8.3383858338430592</v>
      </c>
      <c r="AY24" s="87">
        <f>KSeed!AY24*(1-(MOVE!$X$6)/RSeed!AY24)</f>
        <v>8.3383858338430592</v>
      </c>
      <c r="AZ24" s="72">
        <f>KSeed!AZ24*(1-(MOVE!$X$6)/RSeed!AZ24)</f>
        <v>8.3383858338430592</v>
      </c>
      <c r="BA24" s="35">
        <v>6</v>
      </c>
    </row>
    <row r="25" spans="2:53" x14ac:dyDescent="0.2">
      <c r="B25" s="34">
        <v>7</v>
      </c>
      <c r="C25" s="72">
        <f>KSeed!C25*(1-(MOVE!$C$6)/RSeed!C25)</f>
        <v>83.383858338430599</v>
      </c>
      <c r="D25" s="74">
        <f>KSeed!D25*(1-(MOVE!$C$6)/RSeed!D25)</f>
        <v>83.383858338430599</v>
      </c>
      <c r="E25" s="75">
        <f>KSeed!E25*(1-(MOVE!$C$6)/RSeed!E25)</f>
        <v>83.383858338430599</v>
      </c>
      <c r="F25" s="75">
        <f>KSeed!F25*(1-(MOVE!$C$6)/RSeed!F25)</f>
        <v>83.383858338430599</v>
      </c>
      <c r="G25" s="75">
        <f>KSeed!G25*(1-(MOVE!$C$6)/RSeed!G25)</f>
        <v>83.383858338430599</v>
      </c>
      <c r="H25" s="75">
        <f>KSeed!H25*(1-(MOVE!$C$6)/RSeed!H25)</f>
        <v>83.383858338430599</v>
      </c>
      <c r="I25" s="75">
        <f>KSeed!I25*(1-(MOVE!$C$6)/RSeed!I25)</f>
        <v>83.383858338430599</v>
      </c>
      <c r="J25" s="75">
        <f>KSeed!J25*(1-(MOVE!$C$6)/RSeed!J25)</f>
        <v>83.383858338430599</v>
      </c>
      <c r="K25" s="75">
        <f>KSeed!K25*(1-(MOVE!$C$6)/RSeed!K25)</f>
        <v>83.383858338430599</v>
      </c>
      <c r="L25" s="75">
        <f>KSeed!L25*(1-(MOVE!$C$6)/RSeed!L25)</f>
        <v>83.383858338430599</v>
      </c>
      <c r="M25" s="75">
        <f>KSeed!M25*(1-(MOVE!$C$6)/RSeed!M25)</f>
        <v>83.383858338430599</v>
      </c>
      <c r="N25" s="75">
        <f>KSeed!N25*(1-(MOVE!$C$6)/RSeed!N25)</f>
        <v>83.383858338430599</v>
      </c>
      <c r="O25" s="75">
        <f>KSeed!O25*(1-(MOVE!$C$6)/RSeed!O25)</f>
        <v>83.383858338430599</v>
      </c>
      <c r="P25" s="75">
        <f>KSeed!P25*(1-(MOVE!$C$6)/RSeed!P25)</f>
        <v>83.383858338430599</v>
      </c>
      <c r="Q25" s="75">
        <f>KSeed!Q25*(1-(MOVE!$C$6)/RSeed!Q25)</f>
        <v>83.383858338430599</v>
      </c>
      <c r="R25" s="75">
        <f>KSeed!R25*(1-(MOVE!$C$6)/RSeed!R25)</f>
        <v>83.383858338430599</v>
      </c>
      <c r="S25" s="75">
        <f>KSeed!S25*(1-(MOVE!$C$6)/RSeed!S25)</f>
        <v>83.383858338430599</v>
      </c>
      <c r="T25" s="75">
        <f>KSeed!T25*(1-(MOVE!$C$6)/RSeed!T25)</f>
        <v>83.383858338430599</v>
      </c>
      <c r="U25" s="75">
        <f>KSeed!U25*(1-(MOVE!$C$6)/RSeed!U25)</f>
        <v>83.383858338430599</v>
      </c>
      <c r="V25" s="75">
        <f>KSeed!V25*(1-(MOVE!$C$6)/RSeed!V25)</f>
        <v>83.383858338430599</v>
      </c>
      <c r="W25" s="75">
        <f>KSeed!W25*(1-(MOVE!$C$6)/RSeed!W25)</f>
        <v>83.383858338430599</v>
      </c>
      <c r="X25" s="75">
        <f>KSeed!X25*(1-(MOVE!$C$6)/RSeed!X25)</f>
        <v>83.383858338430599</v>
      </c>
      <c r="Y25" s="75">
        <f>KSeed!Y25*(1-(MOVE!$C$6)/RSeed!Y25)</f>
        <v>83.383858338430599</v>
      </c>
      <c r="Z25" s="75">
        <f>KSeed!Z25*(1-(MOVE!$C$6)/RSeed!Z25)</f>
        <v>83.383858338430599</v>
      </c>
      <c r="AA25" s="75">
        <f>KSeed!AA25*(1-(MOVE!$C$6)/RSeed!AA25)</f>
        <v>83.383858338430599</v>
      </c>
      <c r="AB25" s="75">
        <f>KSeed!AB25*(1-(MOVE!$C$6)/RSeed!AB25)</f>
        <v>83.383858338430599</v>
      </c>
      <c r="AC25" s="75">
        <f>KSeed!AC25*(1-(MOVE!$C$6)/RSeed!AC25)</f>
        <v>83.383858338430599</v>
      </c>
      <c r="AD25" s="75">
        <f>KSeed!AD25*(1-(MOVE!$C$6)/RSeed!AD25)</f>
        <v>83.383858338430599</v>
      </c>
      <c r="AE25" s="75">
        <f>KSeed!AE25*(1-(MOVE!$C$6)/RSeed!AE25)</f>
        <v>83.383858338430599</v>
      </c>
      <c r="AF25" s="75">
        <f>KSeed!AF25*(1-(MOVE!$C$6)/RSeed!AF25)</f>
        <v>83.383858338430599</v>
      </c>
      <c r="AG25" s="75">
        <f>KSeed!AG25*(1-(MOVE!$C$6)/RSeed!AG25)</f>
        <v>83.383858338430599</v>
      </c>
      <c r="AH25" s="75">
        <f>KSeed!AH25*(1-(MOVE!$C$6)/RSeed!AH25)</f>
        <v>83.383858338430599</v>
      </c>
      <c r="AI25" s="75">
        <f>KSeed!AI25*(1-(MOVE!$C$6)/RSeed!AI25)</f>
        <v>83.383858338430599</v>
      </c>
      <c r="AJ25" s="75">
        <f>KSeed!AJ25*(1-(MOVE!$C$6)/RSeed!AJ25)</f>
        <v>83.383858338430599</v>
      </c>
      <c r="AK25" s="75">
        <f>KSeed!AK25*(1-(MOVE!$C$6)/RSeed!AK25)</f>
        <v>83.383858338430599</v>
      </c>
      <c r="AL25" s="75">
        <f>KSeed!AL25*(1-(MOVE!$C$6)/RSeed!AL25)</f>
        <v>83.383858338430599</v>
      </c>
      <c r="AM25" s="75">
        <f>KSeed!AM25*(1-(MOVE!$C$6)/RSeed!AM25)</f>
        <v>83.383858338430599</v>
      </c>
      <c r="AN25" s="75">
        <f>KSeed!AN25*(1-(MOVE!$C$6)/RSeed!AN25)</f>
        <v>83.383858338430599</v>
      </c>
      <c r="AO25" s="75">
        <f>KSeed!AO25*(1-(MOVE!$C$6)/RSeed!AO25)</f>
        <v>83.383858338430599</v>
      </c>
      <c r="AP25" s="75">
        <f>KSeed!AP25*(1-(MOVE!$C$6)/RSeed!AP25)</f>
        <v>83.383858338430599</v>
      </c>
      <c r="AQ25" s="94">
        <f>KSeed!AQ25*(1-(MOVE!$C$6)/RSeed!AQ25)</f>
        <v>83.383858338430599</v>
      </c>
      <c r="AR25" s="92">
        <f>KSeed!AR25*(1-(MOVE!$X$6)/RSeed!AR25)</f>
        <v>8.3383858338430592</v>
      </c>
      <c r="AS25" s="86">
        <f>KSeed!AS25*(1-(MOVE!$X$6)/RSeed!AS25)</f>
        <v>8.3383858338430592</v>
      </c>
      <c r="AT25" s="86">
        <f>KSeed!AT25*(1-(MOVE!$X$6)/RSeed!AT25)</f>
        <v>8.3383858338430592</v>
      </c>
      <c r="AU25" s="86">
        <f>KSeed!AU25*(1-(MOVE!$X$6)/RSeed!AU25)</f>
        <v>8.3383858338430592</v>
      </c>
      <c r="AV25" s="86">
        <f>KSeed!AV25*(1-(MOVE!$X$6)/RSeed!AV25)</f>
        <v>8.3383858338430592</v>
      </c>
      <c r="AW25" s="86">
        <f>KSeed!AW25*(1-(MOVE!$X$6)/RSeed!AW25)</f>
        <v>8.3383858338430592</v>
      </c>
      <c r="AX25" s="86">
        <f>KSeed!AX25*(1-(MOVE!$X$6)/RSeed!AX25)</f>
        <v>8.3383858338430592</v>
      </c>
      <c r="AY25" s="87">
        <f>KSeed!AY25*(1-(MOVE!$X$6)/RSeed!AY25)</f>
        <v>8.3383858338430592</v>
      </c>
      <c r="AZ25" s="72">
        <f>KSeed!AZ25*(1-(MOVE!$X$6)/RSeed!AZ25)</f>
        <v>8.3383858338430592</v>
      </c>
      <c r="BA25" s="35">
        <v>7</v>
      </c>
    </row>
    <row r="26" spans="2:53" x14ac:dyDescent="0.2">
      <c r="B26" s="34">
        <v>8</v>
      </c>
      <c r="C26" s="72">
        <f>KSeed!C26*(1-(MOVE!$C$6)/RSeed!C26)</f>
        <v>83.383858338430599</v>
      </c>
      <c r="D26" s="74">
        <f>KSeed!D26*(1-(MOVE!$C$6)/RSeed!D26)</f>
        <v>83.383858338430599</v>
      </c>
      <c r="E26" s="75">
        <f>KSeed!E26*(1-(MOVE!$C$6)/RSeed!E26)</f>
        <v>83.383858338430599</v>
      </c>
      <c r="F26" s="75">
        <f>KSeed!F26*(1-(MOVE!$C$6)/RSeed!F26)</f>
        <v>83.383858338430599</v>
      </c>
      <c r="G26" s="75">
        <f>KSeed!G26*(1-(MOVE!$C$6)/RSeed!G26)</f>
        <v>83.383858338430599</v>
      </c>
      <c r="H26" s="75">
        <f>KSeed!H26*(1-(MOVE!$C$6)/RSeed!H26)</f>
        <v>83.383858338430599</v>
      </c>
      <c r="I26" s="75">
        <f>KSeed!I26*(1-(MOVE!$C$6)/RSeed!I26)</f>
        <v>83.383858338430599</v>
      </c>
      <c r="J26" s="75">
        <f>KSeed!J26*(1-(MOVE!$C$6)/RSeed!J26)</f>
        <v>83.383858338430599</v>
      </c>
      <c r="K26" s="75">
        <f>KSeed!K26*(1-(MOVE!$C$6)/RSeed!K26)</f>
        <v>83.383858338430599</v>
      </c>
      <c r="L26" s="75">
        <f>KSeed!L26*(1-(MOVE!$C$6)/RSeed!L26)</f>
        <v>83.383858338430599</v>
      </c>
      <c r="M26" s="75">
        <f>KSeed!M26*(1-(MOVE!$C$6)/RSeed!M26)</f>
        <v>83.383858338430599</v>
      </c>
      <c r="N26" s="75">
        <f>KSeed!N26*(1-(MOVE!$C$6)/RSeed!N26)</f>
        <v>83.383858338430599</v>
      </c>
      <c r="O26" s="75">
        <f>KSeed!O26*(1-(MOVE!$C$6)/RSeed!O26)</f>
        <v>83.383858338430599</v>
      </c>
      <c r="P26" s="75">
        <f>KSeed!P26*(1-(MOVE!$C$6)/RSeed!P26)</f>
        <v>83.383858338430599</v>
      </c>
      <c r="Q26" s="75">
        <f>KSeed!Q26*(1-(MOVE!$C$6)/RSeed!Q26)</f>
        <v>83.383858338430599</v>
      </c>
      <c r="R26" s="75">
        <f>KSeed!R26*(1-(MOVE!$C$6)/RSeed!R26)</f>
        <v>83.383858338430599</v>
      </c>
      <c r="S26" s="75">
        <f>KSeed!S26*(1-(MOVE!$C$6)/RSeed!S26)</f>
        <v>83.383858338430599</v>
      </c>
      <c r="T26" s="75">
        <f>KSeed!T26*(1-(MOVE!$C$6)/RSeed!T26)</f>
        <v>83.383858338430599</v>
      </c>
      <c r="U26" s="75">
        <f>KSeed!U26*(1-(MOVE!$C$6)/RSeed!U26)</f>
        <v>83.383858338430599</v>
      </c>
      <c r="V26" s="75">
        <f>KSeed!V26*(1-(MOVE!$C$6)/RSeed!V26)</f>
        <v>83.383858338430599</v>
      </c>
      <c r="W26" s="75">
        <f>KSeed!W26*(1-(MOVE!$C$6)/RSeed!W26)</f>
        <v>83.383858338430599</v>
      </c>
      <c r="X26" s="75">
        <f>KSeed!X26*(1-(MOVE!$C$6)/RSeed!X26)</f>
        <v>83.383858338430599</v>
      </c>
      <c r="Y26" s="75">
        <f>KSeed!Y26*(1-(MOVE!$C$6)/RSeed!Y26)</f>
        <v>83.383858338430599</v>
      </c>
      <c r="Z26" s="75">
        <f>KSeed!Z26*(1-(MOVE!$C$6)/RSeed!Z26)</f>
        <v>83.383858338430599</v>
      </c>
      <c r="AA26" s="75">
        <f>KSeed!AA26*(1-(MOVE!$C$6)/RSeed!AA26)</f>
        <v>83.383858338430599</v>
      </c>
      <c r="AB26" s="75">
        <f>KSeed!AB26*(1-(MOVE!$C$6)/RSeed!AB26)</f>
        <v>83.383858338430599</v>
      </c>
      <c r="AC26" s="75">
        <f>KSeed!AC26*(1-(MOVE!$C$6)/RSeed!AC26)</f>
        <v>83.383858338430599</v>
      </c>
      <c r="AD26" s="75">
        <f>KSeed!AD26*(1-(MOVE!$C$6)/RSeed!AD26)</f>
        <v>83.383858338430599</v>
      </c>
      <c r="AE26" s="75">
        <f>KSeed!AE26*(1-(MOVE!$C$6)/RSeed!AE26)</f>
        <v>83.383858338430599</v>
      </c>
      <c r="AF26" s="75">
        <f>KSeed!AF26*(1-(MOVE!$C$6)/RSeed!AF26)</f>
        <v>83.383858338430599</v>
      </c>
      <c r="AG26" s="75">
        <f>KSeed!AG26*(1-(MOVE!$C$6)/RSeed!AG26)</f>
        <v>83.383858338430599</v>
      </c>
      <c r="AH26" s="75">
        <f>KSeed!AH26*(1-(MOVE!$C$6)/RSeed!AH26)</f>
        <v>83.383858338430599</v>
      </c>
      <c r="AI26" s="75">
        <f>KSeed!AI26*(1-(MOVE!$C$6)/RSeed!AI26)</f>
        <v>83.383858338430599</v>
      </c>
      <c r="AJ26" s="75">
        <f>KSeed!AJ26*(1-(MOVE!$C$6)/RSeed!AJ26)</f>
        <v>83.383858338430599</v>
      </c>
      <c r="AK26" s="75">
        <f>KSeed!AK26*(1-(MOVE!$C$6)/RSeed!AK26)</f>
        <v>83.383858338430599</v>
      </c>
      <c r="AL26" s="75">
        <f>KSeed!AL26*(1-(MOVE!$C$6)/RSeed!AL26)</f>
        <v>83.383858338430599</v>
      </c>
      <c r="AM26" s="75">
        <f>KSeed!AM26*(1-(MOVE!$C$6)/RSeed!AM26)</f>
        <v>83.383858338430599</v>
      </c>
      <c r="AN26" s="75">
        <f>KSeed!AN26*(1-(MOVE!$C$6)/RSeed!AN26)</f>
        <v>83.383858338430599</v>
      </c>
      <c r="AO26" s="75">
        <f>KSeed!AO26*(1-(MOVE!$C$6)/RSeed!AO26)</f>
        <v>83.383858338430599</v>
      </c>
      <c r="AP26" s="75">
        <f>KSeed!AP26*(1-(MOVE!$C$6)/RSeed!AP26)</f>
        <v>83.383858338430599</v>
      </c>
      <c r="AQ26" s="94">
        <f>KSeed!AQ26*(1-(MOVE!$C$6)/RSeed!AQ26)</f>
        <v>83.383858338430599</v>
      </c>
      <c r="AR26" s="92">
        <f>KSeed!AR26*(1-(MOVE!$X$6)/RSeed!AR26)</f>
        <v>8.3383858338430592</v>
      </c>
      <c r="AS26" s="86">
        <f>KSeed!AS26*(1-(MOVE!$X$6)/RSeed!AS26)</f>
        <v>8.3383858338430592</v>
      </c>
      <c r="AT26" s="86">
        <f>KSeed!AT26*(1-(MOVE!$X$6)/RSeed!AT26)</f>
        <v>8.3383858338430592</v>
      </c>
      <c r="AU26" s="86">
        <f>KSeed!AU26*(1-(MOVE!$X$6)/RSeed!AU26)</f>
        <v>8.3383858338430592</v>
      </c>
      <c r="AV26" s="86">
        <f>KSeed!AV26*(1-(MOVE!$X$6)/RSeed!AV26)</f>
        <v>8.3383858338430592</v>
      </c>
      <c r="AW26" s="86">
        <f>KSeed!AW26*(1-(MOVE!$X$6)/RSeed!AW26)</f>
        <v>8.3383858338430592</v>
      </c>
      <c r="AX26" s="86">
        <f>KSeed!AX26*(1-(MOVE!$X$6)/RSeed!AX26)</f>
        <v>8.3383858338430592</v>
      </c>
      <c r="AY26" s="87">
        <f>KSeed!AY26*(1-(MOVE!$X$6)/RSeed!AY26)</f>
        <v>8.3383858338430592</v>
      </c>
      <c r="AZ26" s="72">
        <f>KSeed!AZ26*(1-(MOVE!$X$6)/RSeed!AZ26)</f>
        <v>8.3383858338430592</v>
      </c>
      <c r="BA26" s="35">
        <v>8</v>
      </c>
    </row>
    <row r="27" spans="2:53" x14ac:dyDescent="0.2">
      <c r="B27" s="34">
        <v>9</v>
      </c>
      <c r="C27" s="72">
        <f>KSeed!C27*(1-(MOVE!$C$6)/RSeed!C27)</f>
        <v>83.383858338430599</v>
      </c>
      <c r="D27" s="74">
        <f>KSeed!D27*(1-(MOVE!$C$6)/RSeed!D27)</f>
        <v>83.383858338430599</v>
      </c>
      <c r="E27" s="75">
        <f>KSeed!E27*(1-(MOVE!$C$6)/RSeed!E27)</f>
        <v>83.383858338430599</v>
      </c>
      <c r="F27" s="75">
        <f>KSeed!F27*(1-(MOVE!$C$6)/RSeed!F27)</f>
        <v>83.383858338430599</v>
      </c>
      <c r="G27" s="75">
        <f>KSeed!G27*(1-(MOVE!$C$6)/RSeed!G27)</f>
        <v>83.383858338430599</v>
      </c>
      <c r="H27" s="75">
        <f>KSeed!H27*(1-(MOVE!$C$6)/RSeed!H27)</f>
        <v>83.383858338430599</v>
      </c>
      <c r="I27" s="75">
        <f>KSeed!I27*(1-(MOVE!$C$6)/RSeed!I27)</f>
        <v>83.383858338430599</v>
      </c>
      <c r="J27" s="75">
        <f>KSeed!J27*(1-(MOVE!$C$6)/RSeed!J27)</f>
        <v>83.383858338430599</v>
      </c>
      <c r="K27" s="75">
        <f>KSeed!K27*(1-(MOVE!$C$6)/RSeed!K27)</f>
        <v>83.383858338430599</v>
      </c>
      <c r="L27" s="75">
        <f>KSeed!L27*(1-(MOVE!$C$6)/RSeed!L27)</f>
        <v>83.383858338430599</v>
      </c>
      <c r="M27" s="75">
        <f>KSeed!M27*(1-(MOVE!$C$6)/RSeed!M27)</f>
        <v>83.383858338430599</v>
      </c>
      <c r="N27" s="75">
        <f>KSeed!N27*(1-(MOVE!$C$6)/RSeed!N27)</f>
        <v>83.383858338430599</v>
      </c>
      <c r="O27" s="75">
        <f>KSeed!O27*(1-(MOVE!$C$6)/RSeed!O27)</f>
        <v>83.383858338430599</v>
      </c>
      <c r="P27" s="75">
        <f>KSeed!P27*(1-(MOVE!$C$6)/RSeed!P27)</f>
        <v>83.383858338430599</v>
      </c>
      <c r="Q27" s="75">
        <f>KSeed!Q27*(1-(MOVE!$C$6)/RSeed!Q27)</f>
        <v>83.383858338430599</v>
      </c>
      <c r="R27" s="75">
        <f>KSeed!R27*(1-(MOVE!$C$6)/RSeed!R27)</f>
        <v>83.383858338430599</v>
      </c>
      <c r="S27" s="75">
        <f>KSeed!S27*(1-(MOVE!$C$6)/RSeed!S27)</f>
        <v>83.383858338430599</v>
      </c>
      <c r="T27" s="75">
        <f>KSeed!T27*(1-(MOVE!$C$6)/RSeed!T27)</f>
        <v>83.383858338430599</v>
      </c>
      <c r="U27" s="75">
        <f>KSeed!U27*(1-(MOVE!$C$6)/RSeed!U27)</f>
        <v>83.383858338430599</v>
      </c>
      <c r="V27" s="75">
        <f>KSeed!V27*(1-(MOVE!$C$6)/RSeed!V27)</f>
        <v>83.383858338430599</v>
      </c>
      <c r="W27" s="75">
        <f>KSeed!W27*(1-(MOVE!$C$6)/RSeed!W27)</f>
        <v>83.383858338430599</v>
      </c>
      <c r="X27" s="75">
        <f>KSeed!X27*(1-(MOVE!$C$6)/RSeed!X27)</f>
        <v>83.383858338430599</v>
      </c>
      <c r="Y27" s="75">
        <f>KSeed!Y27*(1-(MOVE!$C$6)/RSeed!Y27)</f>
        <v>83.383858338430599</v>
      </c>
      <c r="Z27" s="75">
        <f>KSeed!Z27*(1-(MOVE!$C$6)/RSeed!Z27)</f>
        <v>83.383858338430599</v>
      </c>
      <c r="AA27" s="75">
        <f>KSeed!AA27*(1-(MOVE!$C$6)/RSeed!AA27)</f>
        <v>83.383858338430599</v>
      </c>
      <c r="AB27" s="75">
        <f>KSeed!AB27*(1-(MOVE!$C$6)/RSeed!AB27)</f>
        <v>83.383858338430599</v>
      </c>
      <c r="AC27" s="75">
        <f>KSeed!AC27*(1-(MOVE!$C$6)/RSeed!AC27)</f>
        <v>83.383858338430599</v>
      </c>
      <c r="AD27" s="75">
        <f>KSeed!AD27*(1-(MOVE!$C$6)/RSeed!AD27)</f>
        <v>83.383858338430599</v>
      </c>
      <c r="AE27" s="75">
        <f>KSeed!AE27*(1-(MOVE!$C$6)/RSeed!AE27)</f>
        <v>83.383858338430599</v>
      </c>
      <c r="AF27" s="75">
        <f>KSeed!AF27*(1-(MOVE!$C$6)/RSeed!AF27)</f>
        <v>83.383858338430599</v>
      </c>
      <c r="AG27" s="75">
        <f>KSeed!AG27*(1-(MOVE!$C$6)/RSeed!AG27)</f>
        <v>83.383858338430599</v>
      </c>
      <c r="AH27" s="75">
        <f>KSeed!AH27*(1-(MOVE!$C$6)/RSeed!AH27)</f>
        <v>83.383858338430599</v>
      </c>
      <c r="AI27" s="75">
        <f>KSeed!AI27*(1-(MOVE!$C$6)/RSeed!AI27)</f>
        <v>83.383858338430599</v>
      </c>
      <c r="AJ27" s="75">
        <f>KSeed!AJ27*(1-(MOVE!$C$6)/RSeed!AJ27)</f>
        <v>83.383858338430599</v>
      </c>
      <c r="AK27" s="75">
        <f>KSeed!AK27*(1-(MOVE!$C$6)/RSeed!AK27)</f>
        <v>83.383858338430599</v>
      </c>
      <c r="AL27" s="75">
        <f>KSeed!AL27*(1-(MOVE!$C$6)/RSeed!AL27)</f>
        <v>83.383858338430599</v>
      </c>
      <c r="AM27" s="75">
        <f>KSeed!AM27*(1-(MOVE!$C$6)/RSeed!AM27)</f>
        <v>83.383858338430599</v>
      </c>
      <c r="AN27" s="75">
        <f>KSeed!AN27*(1-(MOVE!$C$6)/RSeed!AN27)</f>
        <v>83.383858338430599</v>
      </c>
      <c r="AO27" s="75">
        <f>KSeed!AO27*(1-(MOVE!$C$6)/RSeed!AO27)</f>
        <v>83.383858338430599</v>
      </c>
      <c r="AP27" s="75">
        <f>KSeed!AP27*(1-(MOVE!$C$6)/RSeed!AP27)</f>
        <v>83.383858338430599</v>
      </c>
      <c r="AQ27" s="94">
        <f>KSeed!AQ27*(1-(MOVE!$C$6)/RSeed!AQ27)</f>
        <v>83.383858338430599</v>
      </c>
      <c r="AR27" s="92">
        <f>KSeed!AR27*(1-(MOVE!$X$6)/RSeed!AR27)</f>
        <v>8.3383858338430592</v>
      </c>
      <c r="AS27" s="86">
        <f>KSeed!AS27*(1-(MOVE!$X$6)/RSeed!AS27)</f>
        <v>8.3383858338430592</v>
      </c>
      <c r="AT27" s="86">
        <f>KSeed!AT27*(1-(MOVE!$X$6)/RSeed!AT27)</f>
        <v>8.3383858338430592</v>
      </c>
      <c r="AU27" s="86">
        <f>KSeed!AU27*(1-(MOVE!$X$6)/RSeed!AU27)</f>
        <v>8.3383858338430592</v>
      </c>
      <c r="AV27" s="86">
        <f>KSeed!AV27*(1-(MOVE!$X$6)/RSeed!AV27)</f>
        <v>8.3383858338430592</v>
      </c>
      <c r="AW27" s="86">
        <f>KSeed!AW27*(1-(MOVE!$X$6)/RSeed!AW27)</f>
        <v>8.3383858338430592</v>
      </c>
      <c r="AX27" s="86">
        <f>KSeed!AX27*(1-(MOVE!$X$6)/RSeed!AX27)</f>
        <v>8.3383858338430592</v>
      </c>
      <c r="AY27" s="87">
        <f>KSeed!AY27*(1-(MOVE!$X$6)/RSeed!AY27)</f>
        <v>8.3383858338430592</v>
      </c>
      <c r="AZ27" s="72">
        <f>KSeed!AZ27*(1-(MOVE!$X$6)/RSeed!AZ27)</f>
        <v>8.3383858338430592</v>
      </c>
      <c r="BA27" s="35">
        <v>9</v>
      </c>
    </row>
    <row r="28" spans="2:53" x14ac:dyDescent="0.2">
      <c r="B28" s="34">
        <v>10</v>
      </c>
      <c r="C28" s="72">
        <f>KSeed!C28*(1-(MOVE!$C$6)/RSeed!C28)</f>
        <v>83.383858338430599</v>
      </c>
      <c r="D28" s="74">
        <f>KSeed!D28*(1-(MOVE!$C$6)/RSeed!D28)</f>
        <v>83.383858338430599</v>
      </c>
      <c r="E28" s="75">
        <f>KSeed!E28*(1-(MOVE!$C$6)/RSeed!E28)</f>
        <v>83.383858338430599</v>
      </c>
      <c r="F28" s="75">
        <f>KSeed!F28*(1-(MOVE!$C$6)/RSeed!F28)</f>
        <v>83.383858338430599</v>
      </c>
      <c r="G28" s="75">
        <f>KSeed!G28*(1-(MOVE!$C$6)/RSeed!G28)</f>
        <v>83.383858338430599</v>
      </c>
      <c r="H28" s="75">
        <f>KSeed!H28*(1-(MOVE!$C$6)/RSeed!H28)</f>
        <v>83.383858338430599</v>
      </c>
      <c r="I28" s="75">
        <f>KSeed!I28*(1-(MOVE!$C$6)/RSeed!I28)</f>
        <v>83.383858338430599</v>
      </c>
      <c r="J28" s="75">
        <f>KSeed!J28*(1-(MOVE!$C$6)/RSeed!J28)</f>
        <v>83.383858338430599</v>
      </c>
      <c r="K28" s="75">
        <f>KSeed!K28*(1-(MOVE!$C$6)/RSeed!K28)</f>
        <v>83.383858338430599</v>
      </c>
      <c r="L28" s="75">
        <f>KSeed!L28*(1-(MOVE!$C$6)/RSeed!L28)</f>
        <v>83.383858338430599</v>
      </c>
      <c r="M28" s="75">
        <f>KSeed!M28*(1-(MOVE!$C$6)/RSeed!M28)</f>
        <v>83.383858338430599</v>
      </c>
      <c r="N28" s="75">
        <f>KSeed!N28*(1-(MOVE!$C$6)/RSeed!N28)</f>
        <v>83.383858338430599</v>
      </c>
      <c r="O28" s="75">
        <f>KSeed!O28*(1-(MOVE!$C$6)/RSeed!O28)</f>
        <v>83.383858338430599</v>
      </c>
      <c r="P28" s="75">
        <f>KSeed!P28*(1-(MOVE!$C$6)/RSeed!P28)</f>
        <v>83.383858338430599</v>
      </c>
      <c r="Q28" s="75">
        <f>KSeed!Q28*(1-(MOVE!$C$6)/RSeed!Q28)</f>
        <v>83.383858338430599</v>
      </c>
      <c r="R28" s="75">
        <f>KSeed!R28*(1-(MOVE!$C$6)/RSeed!R28)</f>
        <v>83.383858338430599</v>
      </c>
      <c r="S28" s="75">
        <f>KSeed!S28*(1-(MOVE!$C$6)/RSeed!S28)</f>
        <v>83.383858338430599</v>
      </c>
      <c r="T28" s="75">
        <f>KSeed!T28*(1-(MOVE!$C$6)/RSeed!T28)</f>
        <v>83.383858338430599</v>
      </c>
      <c r="U28" s="75">
        <f>KSeed!U28*(1-(MOVE!$C$6)/RSeed!U28)</f>
        <v>83.383858338430599</v>
      </c>
      <c r="V28" s="75">
        <f>KSeed!V28*(1-(MOVE!$C$6)/RSeed!V28)</f>
        <v>83.383858338430599</v>
      </c>
      <c r="W28" s="75">
        <f>KSeed!W28*(1-(MOVE!$C$6)/RSeed!W28)</f>
        <v>83.383858338430599</v>
      </c>
      <c r="X28" s="75">
        <f>KSeed!X28*(1-(MOVE!$C$6)/RSeed!X28)</f>
        <v>83.383858338430599</v>
      </c>
      <c r="Y28" s="75">
        <f>KSeed!Y28*(1-(MOVE!$C$6)/RSeed!Y28)</f>
        <v>83.383858338430599</v>
      </c>
      <c r="Z28" s="75">
        <f>KSeed!Z28*(1-(MOVE!$C$6)/RSeed!Z28)</f>
        <v>83.383858338430599</v>
      </c>
      <c r="AA28" s="75">
        <f>KSeed!AA28*(1-(MOVE!$C$6)/RSeed!AA28)</f>
        <v>83.383858338430599</v>
      </c>
      <c r="AB28" s="75">
        <f>KSeed!AB28*(1-(MOVE!$C$6)/RSeed!AB28)</f>
        <v>83.383858338430599</v>
      </c>
      <c r="AC28" s="75">
        <f>KSeed!AC28*(1-(MOVE!$C$6)/RSeed!AC28)</f>
        <v>83.383858338430599</v>
      </c>
      <c r="AD28" s="75">
        <f>KSeed!AD28*(1-(MOVE!$C$6)/RSeed!AD28)</f>
        <v>83.383858338430599</v>
      </c>
      <c r="AE28" s="75">
        <f>KSeed!AE28*(1-(MOVE!$C$6)/RSeed!AE28)</f>
        <v>83.383858338430599</v>
      </c>
      <c r="AF28" s="75">
        <f>KSeed!AF28*(1-(MOVE!$C$6)/RSeed!AF28)</f>
        <v>83.383858338430599</v>
      </c>
      <c r="AG28" s="75">
        <f>KSeed!AG28*(1-(MOVE!$C$6)/RSeed!AG28)</f>
        <v>83.383858338430599</v>
      </c>
      <c r="AH28" s="75">
        <f>KSeed!AH28*(1-(MOVE!$C$6)/RSeed!AH28)</f>
        <v>83.383858338430599</v>
      </c>
      <c r="AI28" s="75">
        <f>KSeed!AI28*(1-(MOVE!$C$6)/RSeed!AI28)</f>
        <v>83.383858338430599</v>
      </c>
      <c r="AJ28" s="75">
        <f>KSeed!AJ28*(1-(MOVE!$C$6)/RSeed!AJ28)</f>
        <v>83.383858338430599</v>
      </c>
      <c r="AK28" s="75">
        <f>KSeed!AK28*(1-(MOVE!$C$6)/RSeed!AK28)</f>
        <v>83.383858338430599</v>
      </c>
      <c r="AL28" s="75">
        <f>KSeed!AL28*(1-(MOVE!$C$6)/RSeed!AL28)</f>
        <v>83.383858338430599</v>
      </c>
      <c r="AM28" s="75">
        <f>KSeed!AM28*(1-(MOVE!$C$6)/RSeed!AM28)</f>
        <v>83.383858338430599</v>
      </c>
      <c r="AN28" s="75">
        <f>KSeed!AN28*(1-(MOVE!$C$6)/RSeed!AN28)</f>
        <v>83.383858338430599</v>
      </c>
      <c r="AO28" s="75">
        <f>KSeed!AO28*(1-(MOVE!$C$6)/RSeed!AO28)</f>
        <v>83.383858338430599</v>
      </c>
      <c r="AP28" s="75">
        <f>KSeed!AP28*(1-(MOVE!$C$6)/RSeed!AP28)</f>
        <v>83.383858338430599</v>
      </c>
      <c r="AQ28" s="94">
        <f>KSeed!AQ28*(1-(MOVE!$C$6)/RSeed!AQ28)</f>
        <v>83.383858338430599</v>
      </c>
      <c r="AR28" s="92">
        <f>KSeed!AR28*(1-(MOVE!$X$6)/RSeed!AR28)</f>
        <v>8.3383858338430592</v>
      </c>
      <c r="AS28" s="86">
        <f>KSeed!AS28*(1-(MOVE!$X$6)/RSeed!AS28)</f>
        <v>8.3383858338430592</v>
      </c>
      <c r="AT28" s="86">
        <f>KSeed!AT28*(1-(MOVE!$X$6)/RSeed!AT28)</f>
        <v>8.3383858338430592</v>
      </c>
      <c r="AU28" s="86">
        <f>KSeed!AU28*(1-(MOVE!$X$6)/RSeed!AU28)</f>
        <v>8.3383858338430592</v>
      </c>
      <c r="AV28" s="86">
        <f>KSeed!AV28*(1-(MOVE!$X$6)/RSeed!AV28)</f>
        <v>8.3383858338430592</v>
      </c>
      <c r="AW28" s="86">
        <f>KSeed!AW28*(1-(MOVE!$X$6)/RSeed!AW28)</f>
        <v>8.3383858338430592</v>
      </c>
      <c r="AX28" s="86">
        <f>KSeed!AX28*(1-(MOVE!$X$6)/RSeed!AX28)</f>
        <v>8.3383858338430592</v>
      </c>
      <c r="AY28" s="87">
        <f>KSeed!AY28*(1-(MOVE!$X$6)/RSeed!AY28)</f>
        <v>8.3383858338430592</v>
      </c>
      <c r="AZ28" s="72">
        <f>KSeed!AZ28*(1-(MOVE!$X$6)/RSeed!AZ28)</f>
        <v>8.3383858338430592</v>
      </c>
      <c r="BA28" s="35">
        <v>10</v>
      </c>
    </row>
    <row r="29" spans="2:53" x14ac:dyDescent="0.2">
      <c r="B29" s="34">
        <v>11</v>
      </c>
      <c r="C29" s="72">
        <f>KSeed!C29*(1-(MOVE!$C$6)/RSeed!C29)</f>
        <v>83.383858338430599</v>
      </c>
      <c r="D29" s="74">
        <f>KSeed!D29*(1-(MOVE!$C$6)/RSeed!D29)</f>
        <v>83.383858338430599</v>
      </c>
      <c r="E29" s="75">
        <f>KSeed!E29*(1-(MOVE!$C$6)/RSeed!E29)</f>
        <v>83.383858338430599</v>
      </c>
      <c r="F29" s="75">
        <f>KSeed!F29*(1-(MOVE!$C$6)/RSeed!F29)</f>
        <v>83.383858338430599</v>
      </c>
      <c r="G29" s="75">
        <f>KSeed!G29*(1-(MOVE!$C$6)/RSeed!G29)</f>
        <v>83.383858338430599</v>
      </c>
      <c r="H29" s="75">
        <f>KSeed!H29*(1-(MOVE!$C$6)/RSeed!H29)</f>
        <v>83.383858338430599</v>
      </c>
      <c r="I29" s="75">
        <f>KSeed!I29*(1-(MOVE!$C$6)/RSeed!I29)</f>
        <v>83.383858338430599</v>
      </c>
      <c r="J29" s="75">
        <f>KSeed!J29*(1-(MOVE!$C$6)/RSeed!J29)</f>
        <v>83.383858338430599</v>
      </c>
      <c r="K29" s="75">
        <f>KSeed!K29*(1-(MOVE!$C$6)/RSeed!K29)</f>
        <v>83.383858338430599</v>
      </c>
      <c r="L29" s="75">
        <f>KSeed!L29*(1-(MOVE!$C$6)/RSeed!L29)</f>
        <v>83.383858338430599</v>
      </c>
      <c r="M29" s="75">
        <f>KSeed!M29*(1-(MOVE!$C$6)/RSeed!M29)</f>
        <v>83.383858338430599</v>
      </c>
      <c r="N29" s="75">
        <f>KSeed!N29*(1-(MOVE!$C$6)/RSeed!N29)</f>
        <v>83.383858338430599</v>
      </c>
      <c r="O29" s="75">
        <f>KSeed!O29*(1-(MOVE!$C$6)/RSeed!O29)</f>
        <v>83.383858338430599</v>
      </c>
      <c r="P29" s="75">
        <f>KSeed!P29*(1-(MOVE!$C$6)/RSeed!P29)</f>
        <v>83.383858338430599</v>
      </c>
      <c r="Q29" s="75">
        <f>KSeed!Q29*(1-(MOVE!$C$6)/RSeed!Q29)</f>
        <v>83.383858338430599</v>
      </c>
      <c r="R29" s="75">
        <f>KSeed!R29*(1-(MOVE!$C$6)/RSeed!R29)</f>
        <v>83.383858338430599</v>
      </c>
      <c r="S29" s="75">
        <f>KSeed!S29*(1-(MOVE!$C$6)/RSeed!S29)</f>
        <v>83.383858338430599</v>
      </c>
      <c r="T29" s="75">
        <f>KSeed!T29*(1-(MOVE!$C$6)/RSeed!T29)</f>
        <v>83.383858338430599</v>
      </c>
      <c r="U29" s="75">
        <f>KSeed!U29*(1-(MOVE!$C$6)/RSeed!U29)</f>
        <v>83.383858338430599</v>
      </c>
      <c r="V29" s="75">
        <f>KSeed!V29*(1-(MOVE!$C$6)/RSeed!V29)</f>
        <v>83.383858338430599</v>
      </c>
      <c r="W29" s="75">
        <f>KSeed!W29*(1-(MOVE!$C$6)/RSeed!W29)</f>
        <v>83.383858338430599</v>
      </c>
      <c r="X29" s="75">
        <f>KSeed!X29*(1-(MOVE!$C$6)/RSeed!X29)</f>
        <v>83.383858338430599</v>
      </c>
      <c r="Y29" s="75">
        <f>KSeed!Y29*(1-(MOVE!$C$6)/RSeed!Y29)</f>
        <v>83.383858338430599</v>
      </c>
      <c r="Z29" s="75">
        <f>KSeed!Z29*(1-(MOVE!$C$6)/RSeed!Z29)</f>
        <v>83.383858338430599</v>
      </c>
      <c r="AA29" s="75">
        <f>KSeed!AA29*(1-(MOVE!$C$6)/RSeed!AA29)</f>
        <v>83.383858338430599</v>
      </c>
      <c r="AB29" s="75">
        <f>KSeed!AB29*(1-(MOVE!$C$6)/RSeed!AB29)</f>
        <v>83.383858338430599</v>
      </c>
      <c r="AC29" s="75">
        <f>KSeed!AC29*(1-(MOVE!$C$6)/RSeed!AC29)</f>
        <v>83.383858338430599</v>
      </c>
      <c r="AD29" s="75">
        <f>KSeed!AD29*(1-(MOVE!$C$6)/RSeed!AD29)</f>
        <v>83.383858338430599</v>
      </c>
      <c r="AE29" s="75">
        <f>KSeed!AE29*(1-(MOVE!$C$6)/RSeed!AE29)</f>
        <v>83.383858338430599</v>
      </c>
      <c r="AF29" s="75">
        <f>KSeed!AF29*(1-(MOVE!$C$6)/RSeed!AF29)</f>
        <v>83.383858338430599</v>
      </c>
      <c r="AG29" s="75">
        <f>KSeed!AG29*(1-(MOVE!$C$6)/RSeed!AG29)</f>
        <v>83.383858338430599</v>
      </c>
      <c r="AH29" s="75">
        <f>KSeed!AH29*(1-(MOVE!$C$6)/RSeed!AH29)</f>
        <v>83.383858338430599</v>
      </c>
      <c r="AI29" s="75">
        <f>KSeed!AI29*(1-(MOVE!$C$6)/RSeed!AI29)</f>
        <v>83.383858338430599</v>
      </c>
      <c r="AJ29" s="75">
        <f>KSeed!AJ29*(1-(MOVE!$C$6)/RSeed!AJ29)</f>
        <v>83.383858338430599</v>
      </c>
      <c r="AK29" s="75">
        <f>KSeed!AK29*(1-(MOVE!$C$6)/RSeed!AK29)</f>
        <v>83.383858338430599</v>
      </c>
      <c r="AL29" s="75">
        <f>KSeed!AL29*(1-(MOVE!$C$6)/RSeed!AL29)</f>
        <v>83.383858338430599</v>
      </c>
      <c r="AM29" s="75">
        <f>KSeed!AM29*(1-(MOVE!$C$6)/RSeed!AM29)</f>
        <v>83.383858338430599</v>
      </c>
      <c r="AN29" s="75">
        <f>KSeed!AN29*(1-(MOVE!$C$6)/RSeed!AN29)</f>
        <v>83.383858338430599</v>
      </c>
      <c r="AO29" s="75">
        <f>KSeed!AO29*(1-(MOVE!$C$6)/RSeed!AO29)</f>
        <v>83.383858338430599</v>
      </c>
      <c r="AP29" s="75">
        <f>KSeed!AP29*(1-(MOVE!$C$6)/RSeed!AP29)</f>
        <v>83.383858338430599</v>
      </c>
      <c r="AQ29" s="94">
        <f>KSeed!AQ29*(1-(MOVE!$C$6)/RSeed!AQ29)</f>
        <v>83.383858338430599</v>
      </c>
      <c r="AR29" s="92">
        <f>KSeed!AR29*(1-(MOVE!$X$6)/RSeed!AR29)</f>
        <v>8.3383858338430592</v>
      </c>
      <c r="AS29" s="86">
        <f>KSeed!AS29*(1-(MOVE!$X$6)/RSeed!AS29)</f>
        <v>8.3383858338430592</v>
      </c>
      <c r="AT29" s="86">
        <f>KSeed!AT29*(1-(MOVE!$X$6)/RSeed!AT29)</f>
        <v>8.3383858338430592</v>
      </c>
      <c r="AU29" s="86">
        <f>KSeed!AU29*(1-(MOVE!$X$6)/RSeed!AU29)</f>
        <v>8.3383858338430592</v>
      </c>
      <c r="AV29" s="86">
        <f>KSeed!AV29*(1-(MOVE!$X$6)/RSeed!AV29)</f>
        <v>8.3383858338430592</v>
      </c>
      <c r="AW29" s="86">
        <f>KSeed!AW29*(1-(MOVE!$X$6)/RSeed!AW29)</f>
        <v>8.3383858338430592</v>
      </c>
      <c r="AX29" s="86">
        <f>KSeed!AX29*(1-(MOVE!$X$6)/RSeed!AX29)</f>
        <v>8.3383858338430592</v>
      </c>
      <c r="AY29" s="87">
        <f>KSeed!AY29*(1-(MOVE!$X$6)/RSeed!AY29)</f>
        <v>8.3383858338430592</v>
      </c>
      <c r="AZ29" s="72">
        <f>KSeed!AZ29*(1-(MOVE!$X$6)/RSeed!AZ29)</f>
        <v>8.3383858338430592</v>
      </c>
      <c r="BA29" s="35">
        <v>11</v>
      </c>
    </row>
    <row r="30" spans="2:53" x14ac:dyDescent="0.2">
      <c r="B30" s="34">
        <v>12</v>
      </c>
      <c r="C30" s="72">
        <f>KSeed!C30*(1-(MOVE!$C$6)/RSeed!C30)</f>
        <v>83.383858338430599</v>
      </c>
      <c r="D30" s="74">
        <f>KSeed!D30*(1-(MOVE!$C$6)/RSeed!D30)</f>
        <v>83.383858338430599</v>
      </c>
      <c r="E30" s="75">
        <f>KSeed!E30*(1-(MOVE!$C$6)/RSeed!E30)</f>
        <v>83.383858338430599</v>
      </c>
      <c r="F30" s="75">
        <f>KSeed!F30*(1-(MOVE!$C$6)/RSeed!F30)</f>
        <v>83.383858338430599</v>
      </c>
      <c r="G30" s="75">
        <f>KSeed!G30*(1-(MOVE!$C$6)/RSeed!G30)</f>
        <v>83.383858338430599</v>
      </c>
      <c r="H30" s="75">
        <f>KSeed!H30*(1-(MOVE!$C$6)/RSeed!H30)</f>
        <v>83.383858338430599</v>
      </c>
      <c r="I30" s="75">
        <f>KSeed!I30*(1-(MOVE!$C$6)/RSeed!I30)</f>
        <v>83.383858338430599</v>
      </c>
      <c r="J30" s="75">
        <f>KSeed!J30*(1-(MOVE!$C$6)/RSeed!J30)</f>
        <v>83.383858338430599</v>
      </c>
      <c r="K30" s="75">
        <f>KSeed!K30*(1-(MOVE!$C$6)/RSeed!K30)</f>
        <v>83.383858338430599</v>
      </c>
      <c r="L30" s="75">
        <f>KSeed!L30*(1-(MOVE!$C$6)/RSeed!L30)</f>
        <v>83.383858338430599</v>
      </c>
      <c r="M30" s="75">
        <f>KSeed!M30*(1-(MOVE!$C$6)/RSeed!M30)</f>
        <v>83.383858338430599</v>
      </c>
      <c r="N30" s="75">
        <f>KSeed!N30*(1-(MOVE!$C$6)/RSeed!N30)</f>
        <v>83.383858338430599</v>
      </c>
      <c r="O30" s="75">
        <f>KSeed!O30*(1-(MOVE!$C$6)/RSeed!O30)</f>
        <v>83.383858338430599</v>
      </c>
      <c r="P30" s="75">
        <f>KSeed!P30*(1-(MOVE!$C$6)/RSeed!P30)</f>
        <v>83.383858338430599</v>
      </c>
      <c r="Q30" s="75">
        <f>KSeed!Q30*(1-(MOVE!$C$6)/RSeed!Q30)</f>
        <v>83.383858338430599</v>
      </c>
      <c r="R30" s="75">
        <f>KSeed!R30*(1-(MOVE!$C$6)/RSeed!R30)</f>
        <v>83.383858338430599</v>
      </c>
      <c r="S30" s="75">
        <f>KSeed!S30*(1-(MOVE!$C$6)/RSeed!S30)</f>
        <v>83.383858338430599</v>
      </c>
      <c r="T30" s="75">
        <f>KSeed!T30*(1-(MOVE!$C$6)/RSeed!T30)</f>
        <v>83.383858338430599</v>
      </c>
      <c r="U30" s="75">
        <f>KSeed!U30*(1-(MOVE!$C$6)/RSeed!U30)</f>
        <v>83.383858338430599</v>
      </c>
      <c r="V30" s="75">
        <f>KSeed!V30*(1-(MOVE!$C$6)/RSeed!V30)</f>
        <v>83.383858338430599</v>
      </c>
      <c r="W30" s="75">
        <f>KSeed!W30*(1-(MOVE!$C$6)/RSeed!W30)</f>
        <v>83.383858338430599</v>
      </c>
      <c r="X30" s="75">
        <f>KSeed!X30*(1-(MOVE!$C$6)/RSeed!X30)</f>
        <v>83.383858338430599</v>
      </c>
      <c r="Y30" s="75">
        <f>KSeed!Y30*(1-(MOVE!$C$6)/RSeed!Y30)</f>
        <v>83.383858338430599</v>
      </c>
      <c r="Z30" s="75">
        <f>KSeed!Z30*(1-(MOVE!$C$6)/RSeed!Z30)</f>
        <v>83.383858338430599</v>
      </c>
      <c r="AA30" s="75">
        <f>KSeed!AA30*(1-(MOVE!$C$6)/RSeed!AA30)</f>
        <v>83.383858338430599</v>
      </c>
      <c r="AB30" s="75">
        <f>KSeed!AB30*(1-(MOVE!$C$6)/RSeed!AB30)</f>
        <v>83.383858338430599</v>
      </c>
      <c r="AC30" s="75">
        <f>KSeed!AC30*(1-(MOVE!$C$6)/RSeed!AC30)</f>
        <v>83.383858338430599</v>
      </c>
      <c r="AD30" s="75">
        <f>KSeed!AD30*(1-(MOVE!$C$6)/RSeed!AD30)</f>
        <v>83.383858338430599</v>
      </c>
      <c r="AE30" s="75">
        <f>KSeed!AE30*(1-(MOVE!$C$6)/RSeed!AE30)</f>
        <v>83.383858338430599</v>
      </c>
      <c r="AF30" s="75">
        <f>KSeed!AF30*(1-(MOVE!$C$6)/RSeed!AF30)</f>
        <v>83.383858338430599</v>
      </c>
      <c r="AG30" s="75">
        <f>KSeed!AG30*(1-(MOVE!$C$6)/RSeed!AG30)</f>
        <v>83.383858338430599</v>
      </c>
      <c r="AH30" s="75">
        <f>KSeed!AH30*(1-(MOVE!$C$6)/RSeed!AH30)</f>
        <v>83.383858338430599</v>
      </c>
      <c r="AI30" s="75">
        <f>KSeed!AI30*(1-(MOVE!$C$6)/RSeed!AI30)</f>
        <v>83.383858338430599</v>
      </c>
      <c r="AJ30" s="75">
        <f>KSeed!AJ30*(1-(MOVE!$C$6)/RSeed!AJ30)</f>
        <v>83.383858338430599</v>
      </c>
      <c r="AK30" s="75">
        <f>KSeed!AK30*(1-(MOVE!$C$6)/RSeed!AK30)</f>
        <v>83.383858338430599</v>
      </c>
      <c r="AL30" s="75">
        <f>KSeed!AL30*(1-(MOVE!$C$6)/RSeed!AL30)</f>
        <v>83.383858338430599</v>
      </c>
      <c r="AM30" s="75">
        <f>KSeed!AM30*(1-(MOVE!$C$6)/RSeed!AM30)</f>
        <v>83.383858338430599</v>
      </c>
      <c r="AN30" s="75">
        <f>KSeed!AN30*(1-(MOVE!$C$6)/RSeed!AN30)</f>
        <v>83.383858338430599</v>
      </c>
      <c r="AO30" s="75">
        <f>KSeed!AO30*(1-(MOVE!$C$6)/RSeed!AO30)</f>
        <v>83.383858338430599</v>
      </c>
      <c r="AP30" s="75">
        <f>KSeed!AP30*(1-(MOVE!$C$6)/RSeed!AP30)</f>
        <v>83.383858338430599</v>
      </c>
      <c r="AQ30" s="94">
        <f>KSeed!AQ30*(1-(MOVE!$C$6)/RSeed!AQ30)</f>
        <v>83.383858338430599</v>
      </c>
      <c r="AR30" s="92">
        <f>KSeed!AR30*(1-(MOVE!$X$6)/RSeed!AR30)</f>
        <v>8.3383858338430592</v>
      </c>
      <c r="AS30" s="86">
        <f>KSeed!AS30*(1-(MOVE!$X$6)/RSeed!AS30)</f>
        <v>8.3383858338430592</v>
      </c>
      <c r="AT30" s="86">
        <f>KSeed!AT30*(1-(MOVE!$X$6)/RSeed!AT30)</f>
        <v>8.3383858338430592</v>
      </c>
      <c r="AU30" s="86">
        <f>KSeed!AU30*(1-(MOVE!$X$6)/RSeed!AU30)</f>
        <v>8.3383858338430592</v>
      </c>
      <c r="AV30" s="86">
        <f>KSeed!AV30*(1-(MOVE!$X$6)/RSeed!AV30)</f>
        <v>8.3383858338430592</v>
      </c>
      <c r="AW30" s="86">
        <f>KSeed!AW30*(1-(MOVE!$X$6)/RSeed!AW30)</f>
        <v>8.3383858338430592</v>
      </c>
      <c r="AX30" s="86">
        <f>KSeed!AX30*(1-(MOVE!$X$6)/RSeed!AX30)</f>
        <v>8.3383858338430592</v>
      </c>
      <c r="AY30" s="87">
        <f>KSeed!AY30*(1-(MOVE!$X$6)/RSeed!AY30)</f>
        <v>8.3383858338430592</v>
      </c>
      <c r="AZ30" s="72">
        <f>KSeed!AZ30*(1-(MOVE!$X$6)/RSeed!AZ30)</f>
        <v>8.3383858338430592</v>
      </c>
      <c r="BA30" s="35">
        <v>12</v>
      </c>
    </row>
    <row r="31" spans="2:53" x14ac:dyDescent="0.2">
      <c r="B31" s="34">
        <v>13</v>
      </c>
      <c r="C31" s="72">
        <f>KSeed!C31*(1-(MOVE!$C$6)/RSeed!C31)</f>
        <v>83.383858338430599</v>
      </c>
      <c r="D31" s="74">
        <f>KSeed!D31*(1-(MOVE!$C$6)/RSeed!D31)</f>
        <v>83.383858338430599</v>
      </c>
      <c r="E31" s="75">
        <f>KSeed!E31*(1-(MOVE!$C$6)/RSeed!E31)</f>
        <v>83.383858338430599</v>
      </c>
      <c r="F31" s="75">
        <f>KSeed!F31*(1-(MOVE!$C$6)/RSeed!F31)</f>
        <v>83.383858338430599</v>
      </c>
      <c r="G31" s="75">
        <f>KSeed!G31*(1-(MOVE!$C$6)/RSeed!G31)</f>
        <v>83.383858338430599</v>
      </c>
      <c r="H31" s="75">
        <f>KSeed!H31*(1-(MOVE!$C$6)/RSeed!H31)</f>
        <v>83.383858338430599</v>
      </c>
      <c r="I31" s="75">
        <f>KSeed!I31*(1-(MOVE!$C$6)/RSeed!I31)</f>
        <v>83.383858338430599</v>
      </c>
      <c r="J31" s="75">
        <f>KSeed!J31*(1-(MOVE!$C$6)/RSeed!J31)</f>
        <v>83.383858338430599</v>
      </c>
      <c r="K31" s="75">
        <f>KSeed!K31*(1-(MOVE!$C$6)/RSeed!K31)</f>
        <v>83.383858338430599</v>
      </c>
      <c r="L31" s="75">
        <f>KSeed!L31*(1-(MOVE!$C$6)/RSeed!L31)</f>
        <v>83.383858338430599</v>
      </c>
      <c r="M31" s="75">
        <f>KSeed!M31*(1-(MOVE!$C$6)/RSeed!M31)</f>
        <v>83.383858338430599</v>
      </c>
      <c r="N31" s="75">
        <f>KSeed!N31*(1-(MOVE!$C$6)/RSeed!N31)</f>
        <v>83.383858338430599</v>
      </c>
      <c r="O31" s="75">
        <f>KSeed!O31*(1-(MOVE!$C$6)/RSeed!O31)</f>
        <v>83.383858338430599</v>
      </c>
      <c r="P31" s="75">
        <f>KSeed!P31*(1-(MOVE!$C$6)/RSeed!P31)</f>
        <v>83.383858338430599</v>
      </c>
      <c r="Q31" s="75">
        <f>KSeed!Q31*(1-(MOVE!$C$6)/RSeed!Q31)</f>
        <v>83.383858338430599</v>
      </c>
      <c r="R31" s="75">
        <f>KSeed!R31*(1-(MOVE!$C$6)/RSeed!R31)</f>
        <v>83.383858338430599</v>
      </c>
      <c r="S31" s="75">
        <f>KSeed!S31*(1-(MOVE!$C$6)/RSeed!S31)</f>
        <v>83.383858338430599</v>
      </c>
      <c r="T31" s="75">
        <f>KSeed!T31*(1-(MOVE!$C$6)/RSeed!T31)</f>
        <v>83.383858338430599</v>
      </c>
      <c r="U31" s="75">
        <f>KSeed!U31*(1-(MOVE!$C$6)/RSeed!U31)</f>
        <v>83.383858338430599</v>
      </c>
      <c r="V31" s="75">
        <f>KSeed!V31*(1-(MOVE!$C$6)/RSeed!V31)</f>
        <v>83.383858338430599</v>
      </c>
      <c r="W31" s="75">
        <f>KSeed!W31*(1-(MOVE!$C$6)/RSeed!W31)</f>
        <v>83.383858338430599</v>
      </c>
      <c r="X31" s="75">
        <f>KSeed!X31*(1-(MOVE!$C$6)/RSeed!X31)</f>
        <v>83.383858338430599</v>
      </c>
      <c r="Y31" s="75">
        <f>KSeed!Y31*(1-(MOVE!$C$6)/RSeed!Y31)</f>
        <v>83.383858338430599</v>
      </c>
      <c r="Z31" s="75">
        <f>KSeed!Z31*(1-(MOVE!$C$6)/RSeed!Z31)</f>
        <v>83.383858338430599</v>
      </c>
      <c r="AA31" s="75">
        <f>KSeed!AA31*(1-(MOVE!$C$6)/RSeed!AA31)</f>
        <v>83.383858338430599</v>
      </c>
      <c r="AB31" s="75">
        <f>KSeed!AB31*(1-(MOVE!$C$6)/RSeed!AB31)</f>
        <v>83.383858338430599</v>
      </c>
      <c r="AC31" s="75">
        <f>KSeed!AC31*(1-(MOVE!$C$6)/RSeed!AC31)</f>
        <v>83.383858338430599</v>
      </c>
      <c r="AD31" s="75">
        <f>KSeed!AD31*(1-(MOVE!$C$6)/RSeed!AD31)</f>
        <v>83.383858338430599</v>
      </c>
      <c r="AE31" s="75">
        <f>KSeed!AE31*(1-(MOVE!$C$6)/RSeed!AE31)</f>
        <v>83.383858338430599</v>
      </c>
      <c r="AF31" s="75">
        <f>KSeed!AF31*(1-(MOVE!$C$6)/RSeed!AF31)</f>
        <v>83.383858338430599</v>
      </c>
      <c r="AG31" s="75">
        <f>KSeed!AG31*(1-(MOVE!$C$6)/RSeed!AG31)</f>
        <v>83.383858338430599</v>
      </c>
      <c r="AH31" s="75">
        <f>KSeed!AH31*(1-(MOVE!$C$6)/RSeed!AH31)</f>
        <v>83.383858338430599</v>
      </c>
      <c r="AI31" s="75">
        <f>KSeed!AI31*(1-(MOVE!$C$6)/RSeed!AI31)</f>
        <v>83.383858338430599</v>
      </c>
      <c r="AJ31" s="75">
        <f>KSeed!AJ31*(1-(MOVE!$C$6)/RSeed!AJ31)</f>
        <v>83.383858338430599</v>
      </c>
      <c r="AK31" s="75">
        <f>KSeed!AK31*(1-(MOVE!$C$6)/RSeed!AK31)</f>
        <v>83.383858338430599</v>
      </c>
      <c r="AL31" s="75">
        <f>KSeed!AL31*(1-(MOVE!$C$6)/RSeed!AL31)</f>
        <v>83.383858338430599</v>
      </c>
      <c r="AM31" s="75">
        <f>KSeed!AM31*(1-(MOVE!$C$6)/RSeed!AM31)</f>
        <v>83.383858338430599</v>
      </c>
      <c r="AN31" s="75">
        <f>KSeed!AN31*(1-(MOVE!$C$6)/RSeed!AN31)</f>
        <v>83.383858338430599</v>
      </c>
      <c r="AO31" s="75">
        <f>KSeed!AO31*(1-(MOVE!$C$6)/RSeed!AO31)</f>
        <v>83.383858338430599</v>
      </c>
      <c r="AP31" s="75">
        <f>KSeed!AP31*(1-(MOVE!$C$6)/RSeed!AP31)</f>
        <v>83.383858338430599</v>
      </c>
      <c r="AQ31" s="94">
        <f>KSeed!AQ31*(1-(MOVE!$C$6)/RSeed!AQ31)</f>
        <v>83.383858338430599</v>
      </c>
      <c r="AR31" s="92">
        <f>KSeed!AR31*(1-(MOVE!$X$6)/RSeed!AR31)</f>
        <v>8.3383858338430592</v>
      </c>
      <c r="AS31" s="86">
        <f>KSeed!AS31*(1-(MOVE!$X$6)/RSeed!AS31)</f>
        <v>8.3383858338430592</v>
      </c>
      <c r="AT31" s="86">
        <f>KSeed!AT31*(1-(MOVE!$X$6)/RSeed!AT31)</f>
        <v>8.3383858338430592</v>
      </c>
      <c r="AU31" s="86">
        <f>KSeed!AU31*(1-(MOVE!$X$6)/RSeed!AU31)</f>
        <v>8.3383858338430592</v>
      </c>
      <c r="AV31" s="86">
        <f>KSeed!AV31*(1-(MOVE!$X$6)/RSeed!AV31)</f>
        <v>8.3383858338430592</v>
      </c>
      <c r="AW31" s="86">
        <f>KSeed!AW31*(1-(MOVE!$X$6)/RSeed!AW31)</f>
        <v>8.3383858338430592</v>
      </c>
      <c r="AX31" s="86">
        <f>KSeed!AX31*(1-(MOVE!$X$6)/RSeed!AX31)</f>
        <v>8.3383858338430592</v>
      </c>
      <c r="AY31" s="87">
        <f>KSeed!AY31*(1-(MOVE!$X$6)/RSeed!AY31)</f>
        <v>8.3383858338430592</v>
      </c>
      <c r="AZ31" s="72">
        <f>KSeed!AZ31*(1-(MOVE!$X$6)/RSeed!AZ31)</f>
        <v>8.3383858338430592</v>
      </c>
      <c r="BA31" s="35">
        <v>13</v>
      </c>
    </row>
    <row r="32" spans="2:53" x14ac:dyDescent="0.2">
      <c r="B32" s="34">
        <v>14</v>
      </c>
      <c r="C32" s="72">
        <f>KSeed!C32*(1-(MOVE!$C$6)/RSeed!C32)</f>
        <v>83.383858338430599</v>
      </c>
      <c r="D32" s="74">
        <f>KSeed!D32*(1-(MOVE!$C$6)/RSeed!D32)</f>
        <v>83.383858338430599</v>
      </c>
      <c r="E32" s="75">
        <f>KSeed!E32*(1-(MOVE!$C$6)/RSeed!E32)</f>
        <v>83.383858338430599</v>
      </c>
      <c r="F32" s="75">
        <f>KSeed!F32*(1-(MOVE!$C$6)/RSeed!F32)</f>
        <v>83.383858338430599</v>
      </c>
      <c r="G32" s="75">
        <f>KSeed!G32*(1-(MOVE!$C$6)/RSeed!G32)</f>
        <v>83.383858338430599</v>
      </c>
      <c r="H32" s="75">
        <f>KSeed!H32*(1-(MOVE!$C$6)/RSeed!H32)</f>
        <v>83.383858338430599</v>
      </c>
      <c r="I32" s="75">
        <f>KSeed!I32*(1-(MOVE!$C$6)/RSeed!I32)</f>
        <v>83.383858338430599</v>
      </c>
      <c r="J32" s="75">
        <f>KSeed!J32*(1-(MOVE!$C$6)/RSeed!J32)</f>
        <v>83.383858338430599</v>
      </c>
      <c r="K32" s="75">
        <f>KSeed!K32*(1-(MOVE!$C$6)/RSeed!K32)</f>
        <v>83.383858338430599</v>
      </c>
      <c r="L32" s="75">
        <f>KSeed!L32*(1-(MOVE!$C$6)/RSeed!L32)</f>
        <v>83.383858338430599</v>
      </c>
      <c r="M32" s="75">
        <f>KSeed!M32*(1-(MOVE!$C$6)/RSeed!M32)</f>
        <v>83.383858338430599</v>
      </c>
      <c r="N32" s="75">
        <f>KSeed!N32*(1-(MOVE!$C$6)/RSeed!N32)</f>
        <v>83.383858338430599</v>
      </c>
      <c r="O32" s="75">
        <f>KSeed!O32*(1-(MOVE!$C$6)/RSeed!O32)</f>
        <v>83.383858338430599</v>
      </c>
      <c r="P32" s="75">
        <f>KSeed!P32*(1-(MOVE!$C$6)/RSeed!P32)</f>
        <v>83.383858338430599</v>
      </c>
      <c r="Q32" s="75">
        <f>KSeed!Q32*(1-(MOVE!$C$6)/RSeed!Q32)</f>
        <v>83.383858338430599</v>
      </c>
      <c r="R32" s="75">
        <f>KSeed!R32*(1-(MOVE!$C$6)/RSeed!R32)</f>
        <v>83.383858338430599</v>
      </c>
      <c r="S32" s="75">
        <f>KSeed!S32*(1-(MOVE!$C$6)/RSeed!S32)</f>
        <v>83.383858338430599</v>
      </c>
      <c r="T32" s="75">
        <f>KSeed!T32*(1-(MOVE!$C$6)/RSeed!T32)</f>
        <v>83.383858338430599</v>
      </c>
      <c r="U32" s="75">
        <f>KSeed!U32*(1-(MOVE!$C$6)/RSeed!U32)</f>
        <v>83.383858338430599</v>
      </c>
      <c r="V32" s="75">
        <f>KSeed!V32*(1-(MOVE!$C$6)/RSeed!V32)</f>
        <v>83.383858338430599</v>
      </c>
      <c r="W32" s="106">
        <f>KSeed!W32*(1-(MOVE!$J$6)/RSeed!W32)</f>
        <v>83.383858338430599</v>
      </c>
      <c r="X32" s="107">
        <f>KSeed!X32*(1-(MOVE!$J$6)/RSeed!X32)</f>
        <v>83.383858338430599</v>
      </c>
      <c r="Y32" s="107">
        <f>KSeed!Y32*(1-(MOVE!$J$6)/RSeed!Y32)</f>
        <v>83.383858338430599</v>
      </c>
      <c r="Z32" s="107">
        <f>KSeed!Z32*(1-(MOVE!$J$6)/RSeed!Z32)</f>
        <v>83.383858338430599</v>
      </c>
      <c r="AA32" s="107">
        <f>KSeed!AA32*(1-(MOVE!$J$6)/RSeed!AA32)</f>
        <v>83.383858338430599</v>
      </c>
      <c r="AB32" s="107">
        <f>KSeed!AB32*(1-(MOVE!$J$6)/RSeed!AB32)</f>
        <v>83.383858338430599</v>
      </c>
      <c r="AC32" s="107">
        <f>KSeed!AC32*(1-(MOVE!$J$6)/RSeed!AC32)</f>
        <v>83.383858338430599</v>
      </c>
      <c r="AD32" s="107">
        <f>KSeed!AD32*(1-(MOVE!$J$6)/RSeed!AD32)</f>
        <v>83.383858338430599</v>
      </c>
      <c r="AE32" s="107">
        <f>KSeed!AE32*(1-(MOVE!$J$6)/RSeed!AE32)</f>
        <v>83.383858338430599</v>
      </c>
      <c r="AF32" s="107">
        <f>KSeed!AF32*(1-(MOVE!$J$6)/RSeed!AF32)</f>
        <v>83.383858338430599</v>
      </c>
      <c r="AG32" s="107">
        <f>KSeed!AG32*(1-(MOVE!$J$6)/RSeed!AG32)</f>
        <v>83.383858338430599</v>
      </c>
      <c r="AH32" s="107">
        <f>KSeed!AH32*(1-(MOVE!$J$6)/RSeed!AH32)</f>
        <v>83.383858338430599</v>
      </c>
      <c r="AI32" s="107">
        <f>KSeed!AI32*(1-(MOVE!$J$6)/RSeed!AI32)</f>
        <v>83.383858338430599</v>
      </c>
      <c r="AJ32" s="107">
        <f>KSeed!AJ32*(1-(MOVE!$J$6)/RSeed!AJ32)</f>
        <v>83.383858338430599</v>
      </c>
      <c r="AK32" s="107">
        <f>KSeed!AK32*(1-(MOVE!$J$6)/RSeed!AK32)</f>
        <v>83.383858338430599</v>
      </c>
      <c r="AL32" s="107">
        <f>KSeed!AL32*(1-(MOVE!$J$6)/RSeed!AL32)</f>
        <v>83.383858338430599</v>
      </c>
      <c r="AM32" s="107">
        <f>KSeed!AM32*(1-(MOVE!$J$6)/RSeed!AM32)</f>
        <v>83.383858338430599</v>
      </c>
      <c r="AN32" s="107">
        <f>KSeed!AN32*(1-(MOVE!$J$6)/RSeed!AN32)</f>
        <v>83.383858338430599</v>
      </c>
      <c r="AO32" s="107">
        <f>KSeed!AO32*(1-(MOVE!$J$6)/RSeed!AO32)</f>
        <v>83.383858338430599</v>
      </c>
      <c r="AP32" s="107">
        <f>KSeed!AP32*(1-(MOVE!$J$6)/RSeed!AP32)</f>
        <v>83.383858338430599</v>
      </c>
      <c r="AQ32" s="108">
        <f>KSeed!AQ32*(1-(MOVE!$J$6)/RSeed!AQ32)</f>
        <v>83.383858338430599</v>
      </c>
      <c r="AR32" s="92">
        <f>KSeed!AR32*(1-(MOVE!$X$6)/RSeed!AR32)</f>
        <v>8.3383858338430592</v>
      </c>
      <c r="AS32" s="86">
        <f>KSeed!AS32*(1-(MOVE!$X$6)/RSeed!AS32)</f>
        <v>8.3383858338430592</v>
      </c>
      <c r="AT32" s="86">
        <f>KSeed!AT32*(1-(MOVE!$X$6)/RSeed!AT32)</f>
        <v>8.3383858338430592</v>
      </c>
      <c r="AU32" s="86">
        <f>KSeed!AU32*(1-(MOVE!$X$6)/RSeed!AU32)</f>
        <v>8.3383858338430592</v>
      </c>
      <c r="AV32" s="86">
        <f>KSeed!AV32*(1-(MOVE!$X$6)/RSeed!AV32)</f>
        <v>8.3383858338430592</v>
      </c>
      <c r="AW32" s="86">
        <f>KSeed!AW32*(1-(MOVE!$X$6)/RSeed!AW32)</f>
        <v>8.3383858338430592</v>
      </c>
      <c r="AX32" s="86">
        <f>KSeed!AX32*(1-(MOVE!$X$6)/RSeed!AX32)</f>
        <v>8.3383858338430592</v>
      </c>
      <c r="AY32" s="87">
        <f>KSeed!AY32*(1-(MOVE!$X$6)/RSeed!AY32)</f>
        <v>8.3383858338430592</v>
      </c>
      <c r="AZ32" s="72">
        <f>KSeed!AZ32*(1-(MOVE!$X$6)/RSeed!AZ32)</f>
        <v>8.3383858338430592</v>
      </c>
      <c r="BA32" s="35">
        <v>14</v>
      </c>
    </row>
    <row r="33" spans="2:53" x14ac:dyDescent="0.2">
      <c r="B33" s="34">
        <v>15</v>
      </c>
      <c r="C33" s="72">
        <f>KSeed!C33*(1-(MOVE!$C$6)/RSeed!C33)</f>
        <v>83.383858338430599</v>
      </c>
      <c r="D33" s="74">
        <f>KSeed!D33*(1-(MOVE!$C$6)/RSeed!D33)</f>
        <v>83.383858338430599</v>
      </c>
      <c r="E33" s="75">
        <f>KSeed!E33*(1-(MOVE!$C$6)/RSeed!E33)</f>
        <v>83.383858338430599</v>
      </c>
      <c r="F33" s="75">
        <f>KSeed!F33*(1-(MOVE!$C$6)/RSeed!F33)</f>
        <v>83.383858338430599</v>
      </c>
      <c r="G33" s="75">
        <f>KSeed!G33*(1-(MOVE!$C$6)/RSeed!G33)</f>
        <v>83.383858338430599</v>
      </c>
      <c r="H33" s="75">
        <f>KSeed!H33*(1-(MOVE!$C$6)/RSeed!H33)</f>
        <v>83.383858338430599</v>
      </c>
      <c r="I33" s="75">
        <f>KSeed!I33*(1-(MOVE!$C$6)/RSeed!I33)</f>
        <v>83.383858338430599</v>
      </c>
      <c r="J33" s="75">
        <f>KSeed!J33*(1-(MOVE!$C$6)/RSeed!J33)</f>
        <v>83.383858338430599</v>
      </c>
      <c r="K33" s="75">
        <f>KSeed!K33*(1-(MOVE!$C$6)/RSeed!K33)</f>
        <v>83.383858338430599</v>
      </c>
      <c r="L33" s="75">
        <f>KSeed!L33*(1-(MOVE!$C$6)/RSeed!L33)</f>
        <v>83.383858338430599</v>
      </c>
      <c r="M33" s="75">
        <f>KSeed!M33*(1-(MOVE!$C$6)/RSeed!M33)</f>
        <v>83.383858338430599</v>
      </c>
      <c r="N33" s="75">
        <f>KSeed!N33*(1-(MOVE!$C$6)/RSeed!N33)</f>
        <v>83.383858338430599</v>
      </c>
      <c r="O33" s="75">
        <f>KSeed!O33*(1-(MOVE!$C$6)/RSeed!O33)</f>
        <v>83.383858338430599</v>
      </c>
      <c r="P33" s="75">
        <f>KSeed!P33*(1-(MOVE!$C$6)/RSeed!P33)</f>
        <v>83.383858338430599</v>
      </c>
      <c r="Q33" s="75">
        <f>KSeed!Q33*(1-(MOVE!$C$6)/RSeed!Q33)</f>
        <v>83.383858338430599</v>
      </c>
      <c r="R33" s="75">
        <f>KSeed!R33*(1-(MOVE!$C$6)/RSeed!R33)</f>
        <v>83.383858338430599</v>
      </c>
      <c r="S33" s="75">
        <f>KSeed!S33*(1-(MOVE!$C$6)/RSeed!S33)</f>
        <v>83.383858338430599</v>
      </c>
      <c r="T33" s="75">
        <f>KSeed!T33*(1-(MOVE!$C$6)/RSeed!T33)</f>
        <v>83.383858338430599</v>
      </c>
      <c r="U33" s="75">
        <f>KSeed!U33*(1-(MOVE!$C$6)/RSeed!U33)</f>
        <v>83.383858338430599</v>
      </c>
      <c r="V33" s="75">
        <f>KSeed!V33*(1-(MOVE!$C$6)/RSeed!V33)</f>
        <v>83.383858338430599</v>
      </c>
      <c r="W33" s="109">
        <f>KSeed!W33*(1-(MOVE!$J$6)/RSeed!W33)</f>
        <v>83.383858338430599</v>
      </c>
      <c r="X33" s="83">
        <f>KSeed!X33*(1-(MOVE!$J$6)/RSeed!X33)</f>
        <v>83.383858338430599</v>
      </c>
      <c r="Y33" s="83">
        <f>KSeed!Y33*(1-(MOVE!$J$6)/RSeed!Y33)</f>
        <v>83.383858338430599</v>
      </c>
      <c r="Z33" s="83">
        <f>KSeed!Z33*(1-(MOVE!$J$6)/RSeed!Z33)</f>
        <v>83.383858338430599</v>
      </c>
      <c r="AA33" s="83">
        <f>KSeed!AA33*(1-(MOVE!$J$6)/RSeed!AA33)</f>
        <v>83.383858338430599</v>
      </c>
      <c r="AB33" s="83">
        <f>KSeed!AB33*(1-(MOVE!$J$6)/RSeed!AB33)</f>
        <v>83.383858338430599</v>
      </c>
      <c r="AC33" s="83">
        <f>KSeed!AC33*(1-(MOVE!$J$6)/RSeed!AC33)</f>
        <v>83.383858338430599</v>
      </c>
      <c r="AD33" s="83">
        <f>KSeed!AD33*(1-(MOVE!$J$6)/RSeed!AD33)</f>
        <v>83.383858338430599</v>
      </c>
      <c r="AE33" s="83">
        <f>KSeed!AE33*(1-(MOVE!$J$6)/RSeed!AE33)</f>
        <v>83.383858338430599</v>
      </c>
      <c r="AF33" s="83">
        <f>KSeed!AF33*(1-(MOVE!$J$6)/RSeed!AF33)</f>
        <v>83.383858338430599</v>
      </c>
      <c r="AG33" s="83">
        <f>KSeed!AG33*(1-(MOVE!$J$6)/RSeed!AG33)</f>
        <v>83.383858338430599</v>
      </c>
      <c r="AH33" s="83">
        <f>KSeed!AH33*(1-(MOVE!$J$6)/RSeed!AH33)</f>
        <v>83.383858338430599</v>
      </c>
      <c r="AI33" s="83">
        <f>KSeed!AI33*(1-(MOVE!$J$6)/RSeed!AI33)</f>
        <v>83.383858338430599</v>
      </c>
      <c r="AJ33" s="83">
        <f>KSeed!AJ33*(1-(MOVE!$J$6)/RSeed!AJ33)</f>
        <v>83.383858338430599</v>
      </c>
      <c r="AK33" s="83">
        <f>KSeed!AK33*(1-(MOVE!$J$6)/RSeed!AK33)</f>
        <v>83.383858338430599</v>
      </c>
      <c r="AL33" s="83">
        <f>KSeed!AL33*(1-(MOVE!$J$6)/RSeed!AL33)</f>
        <v>83.383858338430599</v>
      </c>
      <c r="AM33" s="83">
        <f>KSeed!AM33*(1-(MOVE!$J$6)/RSeed!AM33)</f>
        <v>83.383858338430599</v>
      </c>
      <c r="AN33" s="83">
        <f>KSeed!AN33*(1-(MOVE!$J$6)/RSeed!AN33)</f>
        <v>83.383858338430599</v>
      </c>
      <c r="AO33" s="83">
        <f>KSeed!AO33*(1-(MOVE!$J$6)/RSeed!AO33)</f>
        <v>83.383858338430599</v>
      </c>
      <c r="AP33" s="83">
        <f>KSeed!AP33*(1-(MOVE!$J$6)/RSeed!AP33)</f>
        <v>83.383858338430599</v>
      </c>
      <c r="AQ33" s="110">
        <f>KSeed!AQ33*(1-(MOVE!$J$6)/RSeed!AQ33)</f>
        <v>83.383858338430599</v>
      </c>
      <c r="AR33" s="92">
        <f>KSeed!AR33*(1-(MOVE!$X$6)/RSeed!AR33)</f>
        <v>8.3383858338430592</v>
      </c>
      <c r="AS33" s="86">
        <f>KSeed!AS33*(1-(MOVE!$X$6)/RSeed!AS33)</f>
        <v>8.3383858338430592</v>
      </c>
      <c r="AT33" s="86">
        <f>KSeed!AT33*(1-(MOVE!$X$6)/RSeed!AT33)</f>
        <v>8.3383858338430592</v>
      </c>
      <c r="AU33" s="86">
        <f>KSeed!AU33*(1-(MOVE!$X$6)/RSeed!AU33)</f>
        <v>8.3383858338430592</v>
      </c>
      <c r="AV33" s="86">
        <f>KSeed!AV33*(1-(MOVE!$X$6)/RSeed!AV33)</f>
        <v>8.3383858338430592</v>
      </c>
      <c r="AW33" s="86">
        <f>KSeed!AW33*(1-(MOVE!$X$6)/RSeed!AW33)</f>
        <v>8.3383858338430592</v>
      </c>
      <c r="AX33" s="86">
        <f>KSeed!AX33*(1-(MOVE!$X$6)/RSeed!AX33)</f>
        <v>8.3383858338430592</v>
      </c>
      <c r="AY33" s="87">
        <f>KSeed!AY33*(1-(MOVE!$X$6)/RSeed!AY33)</f>
        <v>8.3383858338430592</v>
      </c>
      <c r="AZ33" s="72">
        <f>KSeed!AZ33*(1-(MOVE!$X$6)/RSeed!AZ33)</f>
        <v>8.3383858338430592</v>
      </c>
      <c r="BA33" s="35">
        <v>15</v>
      </c>
    </row>
    <row r="34" spans="2:53" x14ac:dyDescent="0.2">
      <c r="B34" s="34">
        <v>16</v>
      </c>
      <c r="C34" s="72">
        <f>KSeed!C34*(1-(MOVE!$C$6)/RSeed!C34)</f>
        <v>83.383858338430599</v>
      </c>
      <c r="D34" s="74">
        <f>KSeed!D34*(1-(MOVE!$C$6)/RSeed!D34)</f>
        <v>83.383858338430599</v>
      </c>
      <c r="E34" s="75">
        <f>KSeed!E34*(1-(MOVE!$C$6)/RSeed!E34)</f>
        <v>83.383858338430599</v>
      </c>
      <c r="F34" s="75">
        <f>KSeed!F34*(1-(MOVE!$C$6)/RSeed!F34)</f>
        <v>83.383858338430599</v>
      </c>
      <c r="G34" s="75">
        <f>KSeed!G34*(1-(MOVE!$C$6)/RSeed!G34)</f>
        <v>83.383858338430599</v>
      </c>
      <c r="H34" s="75">
        <f>KSeed!H34*(1-(MOVE!$C$6)/RSeed!H34)</f>
        <v>83.383858338430599</v>
      </c>
      <c r="I34" s="75">
        <f>KSeed!I34*(1-(MOVE!$C$6)/RSeed!I34)</f>
        <v>83.383858338430599</v>
      </c>
      <c r="J34" s="75">
        <f>KSeed!J34*(1-(MOVE!$C$6)/RSeed!J34)</f>
        <v>83.383858338430599</v>
      </c>
      <c r="K34" s="75">
        <f>KSeed!K34*(1-(MOVE!$C$6)/RSeed!K34)</f>
        <v>83.383858338430599</v>
      </c>
      <c r="L34" s="75">
        <f>KSeed!L34*(1-(MOVE!$C$6)/RSeed!L34)</f>
        <v>83.383858338430599</v>
      </c>
      <c r="M34" s="75">
        <f>KSeed!M34*(1-(MOVE!$C$6)/RSeed!M34)</f>
        <v>83.383858338430599</v>
      </c>
      <c r="N34" s="75">
        <f>KSeed!N34*(1-(MOVE!$C$6)/RSeed!N34)</f>
        <v>83.383858338430599</v>
      </c>
      <c r="O34" s="75">
        <f>KSeed!O34*(1-(MOVE!$C$6)/RSeed!O34)</f>
        <v>83.383858338430599</v>
      </c>
      <c r="P34" s="75">
        <f>KSeed!P34*(1-(MOVE!$C$6)/RSeed!P34)</f>
        <v>83.383858338430599</v>
      </c>
      <c r="Q34" s="75">
        <f>KSeed!Q34*(1-(MOVE!$C$6)/RSeed!Q34)</f>
        <v>83.383858338430599</v>
      </c>
      <c r="R34" s="75">
        <f>KSeed!R34*(1-(MOVE!$C$6)/RSeed!R34)</f>
        <v>83.383858338430599</v>
      </c>
      <c r="S34" s="75">
        <f>KSeed!S34*(1-(MOVE!$C$6)/RSeed!S34)</f>
        <v>83.383858338430599</v>
      </c>
      <c r="T34" s="75">
        <f>KSeed!T34*(1-(MOVE!$C$6)/RSeed!T34)</f>
        <v>83.383858338430599</v>
      </c>
      <c r="U34" s="75">
        <f>KSeed!U34*(1-(MOVE!$C$6)/RSeed!U34)</f>
        <v>83.383858338430599</v>
      </c>
      <c r="V34" s="75">
        <f>KSeed!V34*(1-(MOVE!$C$6)/RSeed!V34)</f>
        <v>83.383858338430599</v>
      </c>
      <c r="W34" s="109">
        <f>KSeed!W34*(1-(MOVE!$J$6)/RSeed!W34)</f>
        <v>83.383858338430599</v>
      </c>
      <c r="X34" s="83">
        <f>KSeed!X34*(1-(MOVE!$J$6)/RSeed!X34)</f>
        <v>83.383858338430599</v>
      </c>
      <c r="Y34" s="83">
        <f>KSeed!Y34*(1-(MOVE!$J$6)/RSeed!Y34)</f>
        <v>83.383858338430599</v>
      </c>
      <c r="Z34" s="83">
        <f>KSeed!Z34*(1-(MOVE!$J$6)/RSeed!Z34)</f>
        <v>83.383858338430599</v>
      </c>
      <c r="AA34" s="83">
        <f>KSeed!AA34*(1-(MOVE!$J$6)/RSeed!AA34)</f>
        <v>83.383858338430599</v>
      </c>
      <c r="AB34" s="150">
        <f>KSeed!AB34*(1-(MOVE!$J$6)/RSeed!AB34)</f>
        <v>83.383858338430599</v>
      </c>
      <c r="AC34" s="150">
        <f>KSeed!AC34*(1-(MOVE!$J$6)/RSeed!AC34)</f>
        <v>83.383858338430599</v>
      </c>
      <c r="AD34" s="150">
        <f>KSeed!AD34*(1-(MOVE!$J$6)/RSeed!AD34)</f>
        <v>83.383858338430599</v>
      </c>
      <c r="AE34" s="150">
        <f>KSeed!AE34*(1-(MOVE!$J$6)/RSeed!AE34)</f>
        <v>83.383858338430599</v>
      </c>
      <c r="AF34" s="83">
        <f>KSeed!AF34*(1-(MOVE!$J$6)/RSeed!AF34)</f>
        <v>83.383858338430599</v>
      </c>
      <c r="AG34" s="83">
        <f>KSeed!AG34*(1-(MOVE!$J$6)/RSeed!AG34)</f>
        <v>83.383858338430599</v>
      </c>
      <c r="AH34" s="83">
        <f>KSeed!AH34*(1-(MOVE!$J$6)/RSeed!AH34)</f>
        <v>83.383858338430599</v>
      </c>
      <c r="AI34" s="83">
        <f>KSeed!AI34*(1-(MOVE!$J$6)/RSeed!AI34)</f>
        <v>83.383858338430599</v>
      </c>
      <c r="AJ34" s="83">
        <f>KSeed!AJ34*(1-(MOVE!$J$6)/RSeed!AJ34)</f>
        <v>83.383858338430599</v>
      </c>
      <c r="AK34" s="83">
        <f>KSeed!AK34*(1-(MOVE!$J$6)/RSeed!AK34)</f>
        <v>83.383858338430599</v>
      </c>
      <c r="AL34" s="83">
        <f>KSeed!AL34*(1-(MOVE!$J$6)/RSeed!AL34)</f>
        <v>83.383858338430599</v>
      </c>
      <c r="AM34" s="83">
        <f>KSeed!AM34*(1-(MOVE!$J$6)/RSeed!AM34)</f>
        <v>83.383858338430599</v>
      </c>
      <c r="AN34" s="83">
        <f>KSeed!AN34*(1-(MOVE!$J$6)/RSeed!AN34)</f>
        <v>83.383858338430599</v>
      </c>
      <c r="AO34" s="83">
        <f>KSeed!AO34*(1-(MOVE!$J$6)/RSeed!AO34)</f>
        <v>83.383858338430599</v>
      </c>
      <c r="AP34" s="83">
        <f>KSeed!AP34*(1-(MOVE!$J$6)/RSeed!AP34)</f>
        <v>83.383858338430599</v>
      </c>
      <c r="AQ34" s="110">
        <f>KSeed!AQ34*(1-(MOVE!$J$6)/RSeed!AQ34)</f>
        <v>83.383858338430599</v>
      </c>
      <c r="AR34" s="92">
        <f>KSeed!AR34*(1-(MOVE!$X$6)/RSeed!AR34)</f>
        <v>8.3383858338430592</v>
      </c>
      <c r="AS34" s="86">
        <f>KSeed!AS34*(1-(MOVE!$X$6)/RSeed!AS34)</f>
        <v>8.3383858338430592</v>
      </c>
      <c r="AT34" s="86">
        <f>KSeed!AT34*(1-(MOVE!$X$6)/RSeed!AT34)</f>
        <v>8.3383858338430592</v>
      </c>
      <c r="AU34" s="86">
        <f>KSeed!AU34*(1-(MOVE!$X$6)/RSeed!AU34)</f>
        <v>8.3383858338430592</v>
      </c>
      <c r="AV34" s="86">
        <f>KSeed!AV34*(1-(MOVE!$X$6)/RSeed!AV34)</f>
        <v>8.3383858338430592</v>
      </c>
      <c r="AW34" s="86">
        <f>KSeed!AW34*(1-(MOVE!$X$6)/RSeed!AW34)</f>
        <v>8.3383858338430592</v>
      </c>
      <c r="AX34" s="86">
        <f>KSeed!AX34*(1-(MOVE!$X$6)/RSeed!AX34)</f>
        <v>8.3383858338430592</v>
      </c>
      <c r="AY34" s="87">
        <f>KSeed!AY34*(1-(MOVE!$X$6)/RSeed!AY34)</f>
        <v>8.3383858338430592</v>
      </c>
      <c r="AZ34" s="72">
        <f>KSeed!AZ34*(1-(MOVE!$X$6)/RSeed!AZ34)</f>
        <v>8.3383858338430592</v>
      </c>
      <c r="BA34" s="35">
        <v>16</v>
      </c>
    </row>
    <row r="35" spans="2:53" x14ac:dyDescent="0.2">
      <c r="B35" s="34">
        <v>17</v>
      </c>
      <c r="C35" s="72">
        <f>KSeed!C35*(1-(MOVE!$C$6)/RSeed!C35)</f>
        <v>83.383858338430599</v>
      </c>
      <c r="D35" s="74">
        <f>KSeed!D35*(1-(MOVE!$C$6)/RSeed!D35)</f>
        <v>83.383858338430599</v>
      </c>
      <c r="E35" s="75">
        <f>KSeed!E35*(1-(MOVE!$C$6)/RSeed!E35)</f>
        <v>83.383858338430599</v>
      </c>
      <c r="F35" s="75">
        <f>KSeed!F35*(1-(MOVE!$C$6)/RSeed!F35)</f>
        <v>83.383858338430599</v>
      </c>
      <c r="G35" s="75">
        <f>KSeed!G35*(1-(MOVE!$C$6)/RSeed!G35)</f>
        <v>83.383858338430599</v>
      </c>
      <c r="H35" s="75">
        <f>KSeed!H35*(1-(MOVE!$C$6)/RSeed!H35)</f>
        <v>83.383858338430599</v>
      </c>
      <c r="I35" s="75">
        <f>KSeed!I35*(1-(MOVE!$C$6)/RSeed!I35)</f>
        <v>83.383858338430599</v>
      </c>
      <c r="J35" s="75">
        <f>KSeed!J35*(1-(MOVE!$C$6)/RSeed!J35)</f>
        <v>83.383858338430599</v>
      </c>
      <c r="K35" s="75">
        <f>KSeed!K35*(1-(MOVE!$C$6)/RSeed!K35)</f>
        <v>83.383858338430599</v>
      </c>
      <c r="L35" s="75">
        <f>KSeed!L35*(1-(MOVE!$C$6)/RSeed!L35)</f>
        <v>83.383858338430599</v>
      </c>
      <c r="M35" s="75">
        <f>KSeed!M35*(1-(MOVE!$C$6)/RSeed!M35)</f>
        <v>83.383858338430599</v>
      </c>
      <c r="N35" s="75">
        <f>KSeed!N35*(1-(MOVE!$C$6)/RSeed!N35)</f>
        <v>83.383858338430599</v>
      </c>
      <c r="O35" s="75">
        <f>KSeed!O35*(1-(MOVE!$C$6)/RSeed!O35)</f>
        <v>83.383858338430599</v>
      </c>
      <c r="P35" s="75">
        <f>KSeed!P35*(1-(MOVE!$C$6)/RSeed!P35)</f>
        <v>83.383858338430599</v>
      </c>
      <c r="Q35" s="75">
        <f>KSeed!Q35*(1-(MOVE!$C$6)/RSeed!Q35)</f>
        <v>83.383858338430599</v>
      </c>
      <c r="R35" s="75">
        <f>KSeed!R35*(1-(MOVE!$C$6)/RSeed!R35)</f>
        <v>83.383858338430599</v>
      </c>
      <c r="S35" s="75">
        <f>KSeed!S35*(1-(MOVE!$C$6)/RSeed!S35)</f>
        <v>83.383858338430599</v>
      </c>
      <c r="T35" s="75">
        <f>KSeed!T35*(1-(MOVE!$C$6)/RSeed!T35)</f>
        <v>83.383858338430599</v>
      </c>
      <c r="U35" s="75">
        <f>KSeed!U35*(1-(MOVE!$C$6)/RSeed!U35)</f>
        <v>83.383858338430599</v>
      </c>
      <c r="V35" s="75">
        <f>KSeed!V35*(1-(MOVE!$C$6)/RSeed!V35)</f>
        <v>83.383858338430599</v>
      </c>
      <c r="W35" s="109">
        <f>KSeed!W35*(1-(MOVE!$J$6)/RSeed!W35)</f>
        <v>83.383858338430599</v>
      </c>
      <c r="X35" s="83">
        <f>KSeed!X35*(1-(MOVE!$J$6)/RSeed!X35)</f>
        <v>83.383858338430599</v>
      </c>
      <c r="Y35" s="83">
        <f>KSeed!Y35*(1-(MOVE!$J$6)/RSeed!Y35)</f>
        <v>83.383858338430599</v>
      </c>
      <c r="Z35" s="83">
        <f>KSeed!Z35*(1-(MOVE!$J$6)/RSeed!Z35)</f>
        <v>83.383858338430599</v>
      </c>
      <c r="AA35" s="83">
        <f>KSeed!AA35*(1-(MOVE!$J$6)/RSeed!AA35)</f>
        <v>83.383858338430599</v>
      </c>
      <c r="AB35" s="150">
        <f>KSeed!AB35*(1-(MOVE!$J$6)/RSeed!AB35)</f>
        <v>83.383858338430599</v>
      </c>
      <c r="AC35" s="150">
        <f>KSeed!AC35*(1-(MOVE!$J$6)/RSeed!AC35)</f>
        <v>83.383858338430599</v>
      </c>
      <c r="AD35" s="150">
        <f>KSeed!AD35*(1-(MOVE!$J$6)/RSeed!AD35)</f>
        <v>83.383858338430599</v>
      </c>
      <c r="AE35" s="150">
        <f>KSeed!AE35*(1-(MOVE!$J$6)/RSeed!AE35)</f>
        <v>83.383858338430599</v>
      </c>
      <c r="AF35" s="83">
        <f>KSeed!AF35*(1-(MOVE!$J$6)/RSeed!AF35)</f>
        <v>83.383858338430599</v>
      </c>
      <c r="AG35" s="83">
        <f>KSeed!AG35*(1-(MOVE!$J$6)/RSeed!AG35)</f>
        <v>83.383858338430599</v>
      </c>
      <c r="AH35" s="83">
        <f>KSeed!AH35*(1-(MOVE!$J$6)/RSeed!AH35)</f>
        <v>83.383858338430599</v>
      </c>
      <c r="AI35" s="83">
        <f>KSeed!AI35*(1-(MOVE!$J$6)/RSeed!AI35)</f>
        <v>83.383858338430599</v>
      </c>
      <c r="AJ35" s="83">
        <f>KSeed!AJ35*(1-(MOVE!$J$6)/RSeed!AJ35)</f>
        <v>83.383858338430599</v>
      </c>
      <c r="AK35" s="83">
        <f>KSeed!AK35*(1-(MOVE!$J$6)/RSeed!AK35)</f>
        <v>83.383858338430599</v>
      </c>
      <c r="AL35" s="83">
        <f>KSeed!AL35*(1-(MOVE!$J$6)/RSeed!AL35)</f>
        <v>83.383858338430599</v>
      </c>
      <c r="AM35" s="83">
        <f>KSeed!AM35*(1-(MOVE!$J$6)/RSeed!AM35)</f>
        <v>83.383858338430599</v>
      </c>
      <c r="AN35" s="83">
        <f>KSeed!AN35*(1-(MOVE!$J$6)/RSeed!AN35)</f>
        <v>83.383858338430599</v>
      </c>
      <c r="AO35" s="83">
        <f>KSeed!AO35*(1-(MOVE!$J$6)/RSeed!AO35)</f>
        <v>83.383858338430599</v>
      </c>
      <c r="AP35" s="83">
        <f>KSeed!AP35*(1-(MOVE!$J$6)/RSeed!AP35)</f>
        <v>83.383858338430599</v>
      </c>
      <c r="AQ35" s="110">
        <f>KSeed!AQ35*(1-(MOVE!$J$6)/RSeed!AQ35)</f>
        <v>83.383858338430599</v>
      </c>
      <c r="AR35" s="92">
        <f>KSeed!AR35*(1-(MOVE!$X$6)/RSeed!AR35)</f>
        <v>8.3383858338430592</v>
      </c>
      <c r="AS35" s="86">
        <f>KSeed!AS35*(1-(MOVE!$X$6)/RSeed!AS35)</f>
        <v>8.3383858338430592</v>
      </c>
      <c r="AT35" s="86">
        <f>KSeed!AT35*(1-(MOVE!$X$6)/RSeed!AT35)</f>
        <v>8.3383858338430592</v>
      </c>
      <c r="AU35" s="86">
        <f>KSeed!AU35*(1-(MOVE!$X$6)/RSeed!AU35)</f>
        <v>8.3383858338430592</v>
      </c>
      <c r="AV35" s="86">
        <f>KSeed!AV35*(1-(MOVE!$X$6)/RSeed!AV35)</f>
        <v>8.3383858338430592</v>
      </c>
      <c r="AW35" s="86">
        <f>KSeed!AW35*(1-(MOVE!$X$6)/RSeed!AW35)</f>
        <v>8.3383858338430592</v>
      </c>
      <c r="AX35" s="86">
        <f>KSeed!AX35*(1-(MOVE!$X$6)/RSeed!AX35)</f>
        <v>8.3383858338430592</v>
      </c>
      <c r="AY35" s="87">
        <f>KSeed!AY35*(1-(MOVE!$X$6)/RSeed!AY35)</f>
        <v>8.3383858338430592</v>
      </c>
      <c r="AZ35" s="72">
        <f>KSeed!AZ35*(1-(MOVE!$X$6)/RSeed!AZ35)</f>
        <v>8.3383858338430592</v>
      </c>
      <c r="BA35" s="35">
        <v>17</v>
      </c>
    </row>
    <row r="36" spans="2:53" x14ac:dyDescent="0.2">
      <c r="B36" s="34">
        <v>18</v>
      </c>
      <c r="C36" s="72">
        <f>KSeed!C36*(1-(MOVE!$C$6)/RSeed!C36)</f>
        <v>83.383858338430599</v>
      </c>
      <c r="D36" s="74">
        <f>KSeed!D36*(1-(MOVE!$C$6)/RSeed!D36)</f>
        <v>83.383858338430599</v>
      </c>
      <c r="E36" s="75">
        <f>KSeed!E36*(1-(MOVE!$C$6)/RSeed!E36)</f>
        <v>83.383858338430599</v>
      </c>
      <c r="F36" s="75">
        <f>KSeed!F36*(1-(MOVE!$C$6)/RSeed!F36)</f>
        <v>83.383858338430599</v>
      </c>
      <c r="G36" s="75">
        <f>KSeed!G36*(1-(MOVE!$C$6)/RSeed!G36)</f>
        <v>83.383858338430599</v>
      </c>
      <c r="H36" s="75">
        <f>KSeed!H36*(1-(MOVE!$C$6)/RSeed!H36)</f>
        <v>83.383858338430599</v>
      </c>
      <c r="I36" s="75">
        <f>KSeed!I36*(1-(MOVE!$C$6)/RSeed!I36)</f>
        <v>83.383858338430599</v>
      </c>
      <c r="J36" s="75">
        <f>KSeed!J36*(1-(MOVE!$C$6)/RSeed!J36)</f>
        <v>83.383858338430599</v>
      </c>
      <c r="K36" s="75">
        <f>KSeed!K36*(1-(MOVE!$C$6)/RSeed!K36)</f>
        <v>83.383858338430599</v>
      </c>
      <c r="L36" s="75">
        <f>KSeed!L36*(1-(MOVE!$C$6)/RSeed!L36)</f>
        <v>83.383858338430599</v>
      </c>
      <c r="M36" s="75">
        <f>KSeed!M36*(1-(MOVE!$C$6)/RSeed!M36)</f>
        <v>83.383858338430599</v>
      </c>
      <c r="N36" s="75">
        <f>KSeed!N36*(1-(MOVE!$C$6)/RSeed!N36)</f>
        <v>83.383858338430599</v>
      </c>
      <c r="O36" s="75">
        <f>KSeed!O36*(1-(MOVE!$C$6)/RSeed!O36)</f>
        <v>83.383858338430599</v>
      </c>
      <c r="P36" s="75">
        <f>KSeed!P36*(1-(MOVE!$C$6)/RSeed!P36)</f>
        <v>83.383858338430599</v>
      </c>
      <c r="Q36" s="75">
        <f>KSeed!Q36*(1-(MOVE!$C$6)/RSeed!Q36)</f>
        <v>83.383858338430599</v>
      </c>
      <c r="R36" s="75">
        <f>KSeed!R36*(1-(MOVE!$C$6)/RSeed!R36)</f>
        <v>83.383858338430599</v>
      </c>
      <c r="S36" s="75">
        <f>KSeed!S36*(1-(MOVE!$C$6)/RSeed!S36)</f>
        <v>83.383858338430599</v>
      </c>
      <c r="T36" s="75">
        <f>KSeed!T36*(1-(MOVE!$C$6)/RSeed!T36)</f>
        <v>83.383858338430599</v>
      </c>
      <c r="U36" s="75">
        <f>KSeed!U36*(1-(MOVE!$C$6)/RSeed!U36)</f>
        <v>83.383858338430599</v>
      </c>
      <c r="V36" s="75">
        <f>KSeed!V36*(1-(MOVE!$C$6)/RSeed!V36)</f>
        <v>83.383858338430599</v>
      </c>
      <c r="W36" s="109">
        <f>KSeed!W36*(1-(MOVE!$J$6)/RSeed!W36)</f>
        <v>83.383858338430599</v>
      </c>
      <c r="X36" s="83">
        <f>KSeed!X36*(1-(MOVE!$J$6)/RSeed!X36)</f>
        <v>83.383858338430599</v>
      </c>
      <c r="Y36" s="83">
        <f>KSeed!Y36*(1-(MOVE!$J$6)/RSeed!Y36)</f>
        <v>83.383858338430599</v>
      </c>
      <c r="Z36" s="83">
        <f>KSeed!Z36*(1-(MOVE!$J$6)/RSeed!Z36)</f>
        <v>83.383858338430599</v>
      </c>
      <c r="AA36" s="83">
        <f>KSeed!AA36*(1-(MOVE!$J$6)/RSeed!AA36)</f>
        <v>83.383858338430599</v>
      </c>
      <c r="AB36" s="150">
        <f>KSeed!AB36*(1-(MOVE!$J$6)/RSeed!AB36)</f>
        <v>83.383858338430599</v>
      </c>
      <c r="AC36" s="150">
        <f>KSeed!AC36*(1-(MOVE!$J$6)/RSeed!AC36)</f>
        <v>83.383858338430599</v>
      </c>
      <c r="AD36" s="150">
        <f>KSeed!AD36*(1-(MOVE!$J$6)/RSeed!AD36)</f>
        <v>83.383858338430599</v>
      </c>
      <c r="AE36" s="150">
        <f>KSeed!AE36*(1-(MOVE!$J$6)/RSeed!AE36)</f>
        <v>83.383858338430599</v>
      </c>
      <c r="AF36" s="83">
        <f>KSeed!AF36*(1-(MOVE!$J$6)/RSeed!AF36)</f>
        <v>83.383858338430599</v>
      </c>
      <c r="AG36" s="83">
        <f>KSeed!AG36*(1-(MOVE!$J$6)/RSeed!AG36)</f>
        <v>83.383858338430599</v>
      </c>
      <c r="AH36" s="83">
        <f>KSeed!AH36*(1-(MOVE!$J$6)/RSeed!AH36)</f>
        <v>83.383858338430599</v>
      </c>
      <c r="AI36" s="83">
        <f>KSeed!AI36*(1-(MOVE!$J$6)/RSeed!AI36)</f>
        <v>83.383858338430599</v>
      </c>
      <c r="AJ36" s="83">
        <f>KSeed!AJ36*(1-(MOVE!$J$6)/RSeed!AJ36)</f>
        <v>83.383858338430599</v>
      </c>
      <c r="AK36" s="83">
        <f>KSeed!AK36*(1-(MOVE!$J$6)/RSeed!AK36)</f>
        <v>83.383858338430599</v>
      </c>
      <c r="AL36" s="83">
        <f>KSeed!AL36*(1-(MOVE!$J$6)/RSeed!AL36)</f>
        <v>83.383858338430599</v>
      </c>
      <c r="AM36" s="83">
        <f>KSeed!AM36*(1-(MOVE!$J$6)/RSeed!AM36)</f>
        <v>83.383858338430599</v>
      </c>
      <c r="AN36" s="83">
        <f>KSeed!AN36*(1-(MOVE!$J$6)/RSeed!AN36)</f>
        <v>83.383858338430599</v>
      </c>
      <c r="AO36" s="83">
        <f>KSeed!AO36*(1-(MOVE!$J$6)/RSeed!AO36)</f>
        <v>83.383858338430599</v>
      </c>
      <c r="AP36" s="83">
        <f>KSeed!AP36*(1-(MOVE!$J$6)/RSeed!AP36)</f>
        <v>83.383858338430599</v>
      </c>
      <c r="AQ36" s="110">
        <f>KSeed!AQ36*(1-(MOVE!$J$6)/RSeed!AQ36)</f>
        <v>83.383858338430599</v>
      </c>
      <c r="AR36" s="92">
        <f>KSeed!AR36*(1-(MOVE!$X$6)/RSeed!AR36)</f>
        <v>8.3383858338430592</v>
      </c>
      <c r="AS36" s="86">
        <f>KSeed!AS36*(1-(MOVE!$X$6)/RSeed!AS36)</f>
        <v>8.3383858338430592</v>
      </c>
      <c r="AT36" s="86">
        <f>KSeed!AT36*(1-(MOVE!$X$6)/RSeed!AT36)</f>
        <v>8.3383858338430592</v>
      </c>
      <c r="AU36" s="86">
        <f>KSeed!AU36*(1-(MOVE!$X$6)/RSeed!AU36)</f>
        <v>8.3383858338430592</v>
      </c>
      <c r="AV36" s="86">
        <f>KSeed!AV36*(1-(MOVE!$X$6)/RSeed!AV36)</f>
        <v>8.3383858338430592</v>
      </c>
      <c r="AW36" s="86">
        <f>KSeed!AW36*(1-(MOVE!$X$6)/RSeed!AW36)</f>
        <v>8.3383858338430592</v>
      </c>
      <c r="AX36" s="86">
        <f>KSeed!AX36*(1-(MOVE!$X$6)/RSeed!AX36)</f>
        <v>8.3383858338430592</v>
      </c>
      <c r="AY36" s="87">
        <f>KSeed!AY36*(1-(MOVE!$X$6)/RSeed!AY36)</f>
        <v>8.3383858338430592</v>
      </c>
      <c r="AZ36" s="72">
        <f>KSeed!AZ36*(1-(MOVE!$X$6)/RSeed!AZ36)</f>
        <v>8.3383858338430592</v>
      </c>
      <c r="BA36" s="35">
        <v>18</v>
      </c>
    </row>
    <row r="37" spans="2:53" x14ac:dyDescent="0.2">
      <c r="B37" s="34">
        <v>19</v>
      </c>
      <c r="C37" s="72">
        <f>KSeed!C37*(1-(MOVE!$C$6)/RSeed!C37)</f>
        <v>83.383858338430599</v>
      </c>
      <c r="D37" s="74">
        <f>KSeed!D37*(1-(MOVE!$C$6)/RSeed!D37)</f>
        <v>83.383858338430599</v>
      </c>
      <c r="E37" s="75">
        <f>KSeed!E37*(1-(MOVE!$C$6)/RSeed!E37)</f>
        <v>83.383858338430599</v>
      </c>
      <c r="F37" s="75">
        <f>KSeed!F37*(1-(MOVE!$C$6)/RSeed!F37)</f>
        <v>83.383858338430599</v>
      </c>
      <c r="G37" s="75">
        <f>KSeed!G37*(1-(MOVE!$C$6)/RSeed!G37)</f>
        <v>83.383858338430599</v>
      </c>
      <c r="H37" s="75">
        <f>KSeed!H37*(1-(MOVE!$C$6)/RSeed!H37)</f>
        <v>83.383858338430599</v>
      </c>
      <c r="I37" s="75">
        <f>KSeed!I37*(1-(MOVE!$C$6)/RSeed!I37)</f>
        <v>83.383858338430599</v>
      </c>
      <c r="J37" s="75">
        <f>KSeed!J37*(1-(MOVE!$C$6)/RSeed!J37)</f>
        <v>83.383858338430599</v>
      </c>
      <c r="K37" s="75">
        <f>KSeed!K37*(1-(MOVE!$C$6)/RSeed!K37)</f>
        <v>83.383858338430599</v>
      </c>
      <c r="L37" s="75">
        <f>KSeed!L37*(1-(MOVE!$C$6)/RSeed!L37)</f>
        <v>83.383858338430599</v>
      </c>
      <c r="M37" s="75">
        <f>KSeed!M37*(1-(MOVE!$C$6)/RSeed!M37)</f>
        <v>83.383858338430599</v>
      </c>
      <c r="N37" s="75">
        <f>KSeed!N37*(1-(MOVE!$C$6)/RSeed!N37)</f>
        <v>83.383858338430599</v>
      </c>
      <c r="O37" s="75">
        <f>KSeed!O37*(1-(MOVE!$C$6)/RSeed!O37)</f>
        <v>83.383858338430599</v>
      </c>
      <c r="P37" s="75">
        <f>KSeed!P37*(1-(MOVE!$C$6)/RSeed!P37)</f>
        <v>83.383858338430599</v>
      </c>
      <c r="Q37" s="75">
        <f>KSeed!Q37*(1-(MOVE!$C$6)/RSeed!Q37)</f>
        <v>83.383858338430599</v>
      </c>
      <c r="R37" s="75">
        <f>KSeed!R37*(1-(MOVE!$C$6)/RSeed!R37)</f>
        <v>83.383858338430599</v>
      </c>
      <c r="S37" s="75">
        <f>KSeed!S37*(1-(MOVE!$C$6)/RSeed!S37)</f>
        <v>83.383858338430599</v>
      </c>
      <c r="T37" s="75">
        <f>KSeed!T37*(1-(MOVE!$C$6)/RSeed!T37)</f>
        <v>83.383858338430599</v>
      </c>
      <c r="U37" s="75">
        <f>KSeed!U37*(1-(MOVE!$C$6)/RSeed!U37)</f>
        <v>83.383858338430599</v>
      </c>
      <c r="V37" s="75">
        <f>KSeed!V37*(1-(MOVE!$C$6)/RSeed!V37)</f>
        <v>83.383858338430599</v>
      </c>
      <c r="W37" s="109">
        <f>KSeed!W37*(1-(MOVE!$J$6)/RSeed!W37)</f>
        <v>83.383858338430599</v>
      </c>
      <c r="X37" s="83">
        <f>KSeed!X37*(1-(MOVE!$J$6)/RSeed!X37)</f>
        <v>83.383858338430599</v>
      </c>
      <c r="Y37" s="83">
        <f>KSeed!Y37*(1-(MOVE!$J$6)/RSeed!Y37)</f>
        <v>83.383858338430599</v>
      </c>
      <c r="Z37" s="83">
        <f>KSeed!Z37*(1-(MOVE!$J$6)/RSeed!Z37)</f>
        <v>83.383858338430599</v>
      </c>
      <c r="AA37" s="83">
        <f>KSeed!AA37*(1-(MOVE!$J$6)/RSeed!AA37)</f>
        <v>83.383858338430599</v>
      </c>
      <c r="AB37" s="150">
        <f>KSeed!AB37*(1-(MOVE!$J$6)/RSeed!AB37)</f>
        <v>83.383858338430599</v>
      </c>
      <c r="AC37" s="150">
        <f>KSeed!AC37*(1-(MOVE!$J$6)/RSeed!AC37)</f>
        <v>83.383858338430599</v>
      </c>
      <c r="AD37" s="150">
        <f>KSeed!AD37*(1-(MOVE!$J$6)/RSeed!AD37)</f>
        <v>83.383858338430599</v>
      </c>
      <c r="AE37" s="150">
        <f>KSeed!AE37*(1-(MOVE!$J$6)/RSeed!AE37)</f>
        <v>83.383858338430599</v>
      </c>
      <c r="AF37" s="83">
        <f>KSeed!AF37*(1-(MOVE!$J$6)/RSeed!AF37)</f>
        <v>83.383858338430599</v>
      </c>
      <c r="AG37" s="83">
        <f>KSeed!AG37*(1-(MOVE!$J$6)/RSeed!AG37)</f>
        <v>83.383858338430599</v>
      </c>
      <c r="AH37" s="83">
        <f>KSeed!AH37*(1-(MOVE!$J$6)/RSeed!AH37)</f>
        <v>83.383858338430599</v>
      </c>
      <c r="AI37" s="83">
        <f>KSeed!AI37*(1-(MOVE!$J$6)/RSeed!AI37)</f>
        <v>83.383858338430599</v>
      </c>
      <c r="AJ37" s="83">
        <f>KSeed!AJ37*(1-(MOVE!$J$6)/RSeed!AJ37)</f>
        <v>83.383858338430599</v>
      </c>
      <c r="AK37" s="83">
        <f>KSeed!AK37*(1-(MOVE!$J$6)/RSeed!AK37)</f>
        <v>83.383858338430599</v>
      </c>
      <c r="AL37" s="83">
        <f>KSeed!AL37*(1-(MOVE!$J$6)/RSeed!AL37)</f>
        <v>83.383858338430599</v>
      </c>
      <c r="AM37" s="83">
        <f>KSeed!AM37*(1-(MOVE!$J$6)/RSeed!AM37)</f>
        <v>83.383858338430599</v>
      </c>
      <c r="AN37" s="83">
        <f>KSeed!AN37*(1-(MOVE!$J$6)/RSeed!AN37)</f>
        <v>83.383858338430599</v>
      </c>
      <c r="AO37" s="83">
        <f>KSeed!AO37*(1-(MOVE!$J$6)/RSeed!AO37)</f>
        <v>83.383858338430599</v>
      </c>
      <c r="AP37" s="83">
        <f>KSeed!AP37*(1-(MOVE!$J$6)/RSeed!AP37)</f>
        <v>83.383858338430599</v>
      </c>
      <c r="AQ37" s="110">
        <f>KSeed!AQ37*(1-(MOVE!$J$6)/RSeed!AQ37)</f>
        <v>83.383858338430599</v>
      </c>
      <c r="AR37" s="92">
        <f>KSeed!AR37*(1-(MOVE!$X$6)/RSeed!AR37)</f>
        <v>8.3383858338430592</v>
      </c>
      <c r="AS37" s="86">
        <f>KSeed!AS37*(1-(MOVE!$X$6)/RSeed!AS37)</f>
        <v>8.3383858338430592</v>
      </c>
      <c r="AT37" s="86">
        <f>KSeed!AT37*(1-(MOVE!$X$6)/RSeed!AT37)</f>
        <v>8.3383858338430592</v>
      </c>
      <c r="AU37" s="86">
        <f>KSeed!AU37*(1-(MOVE!$X$6)/RSeed!AU37)</f>
        <v>8.3383858338430592</v>
      </c>
      <c r="AV37" s="86">
        <f>KSeed!AV37*(1-(MOVE!$X$6)/RSeed!AV37)</f>
        <v>8.3383858338430592</v>
      </c>
      <c r="AW37" s="86">
        <f>KSeed!AW37*(1-(MOVE!$X$6)/RSeed!AW37)</f>
        <v>8.3383858338430592</v>
      </c>
      <c r="AX37" s="86">
        <f>KSeed!AX37*(1-(MOVE!$X$6)/RSeed!AX37)</f>
        <v>8.3383858338430592</v>
      </c>
      <c r="AY37" s="87">
        <f>KSeed!AY37*(1-(MOVE!$X$6)/RSeed!AY37)</f>
        <v>8.3383858338430592</v>
      </c>
      <c r="AZ37" s="72">
        <f>KSeed!AZ37*(1-(MOVE!$X$6)/RSeed!AZ37)</f>
        <v>8.3383858338430592</v>
      </c>
      <c r="BA37" s="35">
        <v>19</v>
      </c>
    </row>
    <row r="38" spans="2:53" x14ac:dyDescent="0.2">
      <c r="B38" s="34">
        <v>20</v>
      </c>
      <c r="C38" s="72">
        <f>KSeed!C38*(1-(MOVE!$C$6)/RSeed!C38)</f>
        <v>83.383858338430599</v>
      </c>
      <c r="D38" s="74">
        <f>KSeed!D38*(1-(MOVE!$C$6)/RSeed!D38)</f>
        <v>83.383858338430599</v>
      </c>
      <c r="E38" s="75">
        <f>KSeed!E38*(1-(MOVE!$C$6)/RSeed!E38)</f>
        <v>83.383858338430599</v>
      </c>
      <c r="F38" s="75">
        <f>KSeed!F38*(1-(MOVE!$C$6)/RSeed!F38)</f>
        <v>83.383858338430599</v>
      </c>
      <c r="G38" s="75">
        <f>KSeed!G38*(1-(MOVE!$C$6)/RSeed!G38)</f>
        <v>83.383858338430599</v>
      </c>
      <c r="H38" s="75">
        <f>KSeed!H38*(1-(MOVE!$C$6)/RSeed!H38)</f>
        <v>83.383858338430599</v>
      </c>
      <c r="I38" s="75">
        <f>KSeed!I38*(1-(MOVE!$C$6)/RSeed!I38)</f>
        <v>83.383858338430599</v>
      </c>
      <c r="J38" s="75">
        <f>KSeed!J38*(1-(MOVE!$C$6)/RSeed!J38)</f>
        <v>83.383858338430599</v>
      </c>
      <c r="K38" s="75">
        <f>KSeed!K38*(1-(MOVE!$C$6)/RSeed!K38)</f>
        <v>83.383858338430599</v>
      </c>
      <c r="L38" s="106">
        <f>KSeed!L38*(1-(MOVE!$J$6)/RSeed!L38)</f>
        <v>83.383858338430599</v>
      </c>
      <c r="M38" s="107">
        <f>KSeed!M38*(1-(MOVE!$J$6)/RSeed!M38)</f>
        <v>83.383858338430599</v>
      </c>
      <c r="N38" s="107">
        <f>KSeed!N38*(1-(MOVE!$J$6)/RSeed!N38)</f>
        <v>83.383858338430599</v>
      </c>
      <c r="O38" s="107">
        <f>KSeed!O38*(1-(MOVE!$J$6)/RSeed!O38)</f>
        <v>83.383858338430599</v>
      </c>
      <c r="P38" s="138">
        <f>KSeed!P38*(1-(MOVE!$J$6)/RSeed!P38)</f>
        <v>83.383858338430599</v>
      </c>
      <c r="Q38" s="138">
        <f>KSeed!Q38*(1-(MOVE!$J$6)/RSeed!Q38)</f>
        <v>83.383858338430599</v>
      </c>
      <c r="R38" s="138">
        <f>KSeed!R38*(1-(MOVE!$J$6)/RSeed!R38)</f>
        <v>83.383858338430599</v>
      </c>
      <c r="S38" s="138">
        <f>KSeed!S38*(1-(MOVE!$J$6)/RSeed!S38)</f>
        <v>83.383858338430599</v>
      </c>
      <c r="T38" s="107">
        <f>KSeed!T38*(1-(MOVE!$J$6)/RSeed!T38)</f>
        <v>83.383858338430599</v>
      </c>
      <c r="U38" s="107">
        <f>KSeed!U38*(1-(MOVE!$J$6)/RSeed!U38)</f>
        <v>83.383858338430599</v>
      </c>
      <c r="V38" s="107">
        <f>KSeed!V38*(1-(MOVE!$J$6)/RSeed!V38)</f>
        <v>83.383858338430599</v>
      </c>
      <c r="W38" s="83">
        <f>KSeed!W38*(1-(MOVE!$J$6)/RSeed!W38)</f>
        <v>83.383858338430599</v>
      </c>
      <c r="X38" s="83">
        <f>KSeed!X38*(1-(MOVE!$J$6)/RSeed!X38)</f>
        <v>83.383858338430599</v>
      </c>
      <c r="Y38" s="83">
        <f>KSeed!Y38*(1-(MOVE!$J$6)/RSeed!Y38)</f>
        <v>83.383858338430599</v>
      </c>
      <c r="Z38" s="83">
        <f>KSeed!Z38*(1-(MOVE!$J$6)/RSeed!Z38)</f>
        <v>83.383858338430599</v>
      </c>
      <c r="AA38" s="83">
        <f>KSeed!AA38*(1-(MOVE!$J$6)/RSeed!AA38)</f>
        <v>83.383858338430599</v>
      </c>
      <c r="AB38" s="83">
        <f>KSeed!AB38*(1-(MOVE!$J$6)/RSeed!AB38)</f>
        <v>83.383858338430599</v>
      </c>
      <c r="AC38" s="83">
        <f>KSeed!AC38*(1-(MOVE!$J$6)/RSeed!AC38)</f>
        <v>83.383858338430599</v>
      </c>
      <c r="AD38" s="83">
        <f>KSeed!AD38*(1-(MOVE!$J$6)/RSeed!AD38)</f>
        <v>83.383858338430599</v>
      </c>
      <c r="AE38" s="83">
        <f>KSeed!AE38*(1-(MOVE!$J$6)/RSeed!AE38)</f>
        <v>83.383858338430599</v>
      </c>
      <c r="AF38" s="83">
        <f>KSeed!AF38*(1-(MOVE!$J$6)/RSeed!AF38)</f>
        <v>83.383858338430599</v>
      </c>
      <c r="AG38" s="83">
        <f>KSeed!AG38*(1-(MOVE!$J$6)/RSeed!AG38)</f>
        <v>83.383858338430599</v>
      </c>
      <c r="AH38" s="83">
        <f>KSeed!AH38*(1-(MOVE!$J$6)/RSeed!AH38)</f>
        <v>83.383858338430599</v>
      </c>
      <c r="AI38" s="83">
        <f>KSeed!AI38*(1-(MOVE!$J$6)/RSeed!AI38)</f>
        <v>83.383858338430599</v>
      </c>
      <c r="AJ38" s="83">
        <f>KSeed!AJ38*(1-(MOVE!$J$6)/RSeed!AJ38)</f>
        <v>83.383858338430599</v>
      </c>
      <c r="AK38" s="83">
        <f>KSeed!AK38*(1-(MOVE!$J$6)/RSeed!AK38)</f>
        <v>83.383858338430599</v>
      </c>
      <c r="AL38" s="83">
        <f>KSeed!AL38*(1-(MOVE!$J$6)/RSeed!AL38)</f>
        <v>83.383858338430599</v>
      </c>
      <c r="AM38" s="83">
        <f>KSeed!AM38*(1-(MOVE!$J$6)/RSeed!AM38)</f>
        <v>83.383858338430599</v>
      </c>
      <c r="AN38" s="83">
        <f>KSeed!AN38*(1-(MOVE!$J$6)/RSeed!AN38)</f>
        <v>83.383858338430599</v>
      </c>
      <c r="AO38" s="83">
        <f>KSeed!AO38*(1-(MOVE!$J$6)/RSeed!AO38)</f>
        <v>83.383858338430599</v>
      </c>
      <c r="AP38" s="83">
        <f>KSeed!AP38*(1-(MOVE!$J$6)/RSeed!AP38)</f>
        <v>83.383858338430599</v>
      </c>
      <c r="AQ38" s="110">
        <f>KSeed!AQ38*(1-(MOVE!$J$6)/RSeed!AQ38)</f>
        <v>83.383858338430599</v>
      </c>
      <c r="AR38" s="92">
        <f>KSeed!AR38*(1-(MOVE!$X$6)/RSeed!AR38)</f>
        <v>8.3383858338430592</v>
      </c>
      <c r="AS38" s="86">
        <f>KSeed!AS38*(1-(MOVE!$X$6)/RSeed!AS38)</f>
        <v>8.3383858338430592</v>
      </c>
      <c r="AT38" s="86">
        <f>KSeed!AT38*(1-(MOVE!$X$6)/RSeed!AT38)</f>
        <v>8.3383858338430592</v>
      </c>
      <c r="AU38" s="86">
        <f>KSeed!AU38*(1-(MOVE!$X$6)/RSeed!AU38)</f>
        <v>8.3383858338430592</v>
      </c>
      <c r="AV38" s="86">
        <f>KSeed!AV38*(1-(MOVE!$X$6)/RSeed!AV38)</f>
        <v>8.3383858338430592</v>
      </c>
      <c r="AW38" s="86">
        <f>KSeed!AW38*(1-(MOVE!$X$6)/RSeed!AW38)</f>
        <v>8.3383858338430592</v>
      </c>
      <c r="AX38" s="86">
        <f>KSeed!AX38*(1-(MOVE!$X$6)/RSeed!AX38)</f>
        <v>8.3383858338430592</v>
      </c>
      <c r="AY38" s="87">
        <f>KSeed!AY38*(1-(MOVE!$X$6)/RSeed!AY38)</f>
        <v>8.3383858338430592</v>
      </c>
      <c r="AZ38" s="72">
        <f>KSeed!AZ38*(1-(MOVE!$X$6)/RSeed!AZ38)</f>
        <v>8.3383858338430592</v>
      </c>
      <c r="BA38" s="35">
        <v>20</v>
      </c>
    </row>
    <row r="39" spans="2:53" x14ac:dyDescent="0.2">
      <c r="B39" s="34">
        <v>21</v>
      </c>
      <c r="C39" s="72">
        <f>KSeed!C39*(1-(MOVE!$C$6)/RSeed!C39)</f>
        <v>83.383858338430599</v>
      </c>
      <c r="D39" s="74">
        <f>KSeed!D39*(1-(MOVE!$C$6)/RSeed!D39)</f>
        <v>83.383858338430599</v>
      </c>
      <c r="E39" s="75">
        <f>KSeed!E39*(1-(MOVE!$C$6)/RSeed!E39)</f>
        <v>83.383858338430599</v>
      </c>
      <c r="F39" s="75">
        <f>KSeed!F39*(1-(MOVE!$C$6)/RSeed!F39)</f>
        <v>83.383858338430599</v>
      </c>
      <c r="G39" s="75">
        <f>KSeed!G39*(1-(MOVE!$C$6)/RSeed!G39)</f>
        <v>83.383858338430599</v>
      </c>
      <c r="H39" s="75">
        <f>KSeed!H39*(1-(MOVE!$C$6)/RSeed!H39)</f>
        <v>83.383858338430599</v>
      </c>
      <c r="I39" s="75">
        <f>KSeed!I39*(1-(MOVE!$C$6)/RSeed!I39)</f>
        <v>83.383858338430599</v>
      </c>
      <c r="J39" s="75">
        <f>KSeed!J39*(1-(MOVE!$C$6)/RSeed!J39)</f>
        <v>83.383858338430599</v>
      </c>
      <c r="K39" s="75">
        <f>KSeed!K39*(1-(MOVE!$C$6)/RSeed!K39)</f>
        <v>83.383858338430599</v>
      </c>
      <c r="L39" s="109">
        <f>KSeed!L39*(1-(MOVE!$J$6)/RSeed!L39)</f>
        <v>83.383858338430599</v>
      </c>
      <c r="M39" s="83">
        <f>KSeed!M39*(1-(MOVE!$J$6)/RSeed!M39)</f>
        <v>83.383858338430599</v>
      </c>
      <c r="N39" s="83">
        <f>KSeed!N39*(1-(MOVE!$J$6)/RSeed!N39)</f>
        <v>83.383858338430599</v>
      </c>
      <c r="O39" s="83">
        <f>KSeed!O39*(1-(MOVE!$J$6)/RSeed!O39)</f>
        <v>83.383858338430599</v>
      </c>
      <c r="P39" s="150">
        <f>KSeed!P39*(1-(MOVE!$J$6)/RSeed!P39)</f>
        <v>83.383858338430599</v>
      </c>
      <c r="Q39" s="150">
        <f>KSeed!Q39*(1-(MOVE!$J$6)/RSeed!Q39)</f>
        <v>83.383858338430599</v>
      </c>
      <c r="R39" s="150">
        <f>KSeed!R39*(1-(MOVE!$J$6)/RSeed!R39)</f>
        <v>83.383858338430599</v>
      </c>
      <c r="S39" s="150">
        <f>KSeed!S39*(1-(MOVE!$J$6)/RSeed!S39)</f>
        <v>83.383858338430599</v>
      </c>
      <c r="T39" s="83">
        <f>KSeed!T39*(1-(MOVE!$J$6)/RSeed!T39)</f>
        <v>83.383858338430599</v>
      </c>
      <c r="U39" s="83">
        <f>KSeed!U39*(1-(MOVE!$J$6)/RSeed!U39)</f>
        <v>83.383858338430599</v>
      </c>
      <c r="V39" s="83">
        <f>KSeed!V39*(1-(MOVE!$J$6)/RSeed!V39)</f>
        <v>83.383858338430599</v>
      </c>
      <c r="W39" s="83">
        <f>KSeed!W39*(1-(MOVE!$J$6)/RSeed!W39)</f>
        <v>83.383858338430599</v>
      </c>
      <c r="X39" s="83">
        <f>KSeed!X39*(1-(MOVE!$J$6)/RSeed!X39)</f>
        <v>83.383858338430599</v>
      </c>
      <c r="Y39" s="83">
        <f>KSeed!Y39*(1-(MOVE!$J$6)/RSeed!Y39)</f>
        <v>83.383858338430599</v>
      </c>
      <c r="Z39" s="83">
        <f>KSeed!Z39*(1-(MOVE!$J$6)/RSeed!Z39)</f>
        <v>83.383858338430599</v>
      </c>
      <c r="AA39" s="83">
        <f>KSeed!AA39*(1-(MOVE!$J$6)/RSeed!AA39)</f>
        <v>83.383858338430599</v>
      </c>
      <c r="AB39" s="83">
        <f>KSeed!AB39*(1-(MOVE!$J$6)/RSeed!AB39)</f>
        <v>83.383858338430599</v>
      </c>
      <c r="AC39" s="83">
        <f>KSeed!AC39*(1-(MOVE!$J$6)/RSeed!AC39)</f>
        <v>83.383858338430599</v>
      </c>
      <c r="AD39" s="83">
        <f>KSeed!AD39*(1-(MOVE!$J$6)/RSeed!AD39)</f>
        <v>83.383858338430599</v>
      </c>
      <c r="AE39" s="83">
        <f>KSeed!AE39*(1-(MOVE!$J$6)/RSeed!AE39)</f>
        <v>83.383858338430599</v>
      </c>
      <c r="AF39" s="83">
        <f>KSeed!AF39*(1-(MOVE!$J$6)/RSeed!AF39)</f>
        <v>83.383858338430599</v>
      </c>
      <c r="AG39" s="83">
        <f>KSeed!AG39*(1-(MOVE!$J$6)/RSeed!AG39)</f>
        <v>83.383858338430599</v>
      </c>
      <c r="AH39" s="83">
        <f>KSeed!AH39*(1-(MOVE!$J$6)/RSeed!AH39)</f>
        <v>83.383858338430599</v>
      </c>
      <c r="AI39" s="83">
        <f>KSeed!AI39*(1-(MOVE!$J$6)/RSeed!AI39)</f>
        <v>83.383858338430599</v>
      </c>
      <c r="AJ39" s="83">
        <f>KSeed!AJ39*(1-(MOVE!$J$6)/RSeed!AJ39)</f>
        <v>83.383858338430599</v>
      </c>
      <c r="AK39" s="83">
        <f>KSeed!AK39*(1-(MOVE!$J$6)/RSeed!AK39)</f>
        <v>83.383858338430599</v>
      </c>
      <c r="AL39" s="83">
        <f>KSeed!AL39*(1-(MOVE!$J$6)/RSeed!AL39)</f>
        <v>83.383858338430599</v>
      </c>
      <c r="AM39" s="83">
        <f>KSeed!AM39*(1-(MOVE!$J$6)/RSeed!AM39)</f>
        <v>83.383858338430599</v>
      </c>
      <c r="AN39" s="83">
        <f>KSeed!AN39*(1-(MOVE!$J$6)/RSeed!AN39)</f>
        <v>83.383858338430599</v>
      </c>
      <c r="AO39" s="83">
        <f>KSeed!AO39*(1-(MOVE!$J$6)/RSeed!AO39)</f>
        <v>83.383858338430599</v>
      </c>
      <c r="AP39" s="83">
        <f>KSeed!AP39*(1-(MOVE!$J$6)/RSeed!AP39)</f>
        <v>83.383858338430599</v>
      </c>
      <c r="AQ39" s="110">
        <f>KSeed!AQ39*(1-(MOVE!$J$6)/RSeed!AQ39)</f>
        <v>83.383858338430599</v>
      </c>
      <c r="AR39" s="92">
        <f>KSeed!AR39*(1-(MOVE!$X$6)/RSeed!AR39)</f>
        <v>8.3383858338430592</v>
      </c>
      <c r="AS39" s="86">
        <f>KSeed!AS39*(1-(MOVE!$X$6)/RSeed!AS39)</f>
        <v>8.3383858338430592</v>
      </c>
      <c r="AT39" s="86">
        <f>KSeed!AT39*(1-(MOVE!$X$6)/RSeed!AT39)</f>
        <v>8.3383858338430592</v>
      </c>
      <c r="AU39" s="86">
        <f>KSeed!AU39*(1-(MOVE!$X$6)/RSeed!AU39)</f>
        <v>8.3383858338430592</v>
      </c>
      <c r="AV39" s="86">
        <f>KSeed!AV39*(1-(MOVE!$X$6)/RSeed!AV39)</f>
        <v>8.3383858338430592</v>
      </c>
      <c r="AW39" s="86">
        <f>KSeed!AW39*(1-(MOVE!$X$6)/RSeed!AW39)</f>
        <v>8.3383858338430592</v>
      </c>
      <c r="AX39" s="86">
        <f>KSeed!AX39*(1-(MOVE!$X$6)/RSeed!AX39)</f>
        <v>8.3383858338430592</v>
      </c>
      <c r="AY39" s="87">
        <f>KSeed!AY39*(1-(MOVE!$X$6)/RSeed!AY39)</f>
        <v>8.3383858338430592</v>
      </c>
      <c r="AZ39" s="72">
        <f>KSeed!AZ39*(1-(MOVE!$X$6)/RSeed!AZ39)</f>
        <v>8.3383858338430592</v>
      </c>
      <c r="BA39" s="35">
        <v>21</v>
      </c>
    </row>
    <row r="40" spans="2:53" x14ac:dyDescent="0.2">
      <c r="B40" s="34">
        <v>22</v>
      </c>
      <c r="C40" s="72">
        <f>KSeed!C40*(1-(MOVE!$C$6)/RSeed!C40)</f>
        <v>83.383858338430599</v>
      </c>
      <c r="D40" s="74">
        <f>KSeed!D40*(1-(MOVE!$C$6)/RSeed!D40)</f>
        <v>83.383858338430599</v>
      </c>
      <c r="E40" s="75">
        <f>KSeed!E40*(1-(MOVE!$C$6)/RSeed!E40)</f>
        <v>83.383858338430599</v>
      </c>
      <c r="F40" s="75">
        <f>KSeed!F40*(1-(MOVE!$C$6)/RSeed!F40)</f>
        <v>83.383858338430599</v>
      </c>
      <c r="G40" s="75">
        <f>KSeed!G40*(1-(MOVE!$C$6)/RSeed!G40)</f>
        <v>83.383858338430599</v>
      </c>
      <c r="H40" s="75">
        <f>KSeed!H40*(1-(MOVE!$C$6)/RSeed!H40)</f>
        <v>83.383858338430599</v>
      </c>
      <c r="I40" s="75">
        <f>KSeed!I40*(1-(MOVE!$C$6)/RSeed!I40)</f>
        <v>83.383858338430599</v>
      </c>
      <c r="J40" s="75">
        <f>KSeed!J40*(1-(MOVE!$C$6)/RSeed!J40)</f>
        <v>83.383858338430599</v>
      </c>
      <c r="K40" s="75">
        <f>KSeed!K40*(1-(MOVE!$C$6)/RSeed!K40)</f>
        <v>83.383858338430599</v>
      </c>
      <c r="L40" s="109">
        <f>KSeed!L40*(1-(MOVE!$J$6)/RSeed!L40)</f>
        <v>83.383858338430599</v>
      </c>
      <c r="M40" s="83">
        <f>KSeed!M40*(1-(MOVE!$J$6)/RSeed!M40)</f>
        <v>83.383858338430599</v>
      </c>
      <c r="N40" s="83">
        <f>KSeed!N40*(1-(MOVE!$J$6)/RSeed!N40)</f>
        <v>83.383858338430599</v>
      </c>
      <c r="O40" s="83">
        <f>KSeed!O40*(1-(MOVE!$J$6)/RSeed!O40)</f>
        <v>83.383858338430599</v>
      </c>
      <c r="P40" s="150">
        <f>KSeed!P40*(1-(MOVE!$J$6)/RSeed!P40)</f>
        <v>83.383858338430599</v>
      </c>
      <c r="Q40" s="150">
        <f>KSeed!Q40*(1-(MOVE!$J$6)/RSeed!Q40)</f>
        <v>83.383858338430599</v>
      </c>
      <c r="R40" s="150">
        <f>KSeed!R40*(1-(MOVE!$J$6)/RSeed!R40)</f>
        <v>83.383858338430599</v>
      </c>
      <c r="S40" s="150">
        <f>KSeed!S40*(1-(MOVE!$J$6)/RSeed!S40)</f>
        <v>83.383858338430599</v>
      </c>
      <c r="T40" s="83">
        <f>KSeed!T40*(1-(MOVE!$J$6)/RSeed!T40)</f>
        <v>83.383858338430599</v>
      </c>
      <c r="U40" s="83">
        <f>KSeed!U40*(1-(MOVE!$J$6)/RSeed!U40)</f>
        <v>83.383858338430599</v>
      </c>
      <c r="V40" s="83">
        <f>KSeed!V40*(1-(MOVE!$J$6)/RSeed!V40)</f>
        <v>83.383858338430599</v>
      </c>
      <c r="W40" s="83">
        <f>KSeed!W40*(1-(MOVE!$J$6)/RSeed!W40)</f>
        <v>83.383858338430599</v>
      </c>
      <c r="X40" s="83">
        <f>KSeed!X40*(1-(MOVE!$J$6)/RSeed!X40)</f>
        <v>83.383858338430599</v>
      </c>
      <c r="Y40" s="83">
        <f>KSeed!Y40*(1-(MOVE!$J$6)/RSeed!Y40)</f>
        <v>83.383858338430599</v>
      </c>
      <c r="Z40" s="83">
        <f>KSeed!Z40*(1-(MOVE!$J$6)/RSeed!Z40)</f>
        <v>83.383858338430599</v>
      </c>
      <c r="AA40" s="83">
        <f>KSeed!AA40*(1-(MOVE!$J$6)/RSeed!AA40)</f>
        <v>83.383858338430599</v>
      </c>
      <c r="AB40" s="83">
        <f>KSeed!AB40*(1-(MOVE!$J$6)/RSeed!AB40)</f>
        <v>83.383858338430599</v>
      </c>
      <c r="AC40" s="83">
        <f>KSeed!AC40*(1-(MOVE!$J$6)/RSeed!AC40)</f>
        <v>83.383858338430599</v>
      </c>
      <c r="AD40" s="83">
        <f>KSeed!AD40*(1-(MOVE!$J$6)/RSeed!AD40)</f>
        <v>83.383858338430599</v>
      </c>
      <c r="AE40" s="83">
        <f>KSeed!AE40*(1-(MOVE!$J$6)/RSeed!AE40)</f>
        <v>83.383858338430599</v>
      </c>
      <c r="AF40" s="83">
        <f>KSeed!AF40*(1-(MOVE!$J$6)/RSeed!AF40)</f>
        <v>83.383858338430599</v>
      </c>
      <c r="AG40" s="83">
        <f>KSeed!AG40*(1-(MOVE!$J$6)/RSeed!AG40)</f>
        <v>83.383858338430599</v>
      </c>
      <c r="AH40" s="83">
        <f>KSeed!AH40*(1-(MOVE!$J$6)/RSeed!AH40)</f>
        <v>83.383858338430599</v>
      </c>
      <c r="AI40" s="83">
        <f>KSeed!AI40*(1-(MOVE!$J$6)/RSeed!AI40)</f>
        <v>83.383858338430599</v>
      </c>
      <c r="AJ40" s="83">
        <f>KSeed!AJ40*(1-(MOVE!$J$6)/RSeed!AJ40)</f>
        <v>83.383858338430599</v>
      </c>
      <c r="AK40" s="83">
        <f>KSeed!AK40*(1-(MOVE!$J$6)/RSeed!AK40)</f>
        <v>83.383858338430599</v>
      </c>
      <c r="AL40" s="83">
        <f>KSeed!AL40*(1-(MOVE!$J$6)/RSeed!AL40)</f>
        <v>83.383858338430599</v>
      </c>
      <c r="AM40" s="83">
        <f>KSeed!AM40*(1-(MOVE!$J$6)/RSeed!AM40)</f>
        <v>83.383858338430599</v>
      </c>
      <c r="AN40" s="83">
        <f>KSeed!AN40*(1-(MOVE!$J$6)/RSeed!AN40)</f>
        <v>83.383858338430599</v>
      </c>
      <c r="AO40" s="83">
        <f>KSeed!AO40*(1-(MOVE!$J$6)/RSeed!AO40)</f>
        <v>83.383858338430599</v>
      </c>
      <c r="AP40" s="83">
        <f>KSeed!AP40*(1-(MOVE!$J$6)/RSeed!AP40)</f>
        <v>83.383858338430599</v>
      </c>
      <c r="AQ40" s="83">
        <f>KSeed!AQ40*(1-(MOVE!$J$6)/RSeed!AQ40)</f>
        <v>83.383858338430599</v>
      </c>
      <c r="AR40" s="92">
        <f>KSeed!AR40*(1-(MOVE!$X$6)/RSeed!AR40)</f>
        <v>8.3383858338430592</v>
      </c>
      <c r="AS40" s="86">
        <f>KSeed!AS40*(1-(MOVE!$X$6)/RSeed!AS40)</f>
        <v>8.3383858338430592</v>
      </c>
      <c r="AT40" s="86">
        <f>KSeed!AT40*(1-(MOVE!$X$6)/RSeed!AT40)</f>
        <v>8.3383858338430592</v>
      </c>
      <c r="AU40" s="86">
        <f>KSeed!AU40*(1-(MOVE!$X$6)/RSeed!AU40)</f>
        <v>8.3383858338430592</v>
      </c>
      <c r="AV40" s="86">
        <f>KSeed!AV40*(1-(MOVE!$X$6)/RSeed!AV40)</f>
        <v>8.3383858338430592</v>
      </c>
      <c r="AW40" s="86">
        <f>KSeed!AW40*(1-(MOVE!$X$6)/RSeed!AW40)</f>
        <v>8.3383858338430592</v>
      </c>
      <c r="AX40" s="86">
        <f>KSeed!AX40*(1-(MOVE!$X$6)/RSeed!AX40)</f>
        <v>8.3383858338430592</v>
      </c>
      <c r="AY40" s="87">
        <f>KSeed!AY40*(1-(MOVE!$X$6)/RSeed!AY40)</f>
        <v>8.3383858338430592</v>
      </c>
      <c r="AZ40" s="72">
        <f>KSeed!AZ40*(1-(MOVE!$X$6)/RSeed!AZ40)</f>
        <v>8.3383858338430592</v>
      </c>
      <c r="BA40" s="35">
        <v>22</v>
      </c>
    </row>
    <row r="41" spans="2:53" x14ac:dyDescent="0.2">
      <c r="B41" s="34">
        <v>23</v>
      </c>
      <c r="C41" s="72">
        <f>KSeed!C41*(1-(MOVE!$C$6)/RSeed!C41)</f>
        <v>83.383858338430599</v>
      </c>
      <c r="D41" s="74">
        <f>KSeed!D41*(1-(MOVE!$C$6)/RSeed!D41)</f>
        <v>83.383858338430599</v>
      </c>
      <c r="E41" s="75">
        <f>KSeed!E41*(1-(MOVE!$C$6)/RSeed!E41)</f>
        <v>83.383858338430599</v>
      </c>
      <c r="F41" s="75">
        <f>KSeed!F41*(1-(MOVE!$C$6)/RSeed!F41)</f>
        <v>83.383858338430599</v>
      </c>
      <c r="G41" s="75">
        <f>KSeed!G41*(1-(MOVE!$C$6)/RSeed!G41)</f>
        <v>83.383858338430599</v>
      </c>
      <c r="H41" s="75">
        <f>KSeed!H41*(1-(MOVE!$C$6)/RSeed!H41)</f>
        <v>83.383858338430599</v>
      </c>
      <c r="I41" s="75">
        <f>KSeed!I41*(1-(MOVE!$C$6)/RSeed!I41)</f>
        <v>83.383858338430599</v>
      </c>
      <c r="J41" s="75">
        <f>KSeed!J41*(1-(MOVE!$C$6)/RSeed!J41)</f>
        <v>83.383858338430599</v>
      </c>
      <c r="K41" s="75">
        <f>KSeed!K41*(1-(MOVE!$C$6)/RSeed!K41)</f>
        <v>83.383858338430599</v>
      </c>
      <c r="L41" s="109">
        <f>KSeed!L41*(1-(MOVE!$J$6)/RSeed!L41)</f>
        <v>83.383858338430599</v>
      </c>
      <c r="M41" s="83">
        <f>KSeed!M41*(1-(MOVE!$J$6)/RSeed!M41)</f>
        <v>83.383858338430599</v>
      </c>
      <c r="N41" s="83">
        <f>KSeed!N41*(1-(MOVE!$J$6)/RSeed!N41)</f>
        <v>83.383858338430599</v>
      </c>
      <c r="O41" s="83">
        <f>KSeed!O41*(1-(MOVE!$J$6)/RSeed!O41)</f>
        <v>83.383858338430599</v>
      </c>
      <c r="P41" s="150">
        <f>KSeed!P41*(1-(MOVE!$J$6)/RSeed!P41)</f>
        <v>83.383858338430599</v>
      </c>
      <c r="Q41" s="150">
        <f>KSeed!Q41*(1-(MOVE!$J$6)/RSeed!Q41)</f>
        <v>83.383858338430599</v>
      </c>
      <c r="R41" s="150">
        <f>KSeed!R41*(1-(MOVE!$J$6)/RSeed!R41)</f>
        <v>83.383858338430599</v>
      </c>
      <c r="S41" s="150">
        <f>KSeed!S41*(1-(MOVE!$J$6)/RSeed!S41)</f>
        <v>83.383858338430599</v>
      </c>
      <c r="T41" s="83">
        <f>KSeed!T41*(1-(MOVE!$J$6)/RSeed!T41)</f>
        <v>83.383858338430599</v>
      </c>
      <c r="U41" s="83">
        <f>KSeed!U41*(1-(MOVE!$J$6)/RSeed!U41)</f>
        <v>83.383858338430599</v>
      </c>
      <c r="V41" s="83">
        <f>KSeed!V41*(1-(MOVE!$J$6)/RSeed!V41)</f>
        <v>83.383858338430599</v>
      </c>
      <c r="W41" s="83">
        <f>KSeed!W41*(1-(MOVE!$J$6)/RSeed!W41)</f>
        <v>83.383858338430599</v>
      </c>
      <c r="X41" s="83">
        <f>KSeed!X41*(1-(MOVE!$J$6)/RSeed!X41)</f>
        <v>83.383858338430599</v>
      </c>
      <c r="Y41" s="83">
        <f>KSeed!Y41*(1-(MOVE!$J$6)/RSeed!Y41)</f>
        <v>83.383858338430599</v>
      </c>
      <c r="Z41" s="83">
        <f>KSeed!Z41*(1-(MOVE!$J$6)/RSeed!Z41)</f>
        <v>83.383858338430599</v>
      </c>
      <c r="AA41" s="83">
        <f>KSeed!AA41*(1-(MOVE!$J$6)/RSeed!AA41)</f>
        <v>83.383858338430599</v>
      </c>
      <c r="AB41" s="83">
        <f>KSeed!AB41*(1-(MOVE!$J$6)/RSeed!AB41)</f>
        <v>83.383858338430599</v>
      </c>
      <c r="AC41" s="83">
        <f>KSeed!AC41*(1-(MOVE!$J$6)/RSeed!AC41)</f>
        <v>83.383858338430599</v>
      </c>
      <c r="AD41" s="83">
        <f>KSeed!AD41*(1-(MOVE!$J$6)/RSeed!AD41)</f>
        <v>83.383858338430599</v>
      </c>
      <c r="AE41" s="83">
        <f>KSeed!AE41*(1-(MOVE!$J$6)/RSeed!AE41)</f>
        <v>83.383858338430599</v>
      </c>
      <c r="AF41" s="83">
        <f>KSeed!AF41*(1-(MOVE!$J$6)/RSeed!AF41)</f>
        <v>83.383858338430599</v>
      </c>
      <c r="AG41" s="83">
        <f>KSeed!AG41*(1-(MOVE!$J$6)/RSeed!AG41)</f>
        <v>83.383858338430599</v>
      </c>
      <c r="AH41" s="83">
        <f>KSeed!AH41*(1-(MOVE!$J$6)/RSeed!AH41)</f>
        <v>83.383858338430599</v>
      </c>
      <c r="AI41" s="83">
        <f>KSeed!AI41*(1-(MOVE!$J$6)/RSeed!AI41)</f>
        <v>83.383858338430599</v>
      </c>
      <c r="AJ41" s="83">
        <f>KSeed!AJ41*(1-(MOVE!$J$6)/RSeed!AJ41)</f>
        <v>83.383858338430599</v>
      </c>
      <c r="AK41" s="83">
        <f>KSeed!AK41*(1-(MOVE!$J$6)/RSeed!AK41)</f>
        <v>83.383858338430599</v>
      </c>
      <c r="AL41" s="83">
        <f>KSeed!AL41*(1-(MOVE!$J$6)/RSeed!AL41)</f>
        <v>83.383858338430599</v>
      </c>
      <c r="AM41" s="83">
        <f>KSeed!AM41*(1-(MOVE!$J$6)/RSeed!AM41)</f>
        <v>83.383858338430599</v>
      </c>
      <c r="AN41" s="83">
        <f>KSeed!AN41*(1-(MOVE!$J$6)/RSeed!AN41)</f>
        <v>83.383858338430599</v>
      </c>
      <c r="AO41" s="83">
        <f>KSeed!AO41*(1-(MOVE!$J$6)/RSeed!AO41)</f>
        <v>83.383858338430599</v>
      </c>
      <c r="AP41" s="83">
        <f>KSeed!AP41*(1-(MOVE!$J$6)/RSeed!AP41)</f>
        <v>83.383858338430599</v>
      </c>
      <c r="AQ41" s="83">
        <f>KSeed!AQ41*(1-(MOVE!$J$6)/RSeed!AQ41)</f>
        <v>83.383858338430599</v>
      </c>
      <c r="AR41" s="92">
        <f>KSeed!AR41*(1-(MOVE!$X$6)/RSeed!AR41)</f>
        <v>8.3383858338430592</v>
      </c>
      <c r="AS41" s="86">
        <f>KSeed!AS41*(1-(MOVE!$X$6)/RSeed!AS41)</f>
        <v>8.3383858338430592</v>
      </c>
      <c r="AT41" s="86">
        <f>KSeed!AT41*(1-(MOVE!$X$6)/RSeed!AT41)</f>
        <v>8.3383858338430592</v>
      </c>
      <c r="AU41" s="86">
        <f>KSeed!AU41*(1-(MOVE!$X$6)/RSeed!AU41)</f>
        <v>8.3383858338430592</v>
      </c>
      <c r="AV41" s="86">
        <f>KSeed!AV41*(1-(MOVE!$X$6)/RSeed!AV41)</f>
        <v>8.3383858338430592</v>
      </c>
      <c r="AW41" s="86">
        <f>KSeed!AW41*(1-(MOVE!$X$6)/RSeed!AW41)</f>
        <v>8.3383858338430592</v>
      </c>
      <c r="AX41" s="86">
        <f>KSeed!AX41*(1-(MOVE!$X$6)/RSeed!AX41)</f>
        <v>8.3383858338430592</v>
      </c>
      <c r="AY41" s="87">
        <f>KSeed!AY41*(1-(MOVE!$X$6)/RSeed!AY41)</f>
        <v>8.3383858338430592</v>
      </c>
      <c r="AZ41" s="72">
        <f>KSeed!AZ41*(1-(MOVE!$X$6)/RSeed!AZ41)</f>
        <v>8.3383858338430592</v>
      </c>
      <c r="BA41" s="35">
        <v>23</v>
      </c>
    </row>
    <row r="42" spans="2:53" x14ac:dyDescent="0.2">
      <c r="B42" s="34">
        <v>24</v>
      </c>
      <c r="C42" s="72">
        <f>KSeed!C42*(1-(MOVE!$C$6)/RSeed!C42)</f>
        <v>83.383858338430599</v>
      </c>
      <c r="D42" s="74">
        <f>KSeed!D42*(1-(MOVE!$C$6)/RSeed!D42)</f>
        <v>83.383858338430599</v>
      </c>
      <c r="E42" s="75">
        <f>KSeed!E42*(1-(MOVE!$C$6)/RSeed!E42)</f>
        <v>83.383858338430599</v>
      </c>
      <c r="F42" s="75">
        <f>KSeed!F42*(1-(MOVE!$C$6)/RSeed!F42)</f>
        <v>83.383858338430599</v>
      </c>
      <c r="G42" s="75">
        <f>KSeed!G42*(1-(MOVE!$C$6)/RSeed!G42)</f>
        <v>83.383858338430599</v>
      </c>
      <c r="H42" s="75">
        <f>KSeed!H42*(1-(MOVE!$C$6)/RSeed!H42)</f>
        <v>83.383858338430599</v>
      </c>
      <c r="I42" s="75">
        <f>KSeed!I42*(1-(MOVE!$C$6)/RSeed!I42)</f>
        <v>83.383858338430599</v>
      </c>
      <c r="J42" s="75">
        <f>KSeed!J42*(1-(MOVE!$C$6)/RSeed!J42)</f>
        <v>83.383858338430599</v>
      </c>
      <c r="K42" s="75">
        <f>KSeed!K42*(1-(MOVE!$C$6)/RSeed!K42)</f>
        <v>83.383858338430599</v>
      </c>
      <c r="L42" s="109">
        <f>KSeed!L42*(1-(MOVE!$J$6)/RSeed!L42)</f>
        <v>83.383858338430599</v>
      </c>
      <c r="M42" s="83">
        <f>KSeed!M42*(1-(MOVE!$J$6)/RSeed!M42)</f>
        <v>83.383858338430599</v>
      </c>
      <c r="N42" s="83">
        <f>KSeed!N42*(1-(MOVE!$J$6)/RSeed!N42)</f>
        <v>83.383858338430599</v>
      </c>
      <c r="O42" s="83">
        <f>KSeed!O42*(1-(MOVE!$J$6)/RSeed!O42)</f>
        <v>83.383858338430599</v>
      </c>
      <c r="P42" s="83">
        <f>KSeed!P42*(1-(MOVE!$J$6)/RSeed!P42)</f>
        <v>83.383858338430599</v>
      </c>
      <c r="Q42" s="83">
        <f>KSeed!Q42*(1-(MOVE!$J$6)/RSeed!Q42)</f>
        <v>83.383858338430599</v>
      </c>
      <c r="R42" s="83">
        <f>KSeed!R42*(1-(MOVE!$J$6)/RSeed!R42)</f>
        <v>83.383858338430599</v>
      </c>
      <c r="S42" s="83">
        <f>KSeed!S42*(1-(MOVE!$J$6)/RSeed!S42)</f>
        <v>83.383858338430599</v>
      </c>
      <c r="T42" s="83">
        <f>KSeed!T42*(1-(MOVE!$J$6)/RSeed!T42)</f>
        <v>83.383858338430599</v>
      </c>
      <c r="U42" s="83">
        <f>KSeed!U42*(1-(MOVE!$J$6)/RSeed!U42)</f>
        <v>83.383858338430599</v>
      </c>
      <c r="V42" s="83">
        <f>KSeed!V42*(1-(MOVE!$J$6)/RSeed!V42)</f>
        <v>83.383858338430599</v>
      </c>
      <c r="W42" s="83">
        <f>KSeed!W42*(1-(MOVE!$J$6)/RSeed!W42)</f>
        <v>83.383858338430599</v>
      </c>
      <c r="X42" s="83">
        <f>KSeed!X42*(1-(MOVE!$J$6)/RSeed!X42)</f>
        <v>83.383858338430599</v>
      </c>
      <c r="Y42" s="83">
        <f>KSeed!Y42*(1-(MOVE!$J$6)/RSeed!Y42)</f>
        <v>83.383858338430599</v>
      </c>
      <c r="Z42" s="83">
        <f>KSeed!Z42*(1-(MOVE!$J$6)/RSeed!Z42)</f>
        <v>83.383858338430599</v>
      </c>
      <c r="AA42" s="83">
        <f>KSeed!AA42*(1-(MOVE!$J$6)/RSeed!AA42)</f>
        <v>83.383858338430599</v>
      </c>
      <c r="AB42" s="83">
        <f>KSeed!AB42*(1-(MOVE!$J$6)/RSeed!AB42)</f>
        <v>83.383858338430599</v>
      </c>
      <c r="AC42" s="83">
        <f>KSeed!AC42*(1-(MOVE!$J$6)/RSeed!AC42)</f>
        <v>83.383858338430599</v>
      </c>
      <c r="AD42" s="83">
        <f>KSeed!AD42*(1-(MOVE!$J$6)/RSeed!AD42)</f>
        <v>83.383858338430599</v>
      </c>
      <c r="AE42" s="83">
        <f>KSeed!AE42*(1-(MOVE!$J$6)/RSeed!AE42)</f>
        <v>83.383858338430599</v>
      </c>
      <c r="AF42" s="83">
        <f>KSeed!AF42*(1-(MOVE!$J$6)/RSeed!AF42)</f>
        <v>83.383858338430599</v>
      </c>
      <c r="AG42" s="83">
        <f>KSeed!AG42*(1-(MOVE!$J$6)/RSeed!AG42)</f>
        <v>83.383858338430599</v>
      </c>
      <c r="AH42" s="83">
        <f>KSeed!AH42*(1-(MOVE!$J$6)/RSeed!AH42)</f>
        <v>83.383858338430599</v>
      </c>
      <c r="AI42" s="83">
        <f>KSeed!AI42*(1-(MOVE!$J$6)/RSeed!AI42)</f>
        <v>83.383858338430599</v>
      </c>
      <c r="AJ42" s="83">
        <f>KSeed!AJ42*(1-(MOVE!$J$6)/RSeed!AJ42)</f>
        <v>83.383858338430599</v>
      </c>
      <c r="AK42" s="83">
        <f>KSeed!AK42*(1-(MOVE!$J$6)/RSeed!AK42)</f>
        <v>83.383858338430599</v>
      </c>
      <c r="AL42" s="83">
        <f>KSeed!AL42*(1-(MOVE!$J$6)/RSeed!AL42)</f>
        <v>83.383858338430599</v>
      </c>
      <c r="AM42" s="83">
        <f>KSeed!AM42*(1-(MOVE!$J$6)/RSeed!AM42)</f>
        <v>83.383858338430599</v>
      </c>
      <c r="AN42" s="83">
        <f>KSeed!AN42*(1-(MOVE!$J$6)/RSeed!AN42)</f>
        <v>83.383858338430599</v>
      </c>
      <c r="AO42" s="83">
        <f>KSeed!AO42*(1-(MOVE!$J$6)/RSeed!AO42)</f>
        <v>83.383858338430599</v>
      </c>
      <c r="AP42" s="83">
        <f>KSeed!AP42*(1-(MOVE!$J$6)/RSeed!AP42)</f>
        <v>83.383858338430599</v>
      </c>
      <c r="AQ42" s="83">
        <f>KSeed!AQ42*(1-(MOVE!$J$6)/RSeed!AQ42)</f>
        <v>83.383858338430599</v>
      </c>
      <c r="AR42" s="92">
        <f>KSeed!AR42*(1-(MOVE!$X$6)/RSeed!AR42)</f>
        <v>8.3383858338430592</v>
      </c>
      <c r="AS42" s="86">
        <f>KSeed!AS42*(1-(MOVE!$X$6)/RSeed!AS42)</f>
        <v>8.3383858338430592</v>
      </c>
      <c r="AT42" s="86">
        <f>KSeed!AT42*(1-(MOVE!$X$6)/RSeed!AT42)</f>
        <v>8.3383858338430592</v>
      </c>
      <c r="AU42" s="86">
        <f>KSeed!AU42*(1-(MOVE!$X$6)/RSeed!AU42)</f>
        <v>8.3383858338430592</v>
      </c>
      <c r="AV42" s="86">
        <f>KSeed!AV42*(1-(MOVE!$X$6)/RSeed!AV42)</f>
        <v>8.3383858338430592</v>
      </c>
      <c r="AW42" s="86">
        <f>KSeed!AW42*(1-(MOVE!$X$6)/RSeed!AW42)</f>
        <v>8.3383858338430592</v>
      </c>
      <c r="AX42" s="86">
        <f>KSeed!AX42*(1-(MOVE!$X$6)/RSeed!AX42)</f>
        <v>8.3383858338430592</v>
      </c>
      <c r="AY42" s="87">
        <f>KSeed!AY42*(1-(MOVE!$X$6)/RSeed!AY42)</f>
        <v>8.3383858338430592</v>
      </c>
      <c r="AZ42" s="72">
        <f>KSeed!AZ42*(1-(MOVE!$X$6)/RSeed!AZ42)</f>
        <v>8.3383858338430592</v>
      </c>
      <c r="BA42" s="35">
        <v>24</v>
      </c>
    </row>
    <row r="43" spans="2:53" x14ac:dyDescent="0.2">
      <c r="B43" s="34">
        <v>25</v>
      </c>
      <c r="C43" s="72">
        <f>KSeed!C43*(1-(MOVE!$C$6)/RSeed!C43)</f>
        <v>83.383858338430599</v>
      </c>
      <c r="D43" s="74">
        <f>KSeed!D43*(1-(MOVE!$C$6)/RSeed!D43)</f>
        <v>83.383858338430599</v>
      </c>
      <c r="E43" s="75">
        <f>KSeed!E43*(1-(MOVE!$C$6)/RSeed!E43)</f>
        <v>83.383858338430599</v>
      </c>
      <c r="F43" s="75">
        <f>KSeed!F43*(1-(MOVE!$C$6)/RSeed!F43)</f>
        <v>83.383858338430599</v>
      </c>
      <c r="G43" s="75">
        <f>KSeed!G43*(1-(MOVE!$C$6)/RSeed!G43)</f>
        <v>83.383858338430599</v>
      </c>
      <c r="H43" s="75">
        <f>KSeed!H43*(1-(MOVE!$C$6)/RSeed!H43)</f>
        <v>83.383858338430599</v>
      </c>
      <c r="I43" s="75">
        <f>KSeed!I43*(1-(MOVE!$C$6)/RSeed!I43)</f>
        <v>83.383858338430599</v>
      </c>
      <c r="J43" s="75">
        <f>KSeed!J43*(1-(MOVE!$C$6)/RSeed!J43)</f>
        <v>83.383858338430599</v>
      </c>
      <c r="K43" s="75">
        <f>KSeed!K43*(1-(MOVE!$C$6)/RSeed!K43)</f>
        <v>83.383858338430599</v>
      </c>
      <c r="L43" s="109">
        <f>KSeed!L43*(1-(MOVE!$J$6)/RSeed!L43)</f>
        <v>83.383858338430599</v>
      </c>
      <c r="M43" s="83">
        <f>KSeed!M43*(1-(MOVE!$J$6)/RSeed!M43)</f>
        <v>83.383858338430599</v>
      </c>
      <c r="N43" s="83">
        <f>KSeed!N43*(1-(MOVE!$J$6)/RSeed!N43)</f>
        <v>83.383858338430599</v>
      </c>
      <c r="O43" s="83">
        <f>KSeed!O43*(1-(MOVE!$J$6)/RSeed!O43)</f>
        <v>83.383858338430599</v>
      </c>
      <c r="P43" s="83">
        <f>KSeed!P43*(1-(MOVE!$J$6)/RSeed!P43)</f>
        <v>83.383858338430599</v>
      </c>
      <c r="Q43" s="83">
        <f>KSeed!Q43*(1-(MOVE!$J$6)/RSeed!Q43)</f>
        <v>83.383858338430599</v>
      </c>
      <c r="R43" s="83">
        <f>KSeed!R43*(1-(MOVE!$J$6)/RSeed!R43)</f>
        <v>83.383858338430599</v>
      </c>
      <c r="S43" s="83">
        <f>KSeed!S43*(1-(MOVE!$J$6)/RSeed!S43)</f>
        <v>83.383858338430599</v>
      </c>
      <c r="T43" s="83">
        <f>KSeed!T43*(1-(MOVE!$J$6)/RSeed!T43)</f>
        <v>83.383858338430599</v>
      </c>
      <c r="U43" s="83">
        <f>KSeed!U43*(1-(MOVE!$J$6)/RSeed!U43)</f>
        <v>83.383858338430599</v>
      </c>
      <c r="V43" s="83">
        <f>KSeed!V43*(1-(MOVE!$J$6)/RSeed!V43)</f>
        <v>83.383858338430599</v>
      </c>
      <c r="W43" s="83">
        <f>KSeed!W43*(1-(MOVE!$J$6)/RSeed!W43)</f>
        <v>83.383858338430599</v>
      </c>
      <c r="X43" s="83">
        <f>KSeed!X43*(1-(MOVE!$J$6)/RSeed!X43)</f>
        <v>83.383858338430599</v>
      </c>
      <c r="Y43" s="83">
        <f>KSeed!Y43*(1-(MOVE!$J$6)/RSeed!Y43)</f>
        <v>83.383858338430599</v>
      </c>
      <c r="Z43" s="83">
        <f>KSeed!Z43*(1-(MOVE!$J$6)/RSeed!Z43)</f>
        <v>83.383858338430599</v>
      </c>
      <c r="AA43" s="83">
        <f>KSeed!AA43*(1-(MOVE!$J$6)/RSeed!AA43)</f>
        <v>83.383858338430599</v>
      </c>
      <c r="AB43" s="83">
        <f>KSeed!AB43*(1-(MOVE!$J$6)/RSeed!AB43)</f>
        <v>83.383858338430599</v>
      </c>
      <c r="AC43" s="83">
        <f>KSeed!AC43*(1-(MOVE!$J$6)/RSeed!AC43)</f>
        <v>83.383858338430599</v>
      </c>
      <c r="AD43" s="83">
        <f>KSeed!AD43*(1-(MOVE!$J$6)/RSeed!AD43)</f>
        <v>83.383858338430599</v>
      </c>
      <c r="AE43" s="83">
        <f>KSeed!AE43*(1-(MOVE!$J$6)/RSeed!AE43)</f>
        <v>83.383858338430599</v>
      </c>
      <c r="AF43" s="83">
        <f>KSeed!AF43*(1-(MOVE!$J$6)/RSeed!AF43)</f>
        <v>83.383858338430599</v>
      </c>
      <c r="AG43" s="83">
        <f>KSeed!AG43*(1-(MOVE!$J$6)/RSeed!AG43)</f>
        <v>83.383858338430599</v>
      </c>
      <c r="AH43" s="83">
        <f>KSeed!AH43*(1-(MOVE!$J$6)/RSeed!AH43)</f>
        <v>83.383858338430599</v>
      </c>
      <c r="AI43" s="83">
        <f>KSeed!AI43*(1-(MOVE!$J$6)/RSeed!AI43)</f>
        <v>83.383858338430599</v>
      </c>
      <c r="AJ43" s="83">
        <f>KSeed!AJ43*(1-(MOVE!$J$6)/RSeed!AJ43)</f>
        <v>83.383858338430599</v>
      </c>
      <c r="AK43" s="83">
        <f>KSeed!AK43*(1-(MOVE!$J$6)/RSeed!AK43)</f>
        <v>83.383858338430599</v>
      </c>
      <c r="AL43" s="83">
        <f>KSeed!AL43*(1-(MOVE!$J$6)/RSeed!AL43)</f>
        <v>83.383858338430599</v>
      </c>
      <c r="AM43" s="83">
        <f>KSeed!AM43*(1-(MOVE!$J$6)/RSeed!AM43)</f>
        <v>83.383858338430599</v>
      </c>
      <c r="AN43" s="83">
        <f>KSeed!AN43*(1-(MOVE!$J$6)/RSeed!AN43)</f>
        <v>83.383858338430599</v>
      </c>
      <c r="AO43" s="83">
        <f>KSeed!AO43*(1-(MOVE!$J$6)/RSeed!AO43)</f>
        <v>83.383858338430599</v>
      </c>
      <c r="AP43" s="83">
        <f>KSeed!AP43*(1-(MOVE!$J$6)/RSeed!AP43)</f>
        <v>83.383858338430599</v>
      </c>
      <c r="AQ43" s="83">
        <f>KSeed!AQ43*(1-(MOVE!$J$6)/RSeed!AQ43)</f>
        <v>83.383858338430599</v>
      </c>
      <c r="AR43" s="92">
        <f>KSeed!AR43*(1-(MOVE!$X$6)/RSeed!AR43)</f>
        <v>8.3383858338430592</v>
      </c>
      <c r="AS43" s="86">
        <f>KSeed!AS43*(1-(MOVE!$X$6)/RSeed!AS43)</f>
        <v>8.3383858338430592</v>
      </c>
      <c r="AT43" s="86">
        <f>KSeed!AT43*(1-(MOVE!$X$6)/RSeed!AT43)</f>
        <v>8.3383858338430592</v>
      </c>
      <c r="AU43" s="86">
        <f>KSeed!AU43*(1-(MOVE!$X$6)/RSeed!AU43)</f>
        <v>8.3383858338430592</v>
      </c>
      <c r="AV43" s="86">
        <f>KSeed!AV43*(1-(MOVE!$X$6)/RSeed!AV43)</f>
        <v>8.3383858338430592</v>
      </c>
      <c r="AW43" s="86">
        <f>KSeed!AW43*(1-(MOVE!$X$6)/RSeed!AW43)</f>
        <v>8.3383858338430592</v>
      </c>
      <c r="AX43" s="86">
        <f>KSeed!AX43*(1-(MOVE!$X$6)/RSeed!AX43)</f>
        <v>8.3383858338430592</v>
      </c>
      <c r="AY43" s="87">
        <f>KSeed!AY43*(1-(MOVE!$X$6)/RSeed!AY43)</f>
        <v>8.3383858338430592</v>
      </c>
      <c r="AZ43" s="72">
        <f>KSeed!AZ43*(1-(MOVE!$X$6)/RSeed!AZ43)</f>
        <v>8.3383858338430592</v>
      </c>
      <c r="BA43" s="35">
        <v>25</v>
      </c>
    </row>
    <row r="44" spans="2:53" x14ac:dyDescent="0.2">
      <c r="B44" s="34">
        <v>26</v>
      </c>
      <c r="C44" s="72">
        <f>KSeed!C44*(1-(MOVE!$C$6)/RSeed!C44)</f>
        <v>83.383858338430599</v>
      </c>
      <c r="D44" s="74">
        <f>KSeed!D44*(1-(MOVE!$C$6)/RSeed!D44)</f>
        <v>83.383858338430599</v>
      </c>
      <c r="E44" s="75">
        <f>KSeed!E44*(1-(MOVE!$C$6)/RSeed!E44)</f>
        <v>83.383858338430599</v>
      </c>
      <c r="F44" s="75">
        <f>KSeed!F44*(1-(MOVE!$C$6)/RSeed!F44)</f>
        <v>83.383858338430599</v>
      </c>
      <c r="G44" s="75">
        <f>KSeed!G44*(1-(MOVE!$C$6)/RSeed!G44)</f>
        <v>83.383858338430599</v>
      </c>
      <c r="H44" s="75">
        <f>KSeed!H44*(1-(MOVE!$C$6)/RSeed!H44)</f>
        <v>83.383858338430599</v>
      </c>
      <c r="I44" s="75">
        <f>KSeed!I44*(1-(MOVE!$C$6)/RSeed!I44)</f>
        <v>83.383858338430599</v>
      </c>
      <c r="J44" s="75">
        <f>KSeed!J44*(1-(MOVE!$C$6)/RSeed!J44)</f>
        <v>83.383858338430599</v>
      </c>
      <c r="K44" s="75">
        <f>KSeed!K44*(1-(MOVE!$C$6)/RSeed!K44)</f>
        <v>83.383858338430599</v>
      </c>
      <c r="L44" s="109">
        <f>KSeed!L44*(1-(MOVE!$J$6)/RSeed!L44)</f>
        <v>83.383858338430599</v>
      </c>
      <c r="M44" s="83">
        <f>KSeed!M44*(1-(MOVE!$J$6)/RSeed!M44)</f>
        <v>83.383858338430599</v>
      </c>
      <c r="N44" s="83">
        <f>KSeed!N44*(1-(MOVE!$J$6)/RSeed!N44)</f>
        <v>83.383858338430599</v>
      </c>
      <c r="O44" s="83">
        <f>KSeed!O44*(1-(MOVE!$J$6)/RSeed!O44)</f>
        <v>83.383858338430599</v>
      </c>
      <c r="P44" s="83">
        <f>KSeed!P44*(1-(MOVE!$J$6)/RSeed!P44)</f>
        <v>83.383858338430599</v>
      </c>
      <c r="Q44" s="83">
        <f>KSeed!Q44*(1-(MOVE!$J$6)/RSeed!Q44)</f>
        <v>83.383858338430599</v>
      </c>
      <c r="R44" s="83">
        <f>KSeed!R44*(1-(MOVE!$J$6)/RSeed!R44)</f>
        <v>83.383858338430599</v>
      </c>
      <c r="S44" s="83">
        <f>KSeed!S44*(1-(MOVE!$J$6)/RSeed!S44)</f>
        <v>83.383858338430599</v>
      </c>
      <c r="T44" s="83">
        <f>KSeed!T44*(1-(MOVE!$J$6)/RSeed!T44)</f>
        <v>83.383858338430599</v>
      </c>
      <c r="U44" s="83">
        <f>KSeed!U44*(1-(MOVE!$J$6)/RSeed!U44)</f>
        <v>83.383858338430599</v>
      </c>
      <c r="V44" s="83">
        <f>KSeed!V44*(1-(MOVE!$J$6)/RSeed!V44)</f>
        <v>83.383858338430599</v>
      </c>
      <c r="W44" s="83">
        <f>KSeed!W44*(1-(MOVE!$J$6)/RSeed!W44)</f>
        <v>83.383858338430599</v>
      </c>
      <c r="X44" s="83">
        <f>KSeed!X44*(1-(MOVE!$J$6)/RSeed!X44)</f>
        <v>83.383858338430599</v>
      </c>
      <c r="Y44" s="83">
        <f>KSeed!Y44*(1-(MOVE!$J$6)/RSeed!Y44)</f>
        <v>83.383858338430599</v>
      </c>
      <c r="Z44" s="83">
        <f>KSeed!Z44*(1-(MOVE!$J$6)/RSeed!Z44)</f>
        <v>83.383858338430599</v>
      </c>
      <c r="AA44" s="83">
        <f>KSeed!AA44*(1-(MOVE!$J$6)/RSeed!AA44)</f>
        <v>83.383858338430599</v>
      </c>
      <c r="AB44" s="83">
        <f>KSeed!AB44*(1-(MOVE!$J$6)/RSeed!AB44)</f>
        <v>83.383858338430599</v>
      </c>
      <c r="AC44" s="83">
        <f>KSeed!AC44*(1-(MOVE!$J$6)/RSeed!AC44)</f>
        <v>83.383858338430599</v>
      </c>
      <c r="AD44" s="83">
        <f>KSeed!AD44*(1-(MOVE!$J$6)/RSeed!AD44)</f>
        <v>83.383858338430599</v>
      </c>
      <c r="AE44" s="83">
        <f>KSeed!AE44*(1-(MOVE!$J$6)/RSeed!AE44)</f>
        <v>83.383858338430599</v>
      </c>
      <c r="AF44" s="83">
        <f>KSeed!AF44*(1-(MOVE!$J$6)/RSeed!AF44)</f>
        <v>83.383858338430599</v>
      </c>
      <c r="AG44" s="83">
        <f>KSeed!AG44*(1-(MOVE!$J$6)/RSeed!AG44)</f>
        <v>83.383858338430599</v>
      </c>
      <c r="AH44" s="83">
        <f>KSeed!AH44*(1-(MOVE!$J$6)/RSeed!AH44)</f>
        <v>83.383858338430599</v>
      </c>
      <c r="AI44" s="83">
        <f>KSeed!AI44*(1-(MOVE!$J$6)/RSeed!AI44)</f>
        <v>83.383858338430599</v>
      </c>
      <c r="AJ44" s="83">
        <f>KSeed!AJ44*(1-(MOVE!$J$6)/RSeed!AJ44)</f>
        <v>83.383858338430599</v>
      </c>
      <c r="AK44" s="83">
        <f>KSeed!AK44*(1-(MOVE!$J$6)/RSeed!AK44)</f>
        <v>83.383858338430599</v>
      </c>
      <c r="AL44" s="83">
        <f>KSeed!AL44*(1-(MOVE!$J$6)/RSeed!AL44)</f>
        <v>83.383858338430599</v>
      </c>
      <c r="AM44" s="83">
        <f>KSeed!AM44*(1-(MOVE!$J$6)/RSeed!AM44)</f>
        <v>83.383858338430599</v>
      </c>
      <c r="AN44" s="83">
        <f>KSeed!AN44*(1-(MOVE!$J$6)/RSeed!AN44)</f>
        <v>83.383858338430599</v>
      </c>
      <c r="AO44" s="83">
        <f>KSeed!AO44*(1-(MOVE!$J$6)/RSeed!AO44)</f>
        <v>83.383858338430599</v>
      </c>
      <c r="AP44" s="83">
        <f>KSeed!AP44*(1-(MOVE!$J$6)/RSeed!AP44)</f>
        <v>83.383858338430599</v>
      </c>
      <c r="AQ44" s="83">
        <f>KSeed!AQ44*(1-(MOVE!$J$6)/RSeed!AQ44)</f>
        <v>83.383858338430599</v>
      </c>
      <c r="AR44" s="92">
        <f>KSeed!AR44*(1-(MOVE!$X$6)/RSeed!AR44)</f>
        <v>8.3383858338430592</v>
      </c>
      <c r="AS44" s="86">
        <f>KSeed!AS44*(1-(MOVE!$X$6)/RSeed!AS44)</f>
        <v>8.3383858338430592</v>
      </c>
      <c r="AT44" s="86">
        <f>KSeed!AT44*(1-(MOVE!$X$6)/RSeed!AT44)</f>
        <v>8.3383858338430592</v>
      </c>
      <c r="AU44" s="86">
        <f>KSeed!AU44*(1-(MOVE!$X$6)/RSeed!AU44)</f>
        <v>8.3383858338430592</v>
      </c>
      <c r="AV44" s="86">
        <f>KSeed!AV44*(1-(MOVE!$X$6)/RSeed!AV44)</f>
        <v>8.3383858338430592</v>
      </c>
      <c r="AW44" s="86">
        <f>KSeed!AW44*(1-(MOVE!$X$6)/RSeed!AW44)</f>
        <v>8.3383858338430592</v>
      </c>
      <c r="AX44" s="86">
        <f>KSeed!AX44*(1-(MOVE!$X$6)/RSeed!AX44)</f>
        <v>8.3383858338430592</v>
      </c>
      <c r="AY44" s="87">
        <f>KSeed!AY44*(1-(MOVE!$X$6)/RSeed!AY44)</f>
        <v>8.3383858338430592</v>
      </c>
      <c r="AZ44" s="72">
        <f>KSeed!AZ44*(1-(MOVE!$X$6)/RSeed!AZ44)</f>
        <v>8.3383858338430592</v>
      </c>
      <c r="BA44" s="35">
        <v>26</v>
      </c>
    </row>
    <row r="45" spans="2:53" x14ac:dyDescent="0.2">
      <c r="B45" s="34">
        <v>27</v>
      </c>
      <c r="C45" s="72">
        <f>KSeed!C45*(1-(MOVE!$C$6)/RSeed!C45)</f>
        <v>83.383858338430599</v>
      </c>
      <c r="D45" s="74">
        <f>KSeed!D45*(1-(MOVE!$C$6)/RSeed!D45)</f>
        <v>83.383858338430599</v>
      </c>
      <c r="E45" s="75">
        <f>KSeed!E45*(1-(MOVE!$C$6)/RSeed!E45)</f>
        <v>83.383858338430599</v>
      </c>
      <c r="F45" s="75">
        <f>KSeed!F45*(1-(MOVE!$C$6)/RSeed!F45)</f>
        <v>83.383858338430599</v>
      </c>
      <c r="G45" s="75">
        <f>KSeed!G45*(1-(MOVE!$C$6)/RSeed!G45)</f>
        <v>83.383858338430599</v>
      </c>
      <c r="H45" s="75">
        <f>KSeed!H45*(1-(MOVE!$C$6)/RSeed!H45)</f>
        <v>83.383858338430599</v>
      </c>
      <c r="I45" s="75">
        <f>KSeed!I45*(1-(MOVE!$C$6)/RSeed!I45)</f>
        <v>83.383858338430599</v>
      </c>
      <c r="J45" s="75">
        <f>KSeed!J45*(1-(MOVE!$C$6)/RSeed!J45)</f>
        <v>83.383858338430599</v>
      </c>
      <c r="K45" s="75">
        <f>KSeed!K45*(1-(MOVE!$C$6)/RSeed!K45)</f>
        <v>83.383858338430599</v>
      </c>
      <c r="L45" s="109">
        <f>KSeed!L45*(1-(MOVE!$J$6)/RSeed!L45)</f>
        <v>83.383858338430599</v>
      </c>
      <c r="M45" s="83">
        <f>KSeed!M45*(1-(MOVE!$J$6)/RSeed!M45)</f>
        <v>83.383858338430599</v>
      </c>
      <c r="N45" s="83">
        <f>KSeed!N45*(1-(MOVE!$J$6)/RSeed!N45)</f>
        <v>83.383858338430599</v>
      </c>
      <c r="O45" s="83">
        <f>KSeed!O45*(1-(MOVE!$J$6)/RSeed!O45)</f>
        <v>83.383858338430599</v>
      </c>
      <c r="P45" s="83">
        <f>KSeed!P45*(1-(MOVE!$J$6)/RSeed!P45)</f>
        <v>83.383858338430599</v>
      </c>
      <c r="Q45" s="83">
        <f>KSeed!Q45*(1-(MOVE!$J$6)/RSeed!Q45)</f>
        <v>83.383858338430599</v>
      </c>
      <c r="R45" s="83">
        <f>KSeed!R45*(1-(MOVE!$J$6)/RSeed!R45)</f>
        <v>83.383858338430599</v>
      </c>
      <c r="S45" s="83">
        <f>KSeed!S45*(1-(MOVE!$J$6)/RSeed!S45)</f>
        <v>83.383858338430599</v>
      </c>
      <c r="T45" s="83">
        <f>KSeed!T45*(1-(MOVE!$J$6)/RSeed!T45)</f>
        <v>83.383858338430599</v>
      </c>
      <c r="U45" s="83">
        <f>KSeed!U45*(1-(MOVE!$J$6)/RSeed!U45)</f>
        <v>83.383858338430599</v>
      </c>
      <c r="V45" s="83">
        <f>KSeed!V45*(1-(MOVE!$J$6)/RSeed!V45)</f>
        <v>83.383858338430599</v>
      </c>
      <c r="W45" s="83">
        <f>KSeed!W45*(1-(MOVE!$J$6)/RSeed!W45)</f>
        <v>83.383858338430599</v>
      </c>
      <c r="X45" s="83">
        <f>KSeed!X45*(1-(MOVE!$J$6)/RSeed!X45)</f>
        <v>83.383858338430599</v>
      </c>
      <c r="Y45" s="83">
        <f>KSeed!Y45*(1-(MOVE!$J$6)/RSeed!Y45)</f>
        <v>83.383858338430599</v>
      </c>
      <c r="Z45" s="83">
        <f>KSeed!Z45*(1-(MOVE!$J$6)/RSeed!Z45)</f>
        <v>83.383858338430599</v>
      </c>
      <c r="AA45" s="83">
        <f>KSeed!AA45*(1-(MOVE!$J$6)/RSeed!AA45)</f>
        <v>83.383858338430599</v>
      </c>
      <c r="AB45" s="83">
        <f>KSeed!AB45*(1-(MOVE!$J$6)/RSeed!AB45)</f>
        <v>83.383858338430599</v>
      </c>
      <c r="AC45" s="83">
        <f>KSeed!AC45*(1-(MOVE!$J$6)/RSeed!AC45)</f>
        <v>83.383858338430599</v>
      </c>
      <c r="AD45" s="83">
        <f>KSeed!AD45*(1-(MOVE!$J$6)/RSeed!AD45)</f>
        <v>83.383858338430599</v>
      </c>
      <c r="AE45" s="83">
        <f>KSeed!AE45*(1-(MOVE!$J$6)/RSeed!AE45)</f>
        <v>83.383858338430599</v>
      </c>
      <c r="AF45" s="83">
        <f>KSeed!AF45*(1-(MOVE!$J$6)/RSeed!AF45)</f>
        <v>83.383858338430599</v>
      </c>
      <c r="AG45" s="83">
        <f>KSeed!AG45*(1-(MOVE!$J$6)/RSeed!AG45)</f>
        <v>83.383858338430599</v>
      </c>
      <c r="AH45" s="83">
        <f>KSeed!AH45*(1-(MOVE!$J$6)/RSeed!AH45)</f>
        <v>83.383858338430599</v>
      </c>
      <c r="AI45" s="83">
        <f>KSeed!AI45*(1-(MOVE!$J$6)/RSeed!AI45)</f>
        <v>83.383858338430599</v>
      </c>
      <c r="AJ45" s="83">
        <f>KSeed!AJ45*(1-(MOVE!$J$6)/RSeed!AJ45)</f>
        <v>83.383858338430599</v>
      </c>
      <c r="AK45" s="83">
        <f>KSeed!AK45*(1-(MOVE!$J$6)/RSeed!AK45)</f>
        <v>83.383858338430599</v>
      </c>
      <c r="AL45" s="83">
        <f>KSeed!AL45*(1-(MOVE!$J$6)/RSeed!AL45)</f>
        <v>83.383858338430599</v>
      </c>
      <c r="AM45" s="83">
        <f>KSeed!AM45*(1-(MOVE!$J$6)/RSeed!AM45)</f>
        <v>83.383858338430599</v>
      </c>
      <c r="AN45" s="83">
        <f>KSeed!AN45*(1-(MOVE!$J$6)/RSeed!AN45)</f>
        <v>83.383858338430599</v>
      </c>
      <c r="AO45" s="83">
        <f>KSeed!AO45*(1-(MOVE!$J$6)/RSeed!AO45)</f>
        <v>83.383858338430599</v>
      </c>
      <c r="AP45" s="83">
        <f>KSeed!AP45*(1-(MOVE!$J$6)/RSeed!AP45)</f>
        <v>83.383858338430599</v>
      </c>
      <c r="AQ45" s="83">
        <f>KSeed!AQ45*(1-(MOVE!$J$6)/RSeed!AQ45)</f>
        <v>83.383858338430599</v>
      </c>
      <c r="AR45" s="92">
        <f>KSeed!AR45*(1-(MOVE!$X$6)/RSeed!AR45)</f>
        <v>8.3383858338430592</v>
      </c>
      <c r="AS45" s="86">
        <f>KSeed!AS45*(1-(MOVE!$X$6)/RSeed!AS45)</f>
        <v>8.3383858338430592</v>
      </c>
      <c r="AT45" s="86">
        <f>KSeed!AT45*(1-(MOVE!$X$6)/RSeed!AT45)</f>
        <v>8.3383858338430592</v>
      </c>
      <c r="AU45" s="86">
        <f>KSeed!AU45*(1-(MOVE!$X$6)/RSeed!AU45)</f>
        <v>8.3383858338430592</v>
      </c>
      <c r="AV45" s="86">
        <f>KSeed!AV45*(1-(MOVE!$X$6)/RSeed!AV45)</f>
        <v>8.3383858338430592</v>
      </c>
      <c r="AW45" s="86">
        <f>KSeed!AW45*(1-(MOVE!$X$6)/RSeed!AW45)</f>
        <v>8.3383858338430592</v>
      </c>
      <c r="AX45" s="86">
        <f>KSeed!AX45*(1-(MOVE!$X$6)/RSeed!AX45)</f>
        <v>8.3383858338430592</v>
      </c>
      <c r="AY45" s="87">
        <f>KSeed!AY45*(1-(MOVE!$X$6)/RSeed!AY45)</f>
        <v>8.3383858338430592</v>
      </c>
      <c r="AZ45" s="72">
        <f>KSeed!AZ45*(1-(MOVE!$X$6)/RSeed!AZ45)</f>
        <v>8.3383858338430592</v>
      </c>
      <c r="BA45" s="35">
        <v>27</v>
      </c>
    </row>
    <row r="46" spans="2:53" x14ac:dyDescent="0.2">
      <c r="B46" s="34">
        <v>28</v>
      </c>
      <c r="C46" s="72">
        <f>KSeed!C46*(1-(MOVE!$C$6)/RSeed!C46)</f>
        <v>83.383858338430599</v>
      </c>
      <c r="D46" s="74">
        <f>KSeed!D46*(1-(MOVE!$C$6)/RSeed!D46)</f>
        <v>83.383858338430599</v>
      </c>
      <c r="E46" s="75">
        <f>KSeed!E46*(1-(MOVE!$C$6)/RSeed!E46)</f>
        <v>83.383858338430599</v>
      </c>
      <c r="F46" s="75">
        <f>KSeed!F46*(1-(MOVE!$C$6)/RSeed!F46)</f>
        <v>83.383858338430599</v>
      </c>
      <c r="G46" s="75">
        <f>KSeed!G46*(1-(MOVE!$C$6)/RSeed!G46)</f>
        <v>83.383858338430599</v>
      </c>
      <c r="H46" s="75">
        <f>KSeed!H46*(1-(MOVE!$C$6)/RSeed!H46)</f>
        <v>83.383858338430599</v>
      </c>
      <c r="I46" s="75">
        <f>KSeed!I46*(1-(MOVE!$C$6)/RSeed!I46)</f>
        <v>83.383858338430599</v>
      </c>
      <c r="J46" s="75">
        <f>KSeed!J46*(1-(MOVE!$C$6)/RSeed!J46)</f>
        <v>83.383858338430599</v>
      </c>
      <c r="K46" s="75">
        <f>KSeed!K46*(1-(MOVE!$C$6)/RSeed!K46)</f>
        <v>83.383858338430599</v>
      </c>
      <c r="L46" s="109">
        <f>KSeed!L46*(1-(MOVE!$J$6)/RSeed!L46)</f>
        <v>83.383858338430599</v>
      </c>
      <c r="M46" s="83">
        <f>KSeed!M46*(1-(MOVE!$J$6)/RSeed!M46)</f>
        <v>83.383858338430599</v>
      </c>
      <c r="N46" s="83">
        <f>KSeed!N46*(1-(MOVE!$J$6)/RSeed!N46)</f>
        <v>83.383858338430599</v>
      </c>
      <c r="O46" s="83">
        <f>KSeed!O46*(1-(MOVE!$J$6)/RSeed!O46)</f>
        <v>83.383858338430599</v>
      </c>
      <c r="P46" s="83">
        <f>KSeed!P46*(1-(MOVE!$J$6)/RSeed!P46)</f>
        <v>83.383858338430599</v>
      </c>
      <c r="Q46" s="83">
        <f>KSeed!Q46*(1-(MOVE!$J$6)/RSeed!Q46)</f>
        <v>83.383858338430599</v>
      </c>
      <c r="R46" s="83">
        <f>KSeed!R46*(1-(MOVE!$J$6)/RSeed!R46)</f>
        <v>83.383858338430599</v>
      </c>
      <c r="S46" s="83">
        <f>KSeed!S46*(1-(MOVE!$J$6)/RSeed!S46)</f>
        <v>83.383858338430599</v>
      </c>
      <c r="T46" s="83">
        <f>KSeed!T46*(1-(MOVE!$J$6)/RSeed!T46)</f>
        <v>83.383858338430599</v>
      </c>
      <c r="U46" s="83">
        <f>KSeed!U46*(1-(MOVE!$J$6)/RSeed!U46)</f>
        <v>83.383858338430599</v>
      </c>
      <c r="V46" s="83">
        <f>KSeed!V46*(1-(MOVE!$J$6)/RSeed!V46)</f>
        <v>83.383858338430599</v>
      </c>
      <c r="W46" s="83">
        <f>KSeed!W46*(1-(MOVE!$J$6)/RSeed!W46)</f>
        <v>83.383858338430599</v>
      </c>
      <c r="X46" s="83">
        <f>KSeed!X46*(1-(MOVE!$J$6)/RSeed!X46)</f>
        <v>83.383858338430599</v>
      </c>
      <c r="Y46" s="83">
        <f>KSeed!Y46*(1-(MOVE!$J$6)/RSeed!Y46)</f>
        <v>83.383858338430599</v>
      </c>
      <c r="Z46" s="83">
        <f>KSeed!Z46*(1-(MOVE!$J$6)/RSeed!Z46)</f>
        <v>83.383858338430599</v>
      </c>
      <c r="AA46" s="83">
        <f>KSeed!AA46*(1-(MOVE!$J$6)/RSeed!AA46)</f>
        <v>83.383858338430599</v>
      </c>
      <c r="AB46" s="83">
        <f>KSeed!AB46*(1-(MOVE!$J$6)/RSeed!AB46)</f>
        <v>83.383858338430599</v>
      </c>
      <c r="AC46" s="83">
        <f>KSeed!AC46*(1-(MOVE!$J$6)/RSeed!AC46)</f>
        <v>83.383858338430599</v>
      </c>
      <c r="AD46" s="83">
        <f>KSeed!AD46*(1-(MOVE!$J$6)/RSeed!AD46)</f>
        <v>83.383858338430599</v>
      </c>
      <c r="AE46" s="83">
        <f>KSeed!AE46*(1-(MOVE!$J$6)/RSeed!AE46)</f>
        <v>83.383858338430599</v>
      </c>
      <c r="AF46" s="83">
        <f>KSeed!AF46*(1-(MOVE!$J$6)/RSeed!AF46)</f>
        <v>83.383858338430599</v>
      </c>
      <c r="AG46" s="83">
        <f>KSeed!AG46*(1-(MOVE!$J$6)/RSeed!AG46)</f>
        <v>83.383858338430599</v>
      </c>
      <c r="AH46" s="83">
        <f>KSeed!AH46*(1-(MOVE!$J$6)/RSeed!AH46)</f>
        <v>83.383858338430599</v>
      </c>
      <c r="AI46" s="83">
        <f>KSeed!AI46*(1-(MOVE!$J$6)/RSeed!AI46)</f>
        <v>83.383858338430599</v>
      </c>
      <c r="AJ46" s="83">
        <f>KSeed!AJ46*(1-(MOVE!$J$6)/RSeed!AJ46)</f>
        <v>83.383858338430599</v>
      </c>
      <c r="AK46" s="83">
        <f>KSeed!AK46*(1-(MOVE!$J$6)/RSeed!AK46)</f>
        <v>83.383858338430599</v>
      </c>
      <c r="AL46" s="83">
        <f>KSeed!AL46*(1-(MOVE!$J$6)/RSeed!AL46)</f>
        <v>83.383858338430599</v>
      </c>
      <c r="AM46" s="83">
        <f>KSeed!AM46*(1-(MOVE!$J$6)/RSeed!AM46)</f>
        <v>83.383858338430599</v>
      </c>
      <c r="AN46" s="83">
        <f>KSeed!AN46*(1-(MOVE!$J$6)/RSeed!AN46)</f>
        <v>83.383858338430599</v>
      </c>
      <c r="AO46" s="83">
        <f>KSeed!AO46*(1-(MOVE!$J$6)/RSeed!AO46)</f>
        <v>83.383858338430599</v>
      </c>
      <c r="AP46" s="83">
        <f>KSeed!AP46*(1-(MOVE!$J$6)/RSeed!AP46)</f>
        <v>83.383858338430599</v>
      </c>
      <c r="AQ46" s="83">
        <f>KSeed!AQ46*(1-(MOVE!$J$6)/RSeed!AQ46)</f>
        <v>83.383858338430599</v>
      </c>
      <c r="AR46" s="92">
        <f>KSeed!AR46*(1-(MOVE!$X$6)/RSeed!AR46)</f>
        <v>8.3383858338430592</v>
      </c>
      <c r="AS46" s="86">
        <f>KSeed!AS46*(1-(MOVE!$X$6)/RSeed!AS46)</f>
        <v>8.3383858338430592</v>
      </c>
      <c r="AT46" s="86">
        <f>KSeed!AT46*(1-(MOVE!$X$6)/RSeed!AT46)</f>
        <v>8.3383858338430592</v>
      </c>
      <c r="AU46" s="86">
        <f>KSeed!AU46*(1-(MOVE!$X$6)/RSeed!AU46)</f>
        <v>8.3383858338430592</v>
      </c>
      <c r="AV46" s="86">
        <f>KSeed!AV46*(1-(MOVE!$X$6)/RSeed!AV46)</f>
        <v>8.3383858338430592</v>
      </c>
      <c r="AW46" s="86">
        <f>KSeed!AW46*(1-(MOVE!$X$6)/RSeed!AW46)</f>
        <v>8.3383858338430592</v>
      </c>
      <c r="AX46" s="86">
        <f>KSeed!AX46*(1-(MOVE!$X$6)/RSeed!AX46)</f>
        <v>8.3383858338430592</v>
      </c>
      <c r="AY46" s="87">
        <f>KSeed!AY46*(1-(MOVE!$X$6)/RSeed!AY46)</f>
        <v>8.3383858338430592</v>
      </c>
      <c r="AZ46" s="72">
        <f>KSeed!AZ46*(1-(MOVE!$X$6)/RSeed!AZ46)</f>
        <v>8.3383858338430592</v>
      </c>
      <c r="BA46" s="35">
        <v>28</v>
      </c>
    </row>
    <row r="47" spans="2:53" x14ac:dyDescent="0.2">
      <c r="B47" s="34">
        <v>29</v>
      </c>
      <c r="C47" s="72">
        <f>KSeed!C47*(1-(MOVE!$C$6)/RSeed!C47)</f>
        <v>83.383858338430599</v>
      </c>
      <c r="D47" s="74">
        <f>KSeed!D47*(1-(MOVE!$C$6)/RSeed!D47)</f>
        <v>83.383858338430599</v>
      </c>
      <c r="E47" s="75">
        <f>KSeed!E47*(1-(MOVE!$C$6)/RSeed!E47)</f>
        <v>83.383858338430599</v>
      </c>
      <c r="F47" s="75">
        <f>KSeed!F47*(1-(MOVE!$C$6)/RSeed!F47)</f>
        <v>83.383858338430599</v>
      </c>
      <c r="G47" s="75">
        <f>KSeed!G47*(1-(MOVE!$C$6)/RSeed!G47)</f>
        <v>83.383858338430599</v>
      </c>
      <c r="H47" s="75">
        <f>KSeed!H47*(1-(MOVE!$C$6)/RSeed!H47)</f>
        <v>83.383858338430599</v>
      </c>
      <c r="I47" s="75">
        <f>KSeed!I47*(1-(MOVE!$C$6)/RSeed!I47)</f>
        <v>83.383858338430599</v>
      </c>
      <c r="J47" s="75">
        <f>KSeed!J47*(1-(MOVE!$C$6)/RSeed!J47)</f>
        <v>83.383858338430599</v>
      </c>
      <c r="K47" s="75">
        <f>KSeed!K47*(1-(MOVE!$C$6)/RSeed!K47)</f>
        <v>83.383858338430599</v>
      </c>
      <c r="L47" s="109">
        <f>KSeed!L47*(1-(MOVE!$J$6)/RSeed!L47)</f>
        <v>83.383858338430599</v>
      </c>
      <c r="M47" s="83">
        <f>KSeed!M47*(1-(MOVE!$J$6)/RSeed!M47)</f>
        <v>83.383858338430599</v>
      </c>
      <c r="N47" s="83">
        <f>KSeed!N47*(1-(MOVE!$J$6)/RSeed!N47)</f>
        <v>83.383858338430599</v>
      </c>
      <c r="O47" s="83">
        <f>KSeed!O47*(1-(MOVE!$J$6)/RSeed!O47)</f>
        <v>83.383858338430599</v>
      </c>
      <c r="P47" s="83">
        <f>KSeed!P47*(1-(MOVE!$J$6)/RSeed!P47)</f>
        <v>83.383858338430599</v>
      </c>
      <c r="Q47" s="83">
        <f>KSeed!Q47*(1-(MOVE!$J$6)/RSeed!Q47)</f>
        <v>83.383858338430599</v>
      </c>
      <c r="R47" s="83">
        <f>KSeed!R47*(1-(MOVE!$J$6)/RSeed!R47)</f>
        <v>83.383858338430599</v>
      </c>
      <c r="S47" s="83">
        <f>KSeed!S47*(1-(MOVE!$J$6)/RSeed!S47)</f>
        <v>83.383858338430599</v>
      </c>
      <c r="T47" s="83">
        <f>KSeed!T47*(1-(MOVE!$J$6)/RSeed!T47)</f>
        <v>83.383858338430599</v>
      </c>
      <c r="U47" s="83">
        <f>KSeed!U47*(1-(MOVE!$J$6)/RSeed!U47)</f>
        <v>83.383858338430599</v>
      </c>
      <c r="V47" s="83">
        <f>KSeed!V47*(1-(MOVE!$J$6)/RSeed!V47)</f>
        <v>83.383858338430599</v>
      </c>
      <c r="W47" s="83">
        <f>KSeed!W47*(1-(MOVE!$J$6)/RSeed!W47)</f>
        <v>83.383858338430599</v>
      </c>
      <c r="X47" s="83">
        <f>KSeed!X47*(1-(MOVE!$J$6)/RSeed!X47)</f>
        <v>83.383858338430599</v>
      </c>
      <c r="Y47" s="83">
        <f>KSeed!Y47*(1-(MOVE!$J$6)/RSeed!Y47)</f>
        <v>83.383858338430599</v>
      </c>
      <c r="Z47" s="83">
        <f>KSeed!Z47*(1-(MOVE!$J$6)/RSeed!Z47)</f>
        <v>83.383858338430599</v>
      </c>
      <c r="AA47" s="83">
        <f>KSeed!AA47*(1-(MOVE!$J$6)/RSeed!AA47)</f>
        <v>83.383858338430599</v>
      </c>
      <c r="AB47" s="83">
        <f>KSeed!AB47*(1-(MOVE!$J$6)/RSeed!AB47)</f>
        <v>83.383858338430599</v>
      </c>
      <c r="AC47" s="83">
        <f>KSeed!AC47*(1-(MOVE!$J$6)/RSeed!AC47)</f>
        <v>83.383858338430599</v>
      </c>
      <c r="AD47" s="83">
        <f>KSeed!AD47*(1-(MOVE!$J$6)/RSeed!AD47)</f>
        <v>83.383858338430599</v>
      </c>
      <c r="AE47" s="83">
        <f>KSeed!AE47*(1-(MOVE!$J$6)/RSeed!AE47)</f>
        <v>83.383858338430599</v>
      </c>
      <c r="AF47" s="83">
        <f>KSeed!AF47*(1-(MOVE!$J$6)/RSeed!AF47)</f>
        <v>83.383858338430599</v>
      </c>
      <c r="AG47" s="83">
        <f>KSeed!AG47*(1-(MOVE!$J$6)/RSeed!AG47)</f>
        <v>83.383858338430599</v>
      </c>
      <c r="AH47" s="83">
        <f>KSeed!AH47*(1-(MOVE!$J$6)/RSeed!AH47)</f>
        <v>83.383858338430599</v>
      </c>
      <c r="AI47" s="83">
        <f>KSeed!AI47*(1-(MOVE!$J$6)/RSeed!AI47)</f>
        <v>83.383858338430599</v>
      </c>
      <c r="AJ47" s="83">
        <f>KSeed!AJ47*(1-(MOVE!$J$6)/RSeed!AJ47)</f>
        <v>83.383858338430599</v>
      </c>
      <c r="AK47" s="83">
        <f>KSeed!AK47*(1-(MOVE!$J$6)/RSeed!AK47)</f>
        <v>83.383858338430599</v>
      </c>
      <c r="AL47" s="83">
        <f>KSeed!AL47*(1-(MOVE!$J$6)/RSeed!AL47)</f>
        <v>83.383858338430599</v>
      </c>
      <c r="AM47" s="83">
        <f>KSeed!AM47*(1-(MOVE!$J$6)/RSeed!AM47)</f>
        <v>83.383858338430599</v>
      </c>
      <c r="AN47" s="83">
        <f>KSeed!AN47*(1-(MOVE!$J$6)/RSeed!AN47)</f>
        <v>83.383858338430599</v>
      </c>
      <c r="AO47" s="83">
        <f>KSeed!AO47*(1-(MOVE!$J$6)/RSeed!AO47)</f>
        <v>83.383858338430599</v>
      </c>
      <c r="AP47" s="83">
        <f>KSeed!AP47*(1-(MOVE!$J$6)/RSeed!AP47)</f>
        <v>83.383858338430599</v>
      </c>
      <c r="AQ47" s="83">
        <f>KSeed!AQ47*(1-(MOVE!$J$6)/RSeed!AQ47)</f>
        <v>83.383858338430599</v>
      </c>
      <c r="AR47" s="92">
        <f>KSeed!AR47*(1-(MOVE!$X$6)/RSeed!AR47)</f>
        <v>8.3383858338430592</v>
      </c>
      <c r="AS47" s="86">
        <f>KSeed!AS47*(1-(MOVE!$X$6)/RSeed!AS47)</f>
        <v>8.3383858338430592</v>
      </c>
      <c r="AT47" s="86">
        <f>KSeed!AT47*(1-(MOVE!$X$6)/RSeed!AT47)</f>
        <v>8.3383858338430592</v>
      </c>
      <c r="AU47" s="86">
        <f>KSeed!AU47*(1-(MOVE!$X$6)/RSeed!AU47)</f>
        <v>8.3383858338430592</v>
      </c>
      <c r="AV47" s="86">
        <f>KSeed!AV47*(1-(MOVE!$X$6)/RSeed!AV47)</f>
        <v>8.3383858338430592</v>
      </c>
      <c r="AW47" s="86">
        <f>KSeed!AW47*(1-(MOVE!$X$6)/RSeed!AW47)</f>
        <v>8.3383858338430592</v>
      </c>
      <c r="AX47" s="86">
        <f>KSeed!AX47*(1-(MOVE!$X$6)/RSeed!AX47)</f>
        <v>8.3383858338430592</v>
      </c>
      <c r="AY47" s="87">
        <f>KSeed!AY47*(1-(MOVE!$X$6)/RSeed!AY47)</f>
        <v>8.3383858338430592</v>
      </c>
      <c r="AZ47" s="72">
        <f>KSeed!AZ47*(1-(MOVE!$X$6)/RSeed!AZ47)</f>
        <v>8.3383858338430592</v>
      </c>
      <c r="BA47" s="35">
        <v>29</v>
      </c>
    </row>
    <row r="48" spans="2:53" x14ac:dyDescent="0.2">
      <c r="B48" s="34">
        <v>30</v>
      </c>
      <c r="C48" s="72">
        <f>KSeed!C48*(1-(MOVE!$C$6)/RSeed!C48)</f>
        <v>83.383858338430599</v>
      </c>
      <c r="D48" s="74">
        <f>KSeed!D48*(1-(MOVE!$C$6)/RSeed!D48)</f>
        <v>83.383858338430599</v>
      </c>
      <c r="E48" s="75">
        <f>KSeed!E48*(1-(MOVE!$C$6)/RSeed!E48)</f>
        <v>83.383858338430599</v>
      </c>
      <c r="F48" s="75">
        <f>KSeed!F48*(1-(MOVE!$C$6)/RSeed!F48)</f>
        <v>83.383858338430599</v>
      </c>
      <c r="G48" s="75">
        <f>KSeed!G48*(1-(MOVE!$C$6)/RSeed!G48)</f>
        <v>83.383858338430599</v>
      </c>
      <c r="H48" s="75">
        <f>KSeed!H48*(1-(MOVE!$C$6)/RSeed!H48)</f>
        <v>83.383858338430599</v>
      </c>
      <c r="I48" s="75">
        <f>KSeed!I48*(1-(MOVE!$C$6)/RSeed!I48)</f>
        <v>83.383858338430599</v>
      </c>
      <c r="J48" s="75">
        <f>KSeed!J48*(1-(MOVE!$C$6)/RSeed!J48)</f>
        <v>83.383858338430599</v>
      </c>
      <c r="K48" s="75">
        <f>KSeed!K48*(1-(MOVE!$C$6)/RSeed!K48)</f>
        <v>83.383858338430599</v>
      </c>
      <c r="L48" s="109">
        <f>KSeed!L48*(1-(MOVE!$J$6)/RSeed!L48)</f>
        <v>83.383858338430599</v>
      </c>
      <c r="M48" s="83">
        <f>KSeed!M48*(1-(MOVE!$J$6)/RSeed!M48)</f>
        <v>83.383858338430599</v>
      </c>
      <c r="N48" s="83">
        <f>KSeed!N48*(1-(MOVE!$J$6)/RSeed!N48)</f>
        <v>83.383858338430599</v>
      </c>
      <c r="O48" s="83">
        <f>KSeed!O48*(1-(MOVE!$J$6)/RSeed!O48)</f>
        <v>83.383858338430599</v>
      </c>
      <c r="P48" s="83">
        <f>KSeed!P48*(1-(MOVE!$J$6)/RSeed!P48)</f>
        <v>83.383858338430599</v>
      </c>
      <c r="Q48" s="83">
        <f>KSeed!Q48*(1-(MOVE!$J$6)/RSeed!Q48)</f>
        <v>83.383858338430599</v>
      </c>
      <c r="R48" s="83">
        <f>KSeed!R48*(1-(MOVE!$J$6)/RSeed!R48)</f>
        <v>83.383858338430599</v>
      </c>
      <c r="S48" s="83">
        <f>KSeed!S48*(1-(MOVE!$J$6)/RSeed!S48)</f>
        <v>83.383858338430599</v>
      </c>
      <c r="T48" s="83">
        <f>KSeed!T48*(1-(MOVE!$J$6)/RSeed!T48)</f>
        <v>83.383858338430599</v>
      </c>
      <c r="U48" s="83">
        <f>KSeed!U48*(1-(MOVE!$J$6)/RSeed!U48)</f>
        <v>83.383858338430599</v>
      </c>
      <c r="V48" s="83">
        <f>KSeed!V48*(1-(MOVE!$J$6)/RSeed!V48)</f>
        <v>83.383858338430599</v>
      </c>
      <c r="W48" s="83">
        <f>KSeed!W48*(1-(MOVE!$J$6)/RSeed!W48)</f>
        <v>83.383858338430599</v>
      </c>
      <c r="X48" s="83">
        <f>KSeed!X48*(1-(MOVE!$J$6)/RSeed!X48)</f>
        <v>83.383858338430599</v>
      </c>
      <c r="Y48" s="83">
        <f>KSeed!Y48*(1-(MOVE!$J$6)/RSeed!Y48)</f>
        <v>83.383858338430599</v>
      </c>
      <c r="Z48" s="83">
        <f>KSeed!Z48*(1-(MOVE!$J$6)/RSeed!Z48)</f>
        <v>83.383858338430599</v>
      </c>
      <c r="AA48" s="83">
        <f>KSeed!AA48*(1-(MOVE!$J$6)/RSeed!AA48)</f>
        <v>83.383858338430599</v>
      </c>
      <c r="AB48" s="83">
        <f>KSeed!AB48*(1-(MOVE!$J$6)/RSeed!AB48)</f>
        <v>83.383858338430599</v>
      </c>
      <c r="AC48" s="83">
        <f>KSeed!AC48*(1-(MOVE!$J$6)/RSeed!AC48)</f>
        <v>83.383858338430599</v>
      </c>
      <c r="AD48" s="83">
        <f>KSeed!AD48*(1-(MOVE!$J$6)/RSeed!AD48)</f>
        <v>83.383858338430599</v>
      </c>
      <c r="AE48" s="83">
        <f>KSeed!AE48*(1-(MOVE!$J$6)/RSeed!AE48)</f>
        <v>83.383858338430599</v>
      </c>
      <c r="AF48" s="83">
        <f>KSeed!AF48*(1-(MOVE!$J$6)/RSeed!AF48)</f>
        <v>83.383858338430599</v>
      </c>
      <c r="AG48" s="83">
        <f>KSeed!AG48*(1-(MOVE!$J$6)/RSeed!AG48)</f>
        <v>83.383858338430599</v>
      </c>
      <c r="AH48" s="83">
        <f>KSeed!AH48*(1-(MOVE!$J$6)/RSeed!AH48)</f>
        <v>83.383858338430599</v>
      </c>
      <c r="AI48" s="83">
        <f>KSeed!AI48*(1-(MOVE!$J$6)/RSeed!AI48)</f>
        <v>83.383858338430599</v>
      </c>
      <c r="AJ48" s="83">
        <f>KSeed!AJ48*(1-(MOVE!$J$6)/RSeed!AJ48)</f>
        <v>83.383858338430599</v>
      </c>
      <c r="AK48" s="83">
        <f>KSeed!AK48*(1-(MOVE!$J$6)/RSeed!AK48)</f>
        <v>83.383858338430599</v>
      </c>
      <c r="AL48" s="83">
        <f>KSeed!AL48*(1-(MOVE!$J$6)/RSeed!AL48)</f>
        <v>83.383858338430599</v>
      </c>
      <c r="AM48" s="83">
        <f>KSeed!AM48*(1-(MOVE!$J$6)/RSeed!AM48)</f>
        <v>83.383858338430599</v>
      </c>
      <c r="AN48" s="83">
        <f>KSeed!AN48*(1-(MOVE!$J$6)/RSeed!AN48)</f>
        <v>83.383858338430599</v>
      </c>
      <c r="AO48" s="83">
        <f>KSeed!AO48*(1-(MOVE!$J$6)/RSeed!AO48)</f>
        <v>83.383858338430599</v>
      </c>
      <c r="AP48" s="83">
        <f>KSeed!AP48*(1-(MOVE!$J$6)/RSeed!AP48)</f>
        <v>83.383858338430599</v>
      </c>
      <c r="AQ48" s="83">
        <f>KSeed!AQ48*(1-(MOVE!$J$6)/RSeed!AQ48)</f>
        <v>83.383858338430599</v>
      </c>
      <c r="AR48" s="92">
        <f>KSeed!AR48*(1-(MOVE!$X$6)/RSeed!AR48)</f>
        <v>8.3383858338430592</v>
      </c>
      <c r="AS48" s="86">
        <f>KSeed!AS48*(1-(MOVE!$X$6)/RSeed!AS48)</f>
        <v>8.3383858338430592</v>
      </c>
      <c r="AT48" s="86">
        <f>KSeed!AT48*(1-(MOVE!$X$6)/RSeed!AT48)</f>
        <v>8.3383858338430592</v>
      </c>
      <c r="AU48" s="86">
        <f>KSeed!AU48*(1-(MOVE!$X$6)/RSeed!AU48)</f>
        <v>8.3383858338430592</v>
      </c>
      <c r="AV48" s="86">
        <f>KSeed!AV48*(1-(MOVE!$X$6)/RSeed!AV48)</f>
        <v>8.3383858338430592</v>
      </c>
      <c r="AW48" s="86">
        <f>KSeed!AW48*(1-(MOVE!$X$6)/RSeed!AW48)</f>
        <v>8.3383858338430592</v>
      </c>
      <c r="AX48" s="86">
        <f>KSeed!AX48*(1-(MOVE!$X$6)/RSeed!AX48)</f>
        <v>8.3383858338430592</v>
      </c>
      <c r="AY48" s="87">
        <f>KSeed!AY48*(1-(MOVE!$X$6)/RSeed!AY48)</f>
        <v>8.3383858338430592</v>
      </c>
      <c r="AZ48" s="72">
        <f>KSeed!AZ48*(1-(MOVE!$X$6)/RSeed!AZ48)</f>
        <v>8.3383858338430592</v>
      </c>
      <c r="BA48" s="35">
        <v>30</v>
      </c>
    </row>
    <row r="49" spans="2:53" x14ac:dyDescent="0.2">
      <c r="B49" s="34">
        <v>31</v>
      </c>
      <c r="C49" s="72">
        <f>KSeed!C49*(1-(MOVE!$C$6)/RSeed!C49)</f>
        <v>83.383858338430599</v>
      </c>
      <c r="D49" s="74">
        <f>KSeed!D49*(1-(MOVE!$C$6)/RSeed!D49)</f>
        <v>83.383858338430599</v>
      </c>
      <c r="E49" s="75">
        <f>KSeed!E49*(1-(MOVE!$C$6)/RSeed!E49)</f>
        <v>83.383858338430599</v>
      </c>
      <c r="F49" s="75">
        <f>KSeed!F49*(1-(MOVE!$C$6)/RSeed!F49)</f>
        <v>83.383858338430599</v>
      </c>
      <c r="G49" s="75">
        <f>KSeed!G49*(1-(MOVE!$C$6)/RSeed!G49)</f>
        <v>83.383858338430599</v>
      </c>
      <c r="H49" s="75">
        <f>KSeed!H49*(1-(MOVE!$C$6)/RSeed!H49)</f>
        <v>83.383858338430599</v>
      </c>
      <c r="I49" s="75">
        <f>KSeed!I49*(1-(MOVE!$C$6)/RSeed!I49)</f>
        <v>83.383858338430599</v>
      </c>
      <c r="J49" s="75">
        <f>KSeed!J49*(1-(MOVE!$C$6)/RSeed!J49)</f>
        <v>83.383858338430599</v>
      </c>
      <c r="K49" s="75">
        <f>KSeed!K49*(1-(MOVE!$C$6)/RSeed!K49)</f>
        <v>83.383858338430599</v>
      </c>
      <c r="L49" s="109">
        <f>KSeed!L49*(1-(MOVE!$J$6)/RSeed!L49)</f>
        <v>83.383858338430599</v>
      </c>
      <c r="M49" s="83">
        <f>KSeed!M49*(1-(MOVE!$J$6)/RSeed!M49)</f>
        <v>83.383858338430599</v>
      </c>
      <c r="N49" s="83">
        <f>KSeed!N49*(1-(MOVE!$J$6)/RSeed!N49)</f>
        <v>83.383858338430599</v>
      </c>
      <c r="O49" s="83">
        <f>KSeed!O49*(1-(MOVE!$J$6)/RSeed!O49)</f>
        <v>83.383858338430599</v>
      </c>
      <c r="P49" s="83">
        <f>KSeed!P49*(1-(MOVE!$J$6)/RSeed!P49)</f>
        <v>83.383858338430599</v>
      </c>
      <c r="Q49" s="83">
        <f>KSeed!Q49*(1-(MOVE!$J$6)/RSeed!Q49)</f>
        <v>83.383858338430599</v>
      </c>
      <c r="R49" s="83">
        <f>KSeed!R49*(1-(MOVE!$J$6)/RSeed!R49)</f>
        <v>83.383858338430599</v>
      </c>
      <c r="S49" s="83">
        <f>KSeed!S49*(1-(MOVE!$J$6)/RSeed!S49)</f>
        <v>83.383858338430599</v>
      </c>
      <c r="T49" s="83">
        <f>KSeed!T49*(1-(MOVE!$J$6)/RSeed!T49)</f>
        <v>83.383858338430599</v>
      </c>
      <c r="U49" s="83">
        <f>KSeed!U49*(1-(MOVE!$J$6)/RSeed!U49)</f>
        <v>83.383858338430599</v>
      </c>
      <c r="V49" s="83">
        <f>KSeed!V49*(1-(MOVE!$J$6)/RSeed!V49)</f>
        <v>83.383858338430599</v>
      </c>
      <c r="W49" s="83">
        <f>KSeed!W49*(1-(MOVE!$J$6)/RSeed!W49)</f>
        <v>83.383858338430599</v>
      </c>
      <c r="X49" s="83">
        <f>KSeed!X49*(1-(MOVE!$J$6)/RSeed!X49)</f>
        <v>83.383858338430599</v>
      </c>
      <c r="Y49" s="83">
        <f>KSeed!Y49*(1-(MOVE!$J$6)/RSeed!Y49)</f>
        <v>83.383858338430599</v>
      </c>
      <c r="Z49" s="83">
        <f>KSeed!Z49*(1-(MOVE!$J$6)/RSeed!Z49)</f>
        <v>83.383858338430599</v>
      </c>
      <c r="AA49" s="83">
        <f>KSeed!AA49*(1-(MOVE!$J$6)/RSeed!AA49)</f>
        <v>83.383858338430599</v>
      </c>
      <c r="AB49" s="83">
        <f>KSeed!AB49*(1-(MOVE!$J$6)/RSeed!AB49)</f>
        <v>83.383858338430599</v>
      </c>
      <c r="AC49" s="83">
        <f>KSeed!AC49*(1-(MOVE!$J$6)/RSeed!AC49)</f>
        <v>83.383858338430599</v>
      </c>
      <c r="AD49" s="83">
        <f>KSeed!AD49*(1-(MOVE!$J$6)/RSeed!AD49)</f>
        <v>83.383858338430599</v>
      </c>
      <c r="AE49" s="83">
        <f>KSeed!AE49*(1-(MOVE!$J$6)/RSeed!AE49)</f>
        <v>83.383858338430599</v>
      </c>
      <c r="AF49" s="83">
        <f>KSeed!AF49*(1-(MOVE!$J$6)/RSeed!AF49)</f>
        <v>83.383858338430599</v>
      </c>
      <c r="AG49" s="83">
        <f>KSeed!AG49*(1-(MOVE!$J$6)/RSeed!AG49)</f>
        <v>83.383858338430599</v>
      </c>
      <c r="AH49" s="83">
        <f>KSeed!AH49*(1-(MOVE!$J$6)/RSeed!AH49)</f>
        <v>83.383858338430599</v>
      </c>
      <c r="AI49" s="83">
        <f>KSeed!AI49*(1-(MOVE!$J$6)/RSeed!AI49)</f>
        <v>83.383858338430599</v>
      </c>
      <c r="AJ49" s="83">
        <f>KSeed!AJ49*(1-(MOVE!$J$6)/RSeed!AJ49)</f>
        <v>83.383858338430599</v>
      </c>
      <c r="AK49" s="83">
        <f>KSeed!AK49*(1-(MOVE!$J$6)/RSeed!AK49)</f>
        <v>83.383858338430599</v>
      </c>
      <c r="AL49" s="83">
        <f>KSeed!AL49*(1-(MOVE!$J$6)/RSeed!AL49)</f>
        <v>83.383858338430599</v>
      </c>
      <c r="AM49" s="83">
        <f>KSeed!AM49*(1-(MOVE!$J$6)/RSeed!AM49)</f>
        <v>83.383858338430599</v>
      </c>
      <c r="AN49" s="83">
        <f>KSeed!AN49*(1-(MOVE!$J$6)/RSeed!AN49)</f>
        <v>83.383858338430599</v>
      </c>
      <c r="AO49" s="83">
        <f>KSeed!AO49*(1-(MOVE!$J$6)/RSeed!AO49)</f>
        <v>83.383858338430599</v>
      </c>
      <c r="AP49" s="83">
        <f>KSeed!AP49*(1-(MOVE!$J$6)/RSeed!AP49)</f>
        <v>83.383858338430599</v>
      </c>
      <c r="AQ49" s="83">
        <f>KSeed!AQ49*(1-(MOVE!$J$6)/RSeed!AQ49)</f>
        <v>83.383858338430599</v>
      </c>
      <c r="AR49" s="92">
        <f>KSeed!AR49*(1-(MOVE!$X$6)/RSeed!AR49)</f>
        <v>8.3383858338430592</v>
      </c>
      <c r="AS49" s="86">
        <f>KSeed!AS49*(1-(MOVE!$X$6)/RSeed!AS49)</f>
        <v>8.3383858338430592</v>
      </c>
      <c r="AT49" s="86">
        <f>KSeed!AT49*(1-(MOVE!$X$6)/RSeed!AT49)</f>
        <v>8.3383858338430592</v>
      </c>
      <c r="AU49" s="86">
        <f>KSeed!AU49*(1-(MOVE!$X$6)/RSeed!AU49)</f>
        <v>8.3383858338430592</v>
      </c>
      <c r="AV49" s="86">
        <f>KSeed!AV49*(1-(MOVE!$X$6)/RSeed!AV49)</f>
        <v>8.3383858338430592</v>
      </c>
      <c r="AW49" s="86">
        <f>KSeed!AW49*(1-(MOVE!$X$6)/RSeed!AW49)</f>
        <v>8.3383858338430592</v>
      </c>
      <c r="AX49" s="86">
        <f>KSeed!AX49*(1-(MOVE!$X$6)/RSeed!AX49)</f>
        <v>8.3383858338430592</v>
      </c>
      <c r="AY49" s="87">
        <f>KSeed!AY49*(1-(MOVE!$X$6)/RSeed!AY49)</f>
        <v>8.3383858338430592</v>
      </c>
      <c r="AZ49" s="72">
        <f>KSeed!AZ49*(1-(MOVE!$X$6)/RSeed!AZ49)</f>
        <v>8.3383858338430592</v>
      </c>
      <c r="BA49" s="35">
        <v>31</v>
      </c>
    </row>
    <row r="50" spans="2:53" x14ac:dyDescent="0.2">
      <c r="B50" s="34">
        <v>32</v>
      </c>
      <c r="C50" s="72">
        <f>KSeed!C50*(1-(MOVE!$C$6)/RSeed!C50)</f>
        <v>83.383858338430599</v>
      </c>
      <c r="D50" s="74">
        <f>KSeed!D50*(1-(MOVE!$C$6)/RSeed!D50)</f>
        <v>83.383858338430599</v>
      </c>
      <c r="E50" s="75">
        <f>KSeed!E50*(1-(MOVE!$C$6)/RSeed!E50)</f>
        <v>83.383858338430599</v>
      </c>
      <c r="F50" s="75">
        <f>KSeed!F50*(1-(MOVE!$C$6)/RSeed!F50)</f>
        <v>83.383858338430599</v>
      </c>
      <c r="G50" s="75">
        <f>KSeed!G50*(1-(MOVE!$C$6)/RSeed!G50)</f>
        <v>83.383858338430599</v>
      </c>
      <c r="H50" s="75">
        <f>KSeed!H50*(1-(MOVE!$C$6)/RSeed!H50)</f>
        <v>83.383858338430599</v>
      </c>
      <c r="I50" s="75">
        <f>KSeed!I50*(1-(MOVE!$C$6)/RSeed!I50)</f>
        <v>83.383858338430599</v>
      </c>
      <c r="J50" s="75">
        <f>KSeed!J50*(1-(MOVE!$C$6)/RSeed!J50)</f>
        <v>83.383858338430599</v>
      </c>
      <c r="K50" s="75">
        <f>KSeed!K50*(1-(MOVE!$C$6)/RSeed!K50)</f>
        <v>83.383858338430599</v>
      </c>
      <c r="L50" s="109">
        <f>KSeed!L50*(1-(MOVE!$J$6)/RSeed!L50)</f>
        <v>83.383858338430599</v>
      </c>
      <c r="M50" s="83">
        <f>KSeed!M50*(1-(MOVE!$J$6)/RSeed!M50)</f>
        <v>83.383858338430599</v>
      </c>
      <c r="N50" s="83">
        <f>KSeed!N50*(1-(MOVE!$J$6)/RSeed!N50)</f>
        <v>83.383858338430599</v>
      </c>
      <c r="O50" s="83">
        <f>KSeed!O50*(1-(MOVE!$J$6)/RSeed!O50)</f>
        <v>83.383858338430599</v>
      </c>
      <c r="P50" s="83">
        <f>KSeed!P50*(1-(MOVE!$J$6)/RSeed!P50)</f>
        <v>83.383858338430599</v>
      </c>
      <c r="Q50" s="83">
        <f>KSeed!Q50*(1-(MOVE!$J$6)/RSeed!Q50)</f>
        <v>83.383858338430599</v>
      </c>
      <c r="R50" s="83">
        <f>KSeed!R50*(1-(MOVE!$J$6)/RSeed!R50)</f>
        <v>83.383858338430599</v>
      </c>
      <c r="S50" s="83">
        <f>KSeed!S50*(1-(MOVE!$J$6)/RSeed!S50)</f>
        <v>83.383858338430599</v>
      </c>
      <c r="T50" s="83">
        <f>KSeed!T50*(1-(MOVE!$J$6)/RSeed!T50)</f>
        <v>83.383858338430599</v>
      </c>
      <c r="U50" s="83">
        <f>KSeed!U50*(1-(MOVE!$J$6)/RSeed!U50)</f>
        <v>83.383858338430599</v>
      </c>
      <c r="V50" s="83">
        <f>KSeed!V50*(1-(MOVE!$J$6)/RSeed!V50)</f>
        <v>83.383858338430599</v>
      </c>
      <c r="W50" s="83">
        <f>KSeed!W50*(1-(MOVE!$J$6)/RSeed!W50)</f>
        <v>83.383858338430599</v>
      </c>
      <c r="X50" s="83">
        <f>KSeed!X50*(1-(MOVE!$J$6)/RSeed!X50)</f>
        <v>83.383858338430599</v>
      </c>
      <c r="Y50" s="83">
        <f>KSeed!Y50*(1-(MOVE!$J$6)/RSeed!Y50)</f>
        <v>83.383858338430599</v>
      </c>
      <c r="Z50" s="83">
        <f>KSeed!Z50*(1-(MOVE!$J$6)/RSeed!Z50)</f>
        <v>83.383858338430599</v>
      </c>
      <c r="AA50" s="83">
        <f>KSeed!AA50*(1-(MOVE!$J$6)/RSeed!AA50)</f>
        <v>83.383858338430599</v>
      </c>
      <c r="AB50" s="83">
        <f>KSeed!AB50*(1-(MOVE!$J$6)/RSeed!AB50)</f>
        <v>83.383858338430599</v>
      </c>
      <c r="AC50" s="83">
        <f>KSeed!AC50*(1-(MOVE!$J$6)/RSeed!AC50)</f>
        <v>83.383858338430599</v>
      </c>
      <c r="AD50" s="83">
        <f>KSeed!AD50*(1-(MOVE!$J$6)/RSeed!AD50)</f>
        <v>83.383858338430599</v>
      </c>
      <c r="AE50" s="83">
        <f>KSeed!AE50*(1-(MOVE!$J$6)/RSeed!AE50)</f>
        <v>83.383858338430599</v>
      </c>
      <c r="AF50" s="83">
        <f>KSeed!AF50*(1-(MOVE!$J$6)/RSeed!AF50)</f>
        <v>83.383858338430599</v>
      </c>
      <c r="AG50" s="83">
        <f>KSeed!AG50*(1-(MOVE!$J$6)/RSeed!AG50)</f>
        <v>83.383858338430599</v>
      </c>
      <c r="AH50" s="83">
        <f>KSeed!AH50*(1-(MOVE!$J$6)/RSeed!AH50)</f>
        <v>83.383858338430599</v>
      </c>
      <c r="AI50" s="83">
        <f>KSeed!AI50*(1-(MOVE!$J$6)/RSeed!AI50)</f>
        <v>83.383858338430599</v>
      </c>
      <c r="AJ50" s="83">
        <f>KSeed!AJ50*(1-(MOVE!$J$6)/RSeed!AJ50)</f>
        <v>83.383858338430599</v>
      </c>
      <c r="AK50" s="83">
        <f>KSeed!AK50*(1-(MOVE!$J$6)/RSeed!AK50)</f>
        <v>83.383858338430599</v>
      </c>
      <c r="AL50" s="83">
        <f>KSeed!AL50*(1-(MOVE!$J$6)/RSeed!AL50)</f>
        <v>83.383858338430599</v>
      </c>
      <c r="AM50" s="83">
        <f>KSeed!AM50*(1-(MOVE!$J$6)/RSeed!AM50)</f>
        <v>83.383858338430599</v>
      </c>
      <c r="AN50" s="83">
        <f>KSeed!AN50*(1-(MOVE!$J$6)/RSeed!AN50)</f>
        <v>83.383858338430599</v>
      </c>
      <c r="AO50" s="83">
        <f>KSeed!AO50*(1-(MOVE!$J$6)/RSeed!AO50)</f>
        <v>83.383858338430599</v>
      </c>
      <c r="AP50" s="83">
        <f>KSeed!AP50*(1-(MOVE!$J$6)/RSeed!AP50)</f>
        <v>83.383858338430599</v>
      </c>
      <c r="AQ50" s="83">
        <f>KSeed!AQ50*(1-(MOVE!$J$6)/RSeed!AQ50)</f>
        <v>83.383858338430599</v>
      </c>
      <c r="AR50" s="92">
        <f>KSeed!AR50*(1-(MOVE!$X$6)/RSeed!AR50)</f>
        <v>8.3383858338430592</v>
      </c>
      <c r="AS50" s="86">
        <f>KSeed!AS50*(1-(MOVE!$X$6)/RSeed!AS50)</f>
        <v>8.3383858338430592</v>
      </c>
      <c r="AT50" s="86">
        <f>KSeed!AT50*(1-(MOVE!$X$6)/RSeed!AT50)</f>
        <v>8.3383858338430592</v>
      </c>
      <c r="AU50" s="86">
        <f>KSeed!AU50*(1-(MOVE!$X$6)/RSeed!AU50)</f>
        <v>8.3383858338430592</v>
      </c>
      <c r="AV50" s="86">
        <f>KSeed!AV50*(1-(MOVE!$X$6)/RSeed!AV50)</f>
        <v>8.3383858338430592</v>
      </c>
      <c r="AW50" s="86">
        <f>KSeed!AW50*(1-(MOVE!$X$6)/RSeed!AW50)</f>
        <v>8.3383858338430592</v>
      </c>
      <c r="AX50" s="86">
        <f>KSeed!AX50*(1-(MOVE!$X$6)/RSeed!AX50)</f>
        <v>8.3383858338430592</v>
      </c>
      <c r="AY50" s="87">
        <f>KSeed!AY50*(1-(MOVE!$X$6)/RSeed!AY50)</f>
        <v>8.3383858338430592</v>
      </c>
      <c r="AZ50" s="72">
        <f>KSeed!AZ50*(1-(MOVE!$X$6)/RSeed!AZ50)</f>
        <v>8.3383858338430592</v>
      </c>
      <c r="BA50" s="35">
        <v>32</v>
      </c>
    </row>
    <row r="51" spans="2:53" x14ac:dyDescent="0.2">
      <c r="B51" s="34">
        <v>33</v>
      </c>
      <c r="C51" s="72">
        <f>KSeed!C51*(1-(MOVE!$Q$6)/RSeed!C51)</f>
        <v>1</v>
      </c>
      <c r="D51" s="95">
        <f>KSeed!D51*(1-(MOVE!$Q$6)/RSeed!D51)</f>
        <v>1</v>
      </c>
      <c r="E51" s="96">
        <f>KSeed!E51*(1-(MOVE!$Q$6)/RSeed!E51)</f>
        <v>1</v>
      </c>
      <c r="F51" s="96">
        <f>KSeed!F51*(1-(MOVE!$Q$6)/RSeed!F51)</f>
        <v>1</v>
      </c>
      <c r="G51" s="96">
        <f>KSeed!G51*(1-(MOVE!$Q$6)/RSeed!G51)</f>
        <v>1</v>
      </c>
      <c r="H51" s="96">
        <f>KSeed!H51*(1-(MOVE!$Q$6)/RSeed!H51)</f>
        <v>1</v>
      </c>
      <c r="I51" s="96">
        <f>KSeed!I51*(1-(MOVE!$Q$6)/RSeed!I51)</f>
        <v>1</v>
      </c>
      <c r="J51" s="96">
        <f>KSeed!J51*(1-(MOVE!$Q$6)/RSeed!J51)</f>
        <v>1</v>
      </c>
      <c r="K51" s="96">
        <f>KSeed!K51*(1-(MOVE!$Q$6)/RSeed!K51)</f>
        <v>1</v>
      </c>
      <c r="L51" s="96">
        <f>KSeed!L51*(1-(MOVE!$Q$6)/RSeed!L51)</f>
        <v>1</v>
      </c>
      <c r="M51" s="96">
        <f>KSeed!M51*(1-(MOVE!$Q$6)/RSeed!M51)</f>
        <v>1</v>
      </c>
      <c r="N51" s="96">
        <f>KSeed!N51*(1-(MOVE!$Q$6)/RSeed!N51)</f>
        <v>1</v>
      </c>
      <c r="O51" s="96">
        <f>KSeed!O51*(1-(MOVE!$Q$6)/RSeed!O51)</f>
        <v>1</v>
      </c>
      <c r="P51" s="96">
        <f>KSeed!P51*(1-(MOVE!$Q$6)/RSeed!P51)</f>
        <v>1</v>
      </c>
      <c r="Q51" s="96">
        <f>KSeed!Q51*(1-(MOVE!$Q$6)/RSeed!Q51)</f>
        <v>1</v>
      </c>
      <c r="R51" s="96">
        <f>KSeed!R51*(1-(MOVE!$Q$6)/RSeed!R51)</f>
        <v>1</v>
      </c>
      <c r="S51" s="96">
        <f>KSeed!S51*(1-(MOVE!$Q$6)/RSeed!S51)</f>
        <v>1</v>
      </c>
      <c r="T51" s="96">
        <f>KSeed!T51*(1-(MOVE!$Q$6)/RSeed!T51)</f>
        <v>1</v>
      </c>
      <c r="U51" s="96">
        <f>KSeed!U51*(1-(MOVE!$Q$6)/RSeed!U51)</f>
        <v>1</v>
      </c>
      <c r="V51" s="96">
        <f>KSeed!V51*(1-(MOVE!$Q$6)/RSeed!V51)</f>
        <v>1</v>
      </c>
      <c r="W51" s="96">
        <f>KSeed!W51*(1-(MOVE!$Q$6)/RSeed!W51)</f>
        <v>1</v>
      </c>
      <c r="X51" s="96">
        <f>KSeed!X51*(1-(MOVE!$Q$6)/RSeed!X51)</f>
        <v>1</v>
      </c>
      <c r="Y51" s="96">
        <f>KSeed!Y51*(1-(MOVE!$Q$6)/RSeed!Y51)</f>
        <v>1</v>
      </c>
      <c r="Z51" s="96">
        <f>KSeed!Z51*(1-(MOVE!$Q$6)/RSeed!Z51)</f>
        <v>1</v>
      </c>
      <c r="AA51" s="96">
        <f>KSeed!AA51*(1-(MOVE!$Q$6)/RSeed!AA51)</f>
        <v>1</v>
      </c>
      <c r="AB51" s="96">
        <f>KSeed!AB51*(1-(MOVE!$Q$6)/RSeed!AB51)</f>
        <v>1</v>
      </c>
      <c r="AC51" s="96">
        <f>KSeed!AC51*(1-(MOVE!$Q$6)/RSeed!AC51)</f>
        <v>1</v>
      </c>
      <c r="AD51" s="96">
        <f>KSeed!AD51*(1-(MOVE!$Q$6)/RSeed!AD51)</f>
        <v>1</v>
      </c>
      <c r="AE51" s="96">
        <f>KSeed!AE51*(1-(MOVE!$Q$6)/RSeed!AE51)</f>
        <v>1</v>
      </c>
      <c r="AF51" s="96">
        <f>KSeed!AF51*(1-(MOVE!$Q$6)/RSeed!AF51)</f>
        <v>1</v>
      </c>
      <c r="AG51" s="96">
        <f>KSeed!AG51*(1-(MOVE!$Q$6)/RSeed!AG51)</f>
        <v>1</v>
      </c>
      <c r="AH51" s="96">
        <f>KSeed!AH51*(1-(MOVE!$Q$6)/RSeed!AH51)</f>
        <v>1</v>
      </c>
      <c r="AI51" s="96">
        <f>KSeed!AI51*(1-(MOVE!$Q$6)/RSeed!AI51)</f>
        <v>1</v>
      </c>
      <c r="AJ51" s="96">
        <f>KSeed!AJ51*(1-(MOVE!$Q$6)/RSeed!AJ51)</f>
        <v>1</v>
      </c>
      <c r="AK51" s="96">
        <f>KSeed!AK51*(1-(MOVE!$Q$6)/RSeed!AK51)</f>
        <v>1</v>
      </c>
      <c r="AL51" s="96">
        <f>KSeed!AL51*(1-(MOVE!$Q$6)/RSeed!AL51)</f>
        <v>1</v>
      </c>
      <c r="AM51" s="96">
        <f>KSeed!AM51*(1-(MOVE!$Q$6)/RSeed!AM51)</f>
        <v>1</v>
      </c>
      <c r="AN51" s="96">
        <f>KSeed!AN51*(1-(MOVE!$Q$6)/RSeed!AN51)</f>
        <v>1</v>
      </c>
      <c r="AO51" s="96">
        <f>KSeed!AO51*(1-(MOVE!$Q$6)/RSeed!AO51)</f>
        <v>1</v>
      </c>
      <c r="AP51" s="96">
        <f>KSeed!AP51*(1-(MOVE!$Q$6)/RSeed!AP51)</f>
        <v>1</v>
      </c>
      <c r="AQ51" s="97">
        <f>KSeed!AQ51*(1-(MOVE!$Q$6)/RSeed!AQ51)</f>
        <v>1</v>
      </c>
      <c r="AR51" s="92">
        <f>KSeed!AR51*(1-(MOVE!$X$6)/RSeed!AR51)</f>
        <v>8.3383858338430592</v>
      </c>
      <c r="AS51" s="86">
        <f>KSeed!AS51*(1-(MOVE!$X$6)/RSeed!AS51)</f>
        <v>8.3383858338430592</v>
      </c>
      <c r="AT51" s="86">
        <f>KSeed!AT51*(1-(MOVE!$X$6)/RSeed!AT51)</f>
        <v>8.3383858338430592</v>
      </c>
      <c r="AU51" s="86">
        <f>KSeed!AU51*(1-(MOVE!$X$6)/RSeed!AU51)</f>
        <v>8.3383858338430592</v>
      </c>
      <c r="AV51" s="86">
        <f>KSeed!AV51*(1-(MOVE!$X$6)/RSeed!AV51)</f>
        <v>8.3383858338430592</v>
      </c>
      <c r="AW51" s="86">
        <f>KSeed!AW51*(1-(MOVE!$X$6)/RSeed!AW51)</f>
        <v>8.3383858338430592</v>
      </c>
      <c r="AX51" s="86">
        <f>KSeed!AX51*(1-(MOVE!$X$6)/RSeed!AX51)</f>
        <v>8.3383858338430592</v>
      </c>
      <c r="AY51" s="87">
        <f>KSeed!AY51*(1-(MOVE!$X$6)/RSeed!AY51)</f>
        <v>8.3383858338430592</v>
      </c>
      <c r="AZ51" s="72">
        <f>KSeed!AZ51*(1-(MOVE!$X$6)/RSeed!AZ51)</f>
        <v>8.3383858338430592</v>
      </c>
      <c r="BA51" s="35">
        <v>33</v>
      </c>
    </row>
    <row r="52" spans="2:53" x14ac:dyDescent="0.2">
      <c r="B52" s="34">
        <v>34</v>
      </c>
      <c r="C52" s="72">
        <f>KSeed!C52*(1-(MOVE!$Q$6)/RSeed!C52)</f>
        <v>1</v>
      </c>
      <c r="D52" s="77">
        <f>KSeed!D52*(1-(MOVE!$Q$6)/RSeed!D52)</f>
        <v>1</v>
      </c>
      <c r="E52" s="78">
        <f>KSeed!E52*(1-(MOVE!$Q$6)/RSeed!E52)</f>
        <v>1</v>
      </c>
      <c r="F52" s="78">
        <f>KSeed!F52*(1-(MOVE!$Q$6)/RSeed!F52)</f>
        <v>1</v>
      </c>
      <c r="G52" s="78">
        <f>KSeed!G52*(1-(MOVE!$Q$6)/RSeed!G52)</f>
        <v>1</v>
      </c>
      <c r="H52" s="78">
        <f>KSeed!H52*(1-(MOVE!$Q$6)/RSeed!H52)</f>
        <v>1</v>
      </c>
      <c r="I52" s="78">
        <f>KSeed!I52*(1-(MOVE!$Q$6)/RSeed!I52)</f>
        <v>1</v>
      </c>
      <c r="J52" s="78">
        <f>KSeed!J52*(1-(MOVE!$Q$6)/RSeed!J52)</f>
        <v>1</v>
      </c>
      <c r="K52" s="78">
        <f>KSeed!K52*(1-(MOVE!$Q$6)/RSeed!K52)</f>
        <v>1</v>
      </c>
      <c r="L52" s="78">
        <f>KSeed!L52*(1-(MOVE!$Q$6)/RSeed!L52)</f>
        <v>1</v>
      </c>
      <c r="M52" s="78">
        <f>KSeed!M52*(1-(MOVE!$Q$6)/RSeed!M52)</f>
        <v>1</v>
      </c>
      <c r="N52" s="78">
        <f>KSeed!N52*(1-(MOVE!$Q$6)/RSeed!N52)</f>
        <v>1</v>
      </c>
      <c r="O52" s="78">
        <f>KSeed!O52*(1-(MOVE!$Q$6)/RSeed!O52)</f>
        <v>1</v>
      </c>
      <c r="P52" s="78">
        <f>KSeed!P52*(1-(MOVE!$Q$6)/RSeed!P52)</f>
        <v>1</v>
      </c>
      <c r="Q52" s="78">
        <f>KSeed!Q52*(1-(MOVE!$Q$6)/RSeed!Q52)</f>
        <v>1</v>
      </c>
      <c r="R52" s="78">
        <f>KSeed!R52*(1-(MOVE!$Q$6)/RSeed!R52)</f>
        <v>1</v>
      </c>
      <c r="S52" s="78">
        <f>KSeed!S52*(1-(MOVE!$Q$6)/RSeed!S52)</f>
        <v>1</v>
      </c>
      <c r="T52" s="78">
        <f>KSeed!T52*(1-(MOVE!$Q$6)/RSeed!T52)</f>
        <v>1</v>
      </c>
      <c r="U52" s="78">
        <f>KSeed!U52*(1-(MOVE!$Q$6)/RSeed!U52)</f>
        <v>1</v>
      </c>
      <c r="V52" s="78">
        <f>KSeed!V52*(1-(MOVE!$Q$6)/RSeed!V52)</f>
        <v>1</v>
      </c>
      <c r="W52" s="78">
        <f>KSeed!W52*(1-(MOVE!$Q$6)/RSeed!W52)</f>
        <v>1</v>
      </c>
      <c r="X52" s="78">
        <f>KSeed!X52*(1-(MOVE!$Q$6)/RSeed!X52)</f>
        <v>1</v>
      </c>
      <c r="Y52" s="78">
        <f>KSeed!Y52*(1-(MOVE!$Q$6)/RSeed!Y52)</f>
        <v>1</v>
      </c>
      <c r="Z52" s="78">
        <f>KSeed!Z52*(1-(MOVE!$Q$6)/RSeed!Z52)</f>
        <v>1</v>
      </c>
      <c r="AA52" s="78">
        <f>KSeed!AA52*(1-(MOVE!$Q$6)/RSeed!AA52)</f>
        <v>1</v>
      </c>
      <c r="AB52" s="78">
        <f>KSeed!AB52*(1-(MOVE!$Q$6)/RSeed!AB52)</f>
        <v>1</v>
      </c>
      <c r="AC52" s="78">
        <f>KSeed!AC52*(1-(MOVE!$Q$6)/RSeed!AC52)</f>
        <v>1</v>
      </c>
      <c r="AD52" s="78">
        <f>KSeed!AD52*(1-(MOVE!$Q$6)/RSeed!AD52)</f>
        <v>1</v>
      </c>
      <c r="AE52" s="78">
        <f>KSeed!AE52*(1-(MOVE!$Q$6)/RSeed!AE52)</f>
        <v>1</v>
      </c>
      <c r="AF52" s="78">
        <f>KSeed!AF52*(1-(MOVE!$Q$6)/RSeed!AF52)</f>
        <v>1</v>
      </c>
      <c r="AG52" s="78">
        <f>KSeed!AG52*(1-(MOVE!$Q$6)/RSeed!AG52)</f>
        <v>1</v>
      </c>
      <c r="AH52" s="78">
        <f>KSeed!AH52*(1-(MOVE!$Q$6)/RSeed!AH52)</f>
        <v>1</v>
      </c>
      <c r="AI52" s="78">
        <f>KSeed!AI52*(1-(MOVE!$Q$6)/RSeed!AI52)</f>
        <v>1</v>
      </c>
      <c r="AJ52" s="78">
        <f>KSeed!AJ52*(1-(MOVE!$Q$6)/RSeed!AJ52)</f>
        <v>1</v>
      </c>
      <c r="AK52" s="78">
        <f>KSeed!AK52*(1-(MOVE!$Q$6)/RSeed!AK52)</f>
        <v>1</v>
      </c>
      <c r="AL52" s="78">
        <f>KSeed!AL52*(1-(MOVE!$Q$6)/RSeed!AL52)</f>
        <v>1</v>
      </c>
      <c r="AM52" s="78">
        <f>KSeed!AM52*(1-(MOVE!$Q$6)/RSeed!AM52)</f>
        <v>1</v>
      </c>
      <c r="AN52" s="78">
        <f>KSeed!AN52*(1-(MOVE!$Q$6)/RSeed!AN52)</f>
        <v>1</v>
      </c>
      <c r="AO52" s="78">
        <f>KSeed!AO52*(1-(MOVE!$Q$6)/RSeed!AO52)</f>
        <v>1</v>
      </c>
      <c r="AP52" s="78">
        <f>KSeed!AP52*(1-(MOVE!$Q$6)/RSeed!AP52)</f>
        <v>1</v>
      </c>
      <c r="AQ52" s="79">
        <f>KSeed!AQ52*(1-(MOVE!$Q$6)/RSeed!AQ52)</f>
        <v>1</v>
      </c>
      <c r="AR52" s="92">
        <f>KSeed!AR52*(1-(MOVE!$X$6)/RSeed!AR52)</f>
        <v>8.3383858338430592</v>
      </c>
      <c r="AS52" s="86">
        <f>KSeed!AS52*(1-(MOVE!$X$6)/RSeed!AS52)</f>
        <v>8.3383858338430592</v>
      </c>
      <c r="AT52" s="86">
        <f>KSeed!AT52*(1-(MOVE!$X$6)/RSeed!AT52)</f>
        <v>8.3383858338430592</v>
      </c>
      <c r="AU52" s="86">
        <f>KSeed!AU52*(1-(MOVE!$X$6)/RSeed!AU52)</f>
        <v>8.3383858338430592</v>
      </c>
      <c r="AV52" s="86">
        <f>KSeed!AV52*(1-(MOVE!$X$6)/RSeed!AV52)</f>
        <v>8.3383858338430592</v>
      </c>
      <c r="AW52" s="86">
        <f>KSeed!AW52*(1-(MOVE!$X$6)/RSeed!AW52)</f>
        <v>8.3383858338430592</v>
      </c>
      <c r="AX52" s="86">
        <f>KSeed!AX52*(1-(MOVE!$X$6)/RSeed!AX52)</f>
        <v>8.3383858338430592</v>
      </c>
      <c r="AY52" s="87">
        <f>KSeed!AY52*(1-(MOVE!$X$6)/RSeed!AY52)</f>
        <v>8.3383858338430592</v>
      </c>
      <c r="AZ52" s="72">
        <f>KSeed!AZ52*(1-(MOVE!$X$6)/RSeed!AZ52)</f>
        <v>8.3383858338430592</v>
      </c>
      <c r="BA52" s="35">
        <v>34</v>
      </c>
    </row>
    <row r="53" spans="2:53" x14ac:dyDescent="0.2">
      <c r="B53" s="34">
        <v>35</v>
      </c>
      <c r="C53" s="72">
        <f>KSeed!C53*(1-(MOVE!$Q$6)/RSeed!C53)</f>
        <v>1</v>
      </c>
      <c r="D53" s="77">
        <f>KSeed!D53*(1-(MOVE!$Q$6)/RSeed!D53)</f>
        <v>1</v>
      </c>
      <c r="E53" s="78">
        <f>KSeed!E53*(1-(MOVE!$Q$6)/RSeed!E53)</f>
        <v>1</v>
      </c>
      <c r="F53" s="78">
        <f>KSeed!F53*(1-(MOVE!$Q$6)/RSeed!F53)</f>
        <v>1</v>
      </c>
      <c r="G53" s="78">
        <f>KSeed!G53*(1-(MOVE!$Q$6)/RSeed!G53)</f>
        <v>1</v>
      </c>
      <c r="H53" s="78">
        <f>KSeed!H53*(1-(MOVE!$Q$6)/RSeed!H53)</f>
        <v>1</v>
      </c>
      <c r="I53" s="78">
        <f>KSeed!I53*(1-(MOVE!$Q$6)/RSeed!I53)</f>
        <v>1</v>
      </c>
      <c r="J53" s="78">
        <f>KSeed!J53*(1-(MOVE!$Q$6)/RSeed!J53)</f>
        <v>1</v>
      </c>
      <c r="K53" s="78">
        <f>KSeed!K53*(1-(MOVE!$Q$6)/RSeed!K53)</f>
        <v>1</v>
      </c>
      <c r="L53" s="78">
        <f>KSeed!L53*(1-(MOVE!$Q$6)/RSeed!L53)</f>
        <v>1</v>
      </c>
      <c r="M53" s="78">
        <f>KSeed!M53*(1-(MOVE!$Q$6)/RSeed!M53)</f>
        <v>1</v>
      </c>
      <c r="N53" s="78">
        <f>KSeed!N53*(1-(MOVE!$Q$6)/RSeed!N53)</f>
        <v>1</v>
      </c>
      <c r="O53" s="78">
        <f>KSeed!O53*(1-(MOVE!$Q$6)/RSeed!O53)</f>
        <v>1</v>
      </c>
      <c r="P53" s="78">
        <f>KSeed!P53*(1-(MOVE!$Q$6)/RSeed!P53)</f>
        <v>1</v>
      </c>
      <c r="Q53" s="78">
        <f>KSeed!Q53*(1-(MOVE!$Q$6)/RSeed!Q53)</f>
        <v>1</v>
      </c>
      <c r="R53" s="78">
        <f>KSeed!R53*(1-(MOVE!$Q$6)/RSeed!R53)</f>
        <v>1</v>
      </c>
      <c r="S53" s="78">
        <f>KSeed!S53*(1-(MOVE!$Q$6)/RSeed!S53)</f>
        <v>1</v>
      </c>
      <c r="T53" s="78">
        <f>KSeed!T53*(1-(MOVE!$Q$6)/RSeed!T53)</f>
        <v>1</v>
      </c>
      <c r="U53" s="78">
        <f>KSeed!U53*(1-(MOVE!$Q$6)/RSeed!U53)</f>
        <v>1</v>
      </c>
      <c r="V53" s="78">
        <f>KSeed!V53*(1-(MOVE!$Q$6)/RSeed!V53)</f>
        <v>1</v>
      </c>
      <c r="W53" s="78">
        <f>KSeed!W53*(1-(MOVE!$Q$6)/RSeed!W53)</f>
        <v>1</v>
      </c>
      <c r="X53" s="78">
        <f>KSeed!X53*(1-(MOVE!$Q$6)/RSeed!X53)</f>
        <v>1</v>
      </c>
      <c r="Y53" s="78">
        <f>KSeed!Y53*(1-(MOVE!$Q$6)/RSeed!Y53)</f>
        <v>1</v>
      </c>
      <c r="Z53" s="78">
        <f>KSeed!Z53*(1-(MOVE!$Q$6)/RSeed!Z53)</f>
        <v>1</v>
      </c>
      <c r="AA53" s="78">
        <f>KSeed!AA53*(1-(MOVE!$Q$6)/RSeed!AA53)</f>
        <v>1</v>
      </c>
      <c r="AB53" s="78">
        <f>KSeed!AB53*(1-(MOVE!$Q$6)/RSeed!AB53)</f>
        <v>1</v>
      </c>
      <c r="AC53" s="78">
        <f>KSeed!AC53*(1-(MOVE!$Q$6)/RSeed!AC53)</f>
        <v>1</v>
      </c>
      <c r="AD53" s="78">
        <f>KSeed!AD53*(1-(MOVE!$Q$6)/RSeed!AD53)</f>
        <v>1</v>
      </c>
      <c r="AE53" s="78">
        <f>KSeed!AE53*(1-(MOVE!$Q$6)/RSeed!AE53)</f>
        <v>1</v>
      </c>
      <c r="AF53" s="78">
        <f>KSeed!AF53*(1-(MOVE!$Q$6)/RSeed!AF53)</f>
        <v>1</v>
      </c>
      <c r="AG53" s="78">
        <f>KSeed!AG53*(1-(MOVE!$Q$6)/RSeed!AG53)</f>
        <v>1</v>
      </c>
      <c r="AH53" s="78">
        <f>KSeed!AH53*(1-(MOVE!$Q$6)/RSeed!AH53)</f>
        <v>1</v>
      </c>
      <c r="AI53" s="78">
        <f>KSeed!AI53*(1-(MOVE!$Q$6)/RSeed!AI53)</f>
        <v>1</v>
      </c>
      <c r="AJ53" s="78">
        <f>KSeed!AJ53*(1-(MOVE!$Q$6)/RSeed!AJ53)</f>
        <v>1</v>
      </c>
      <c r="AK53" s="78">
        <f>KSeed!AK53*(1-(MOVE!$Q$6)/RSeed!AK53)</f>
        <v>1</v>
      </c>
      <c r="AL53" s="78">
        <f>KSeed!AL53*(1-(MOVE!$Q$6)/RSeed!AL53)</f>
        <v>1</v>
      </c>
      <c r="AM53" s="78">
        <f>KSeed!AM53*(1-(MOVE!$Q$6)/RSeed!AM53)</f>
        <v>1</v>
      </c>
      <c r="AN53" s="78">
        <f>KSeed!AN53*(1-(MOVE!$Q$6)/RSeed!AN53)</f>
        <v>1</v>
      </c>
      <c r="AO53" s="78">
        <f>KSeed!AO53*(1-(MOVE!$Q$6)/RSeed!AO53)</f>
        <v>1</v>
      </c>
      <c r="AP53" s="78">
        <f>KSeed!AP53*(1-(MOVE!$Q$6)/RSeed!AP53)</f>
        <v>1</v>
      </c>
      <c r="AQ53" s="79">
        <f>KSeed!AQ53*(1-(MOVE!$Q$6)/RSeed!AQ53)</f>
        <v>1</v>
      </c>
      <c r="AR53" s="92">
        <f>KSeed!AR53*(1-(MOVE!$X$6)/RSeed!AR53)</f>
        <v>8.3383858338430592</v>
      </c>
      <c r="AS53" s="86">
        <f>KSeed!AS53*(1-(MOVE!$X$6)/RSeed!AS53)</f>
        <v>8.3383858338430592</v>
      </c>
      <c r="AT53" s="86">
        <f>KSeed!AT53*(1-(MOVE!$X$6)/RSeed!AT53)</f>
        <v>8.3383858338430592</v>
      </c>
      <c r="AU53" s="86">
        <f>KSeed!AU53*(1-(MOVE!$X$6)/RSeed!AU53)</f>
        <v>8.3383858338430592</v>
      </c>
      <c r="AV53" s="86">
        <f>KSeed!AV53*(1-(MOVE!$X$6)/RSeed!AV53)</f>
        <v>8.3383858338430592</v>
      </c>
      <c r="AW53" s="86">
        <f>KSeed!AW53*(1-(MOVE!$X$6)/RSeed!AW53)</f>
        <v>8.3383858338430592</v>
      </c>
      <c r="AX53" s="86">
        <f>KSeed!AX53*(1-(MOVE!$X$6)/RSeed!AX53)</f>
        <v>8.3383858338430592</v>
      </c>
      <c r="AY53" s="87">
        <f>KSeed!AY53*(1-(MOVE!$X$6)/RSeed!AY53)</f>
        <v>8.3383858338430592</v>
      </c>
      <c r="AZ53" s="72">
        <f>KSeed!AZ53*(1-(MOVE!$X$6)/RSeed!AZ53)</f>
        <v>8.3383858338430592</v>
      </c>
      <c r="BA53" s="35">
        <v>35</v>
      </c>
    </row>
    <row r="54" spans="2:53" x14ac:dyDescent="0.2">
      <c r="B54" s="34">
        <v>36</v>
      </c>
      <c r="C54" s="72">
        <f>KSeed!C54*(1-(MOVE!$Q$6)/RSeed!C54)</f>
        <v>1</v>
      </c>
      <c r="D54" s="77">
        <f>KSeed!D54*(1-(MOVE!$Q$6)/RSeed!D54)</f>
        <v>1</v>
      </c>
      <c r="E54" s="78">
        <f>KSeed!E54*(1-(MOVE!$Q$6)/RSeed!E54)</f>
        <v>1</v>
      </c>
      <c r="F54" s="78">
        <f>KSeed!F54*(1-(MOVE!$Q$6)/RSeed!F54)</f>
        <v>1</v>
      </c>
      <c r="G54" s="78">
        <f>KSeed!G54*(1-(MOVE!$Q$6)/RSeed!G54)</f>
        <v>1</v>
      </c>
      <c r="H54" s="78">
        <f>KSeed!H54*(1-(MOVE!$Q$6)/RSeed!H54)</f>
        <v>1</v>
      </c>
      <c r="I54" s="78">
        <f>KSeed!I54*(1-(MOVE!$Q$6)/RSeed!I54)</f>
        <v>1</v>
      </c>
      <c r="J54" s="78">
        <f>KSeed!J54*(1-(MOVE!$Q$6)/RSeed!J54)</f>
        <v>1</v>
      </c>
      <c r="K54" s="78">
        <f>KSeed!K54*(1-(MOVE!$Q$6)/RSeed!K54)</f>
        <v>1</v>
      </c>
      <c r="L54" s="78">
        <f>KSeed!L54*(1-(MOVE!$Q$6)/RSeed!L54)</f>
        <v>1</v>
      </c>
      <c r="M54" s="78">
        <f>KSeed!M54*(1-(MOVE!$Q$6)/RSeed!M54)</f>
        <v>1</v>
      </c>
      <c r="N54" s="78">
        <f>KSeed!N54*(1-(MOVE!$Q$6)/RSeed!N54)</f>
        <v>1</v>
      </c>
      <c r="O54" s="78">
        <f>KSeed!O54*(1-(MOVE!$Q$6)/RSeed!O54)</f>
        <v>1</v>
      </c>
      <c r="P54" s="78">
        <f>KSeed!P54*(1-(MOVE!$Q$6)/RSeed!P54)</f>
        <v>1</v>
      </c>
      <c r="Q54" s="78">
        <f>KSeed!Q54*(1-(MOVE!$Q$6)/RSeed!Q54)</f>
        <v>1</v>
      </c>
      <c r="R54" s="78">
        <f>KSeed!R54*(1-(MOVE!$Q$6)/RSeed!R54)</f>
        <v>1</v>
      </c>
      <c r="S54" s="78">
        <f>KSeed!S54*(1-(MOVE!$Q$6)/RSeed!S54)</f>
        <v>1</v>
      </c>
      <c r="T54" s="78">
        <f>KSeed!T54*(1-(MOVE!$Q$6)/RSeed!T54)</f>
        <v>1</v>
      </c>
      <c r="U54" s="78">
        <f>KSeed!U54*(1-(MOVE!$Q$6)/RSeed!U54)</f>
        <v>1</v>
      </c>
      <c r="V54" s="78">
        <f>KSeed!V54*(1-(MOVE!$Q$6)/RSeed!V54)</f>
        <v>1</v>
      </c>
      <c r="W54" s="78">
        <f>KSeed!W54*(1-(MOVE!$Q$6)/RSeed!W54)</f>
        <v>1</v>
      </c>
      <c r="X54" s="78">
        <f>KSeed!X54*(1-(MOVE!$Q$6)/RSeed!X54)</f>
        <v>1</v>
      </c>
      <c r="Y54" s="78">
        <f>KSeed!Y54*(1-(MOVE!$Q$6)/RSeed!Y54)</f>
        <v>1</v>
      </c>
      <c r="Z54" s="78">
        <f>KSeed!Z54*(1-(MOVE!$Q$6)/RSeed!Z54)</f>
        <v>1</v>
      </c>
      <c r="AA54" s="78">
        <f>KSeed!AA54*(1-(MOVE!$Q$6)/RSeed!AA54)</f>
        <v>1</v>
      </c>
      <c r="AB54" s="78">
        <f>KSeed!AB54*(1-(MOVE!$Q$6)/RSeed!AB54)</f>
        <v>1</v>
      </c>
      <c r="AC54" s="78">
        <f>KSeed!AC54*(1-(MOVE!$Q$6)/RSeed!AC54)</f>
        <v>1</v>
      </c>
      <c r="AD54" s="78">
        <f>KSeed!AD54*(1-(MOVE!$Q$6)/RSeed!AD54)</f>
        <v>1</v>
      </c>
      <c r="AE54" s="78">
        <f>KSeed!AE54*(1-(MOVE!$Q$6)/RSeed!AE54)</f>
        <v>1</v>
      </c>
      <c r="AF54" s="78">
        <f>KSeed!AF54*(1-(MOVE!$Q$6)/RSeed!AF54)</f>
        <v>1</v>
      </c>
      <c r="AG54" s="78">
        <f>KSeed!AG54*(1-(MOVE!$Q$6)/RSeed!AG54)</f>
        <v>1</v>
      </c>
      <c r="AH54" s="78">
        <f>KSeed!AH54*(1-(MOVE!$Q$6)/RSeed!AH54)</f>
        <v>1</v>
      </c>
      <c r="AI54" s="78">
        <f>KSeed!AI54*(1-(MOVE!$Q$6)/RSeed!AI54)</f>
        <v>1</v>
      </c>
      <c r="AJ54" s="78">
        <f>KSeed!AJ54*(1-(MOVE!$Q$6)/RSeed!AJ54)</f>
        <v>1</v>
      </c>
      <c r="AK54" s="78">
        <f>KSeed!AK54*(1-(MOVE!$Q$6)/RSeed!AK54)</f>
        <v>1</v>
      </c>
      <c r="AL54" s="78">
        <f>KSeed!AL54*(1-(MOVE!$Q$6)/RSeed!AL54)</f>
        <v>1</v>
      </c>
      <c r="AM54" s="78">
        <f>KSeed!AM54*(1-(MOVE!$Q$6)/RSeed!AM54)</f>
        <v>1</v>
      </c>
      <c r="AN54" s="78">
        <f>KSeed!AN54*(1-(MOVE!$Q$6)/RSeed!AN54)</f>
        <v>1</v>
      </c>
      <c r="AO54" s="78">
        <f>KSeed!AO54*(1-(MOVE!$Q$6)/RSeed!AO54)</f>
        <v>1</v>
      </c>
      <c r="AP54" s="78">
        <f>KSeed!AP54*(1-(MOVE!$Q$6)/RSeed!AP54)</f>
        <v>1</v>
      </c>
      <c r="AQ54" s="79">
        <f>KSeed!AQ54*(1-(MOVE!$Q$6)/RSeed!AQ54)</f>
        <v>1</v>
      </c>
      <c r="AR54" s="92">
        <f>KSeed!AR54*(1-(MOVE!$X$6)/RSeed!AR54)</f>
        <v>8.3383858338430592</v>
      </c>
      <c r="AS54" s="86">
        <f>KSeed!AS54*(1-(MOVE!$X$6)/RSeed!AS54)</f>
        <v>8.3383858338430592</v>
      </c>
      <c r="AT54" s="86">
        <f>KSeed!AT54*(1-(MOVE!$X$6)/RSeed!AT54)</f>
        <v>8.3383858338430592</v>
      </c>
      <c r="AU54" s="86">
        <f>KSeed!AU54*(1-(MOVE!$X$6)/RSeed!AU54)</f>
        <v>8.3383858338430592</v>
      </c>
      <c r="AV54" s="86">
        <f>KSeed!AV54*(1-(MOVE!$X$6)/RSeed!AV54)</f>
        <v>8.3383858338430592</v>
      </c>
      <c r="AW54" s="86">
        <f>KSeed!AW54*(1-(MOVE!$X$6)/RSeed!AW54)</f>
        <v>8.3383858338430592</v>
      </c>
      <c r="AX54" s="86">
        <f>KSeed!AX54*(1-(MOVE!$X$6)/RSeed!AX54)</f>
        <v>8.3383858338430592</v>
      </c>
      <c r="AY54" s="87">
        <f>KSeed!AY54*(1-(MOVE!$X$6)/RSeed!AY54)</f>
        <v>8.3383858338430592</v>
      </c>
      <c r="AZ54" s="72">
        <f>KSeed!AZ54*(1-(MOVE!$X$6)/RSeed!AZ54)</f>
        <v>8.3383858338430592</v>
      </c>
      <c r="BA54" s="35">
        <v>36</v>
      </c>
    </row>
    <row r="55" spans="2:53" x14ac:dyDescent="0.2">
      <c r="B55" s="34">
        <v>37</v>
      </c>
      <c r="C55" s="72">
        <f>KSeed!C55*(1-(MOVE!$Q$6)/RSeed!C55)</f>
        <v>1</v>
      </c>
      <c r="D55" s="77">
        <f>KSeed!D55*(1-(MOVE!$Q$6)/RSeed!D55)</f>
        <v>1</v>
      </c>
      <c r="E55" s="78">
        <f>KSeed!E55*(1-(MOVE!$Q$6)/RSeed!E55)</f>
        <v>1</v>
      </c>
      <c r="F55" s="78">
        <f>KSeed!F55*(1-(MOVE!$Q$6)/RSeed!F55)</f>
        <v>1</v>
      </c>
      <c r="G55" s="78">
        <f>KSeed!G55*(1-(MOVE!$Q$6)/RSeed!G55)</f>
        <v>1</v>
      </c>
      <c r="H55" s="78">
        <f>KSeed!H55*(1-(MOVE!$Q$6)/RSeed!H55)</f>
        <v>1</v>
      </c>
      <c r="I55" s="78">
        <f>KSeed!I55*(1-(MOVE!$Q$6)/RSeed!I55)</f>
        <v>1</v>
      </c>
      <c r="J55" s="78">
        <f>KSeed!J55*(1-(MOVE!$Q$6)/RSeed!J55)</f>
        <v>1</v>
      </c>
      <c r="K55" s="78">
        <f>KSeed!K55*(1-(MOVE!$Q$6)/RSeed!K55)</f>
        <v>1</v>
      </c>
      <c r="L55" s="78">
        <f>KSeed!L55*(1-(MOVE!$Q$6)/RSeed!L55)</f>
        <v>1</v>
      </c>
      <c r="M55" s="78">
        <f>KSeed!M55*(1-(MOVE!$Q$6)/RSeed!M55)</f>
        <v>1</v>
      </c>
      <c r="N55" s="78">
        <f>KSeed!N55*(1-(MOVE!$Q$6)/RSeed!N55)</f>
        <v>1</v>
      </c>
      <c r="O55" s="78">
        <f>KSeed!O55*(1-(MOVE!$Q$6)/RSeed!O55)</f>
        <v>1</v>
      </c>
      <c r="P55" s="78">
        <f>KSeed!P55*(1-(MOVE!$Q$6)/RSeed!P55)</f>
        <v>1</v>
      </c>
      <c r="Q55" s="78">
        <f>KSeed!Q55*(1-(MOVE!$Q$6)/RSeed!Q55)</f>
        <v>1</v>
      </c>
      <c r="R55" s="78">
        <f>KSeed!R55*(1-(MOVE!$Q$6)/RSeed!R55)</f>
        <v>1</v>
      </c>
      <c r="S55" s="78">
        <f>KSeed!S55*(1-(MOVE!$Q$6)/RSeed!S55)</f>
        <v>1</v>
      </c>
      <c r="T55" s="78">
        <f>KSeed!T55*(1-(MOVE!$Q$6)/RSeed!T55)</f>
        <v>1</v>
      </c>
      <c r="U55" s="78">
        <f>KSeed!U55*(1-(MOVE!$Q$6)/RSeed!U55)</f>
        <v>1</v>
      </c>
      <c r="V55" s="78">
        <f>KSeed!V55*(1-(MOVE!$Q$6)/RSeed!V55)</f>
        <v>1</v>
      </c>
      <c r="W55" s="78">
        <f>KSeed!W55*(1-(MOVE!$Q$6)/RSeed!W55)</f>
        <v>1</v>
      </c>
      <c r="X55" s="78">
        <f>KSeed!X55*(1-(MOVE!$Q$6)/RSeed!X55)</f>
        <v>1</v>
      </c>
      <c r="Y55" s="78">
        <f>KSeed!Y55*(1-(MOVE!$Q$6)/RSeed!Y55)</f>
        <v>1</v>
      </c>
      <c r="Z55" s="78">
        <f>KSeed!Z55*(1-(MOVE!$Q$6)/RSeed!Z55)</f>
        <v>1</v>
      </c>
      <c r="AA55" s="78">
        <f>KSeed!AA55*(1-(MOVE!$Q$6)/RSeed!AA55)</f>
        <v>1</v>
      </c>
      <c r="AB55" s="78">
        <f>KSeed!AB55*(1-(MOVE!$Q$6)/RSeed!AB55)</f>
        <v>1</v>
      </c>
      <c r="AC55" s="78">
        <f>KSeed!AC55*(1-(MOVE!$Q$6)/RSeed!AC55)</f>
        <v>1</v>
      </c>
      <c r="AD55" s="78">
        <f>KSeed!AD55*(1-(MOVE!$Q$6)/RSeed!AD55)</f>
        <v>1</v>
      </c>
      <c r="AE55" s="78">
        <f>KSeed!AE55*(1-(MOVE!$Q$6)/RSeed!AE55)</f>
        <v>1</v>
      </c>
      <c r="AF55" s="78">
        <f>KSeed!AF55*(1-(MOVE!$Q$6)/RSeed!AF55)</f>
        <v>1</v>
      </c>
      <c r="AG55" s="78">
        <f>KSeed!AG55*(1-(MOVE!$Q$6)/RSeed!AG55)</f>
        <v>1</v>
      </c>
      <c r="AH55" s="78">
        <f>KSeed!AH55*(1-(MOVE!$Q$6)/RSeed!AH55)</f>
        <v>1</v>
      </c>
      <c r="AI55" s="78">
        <f>KSeed!AI55*(1-(MOVE!$Q$6)/RSeed!AI55)</f>
        <v>1</v>
      </c>
      <c r="AJ55" s="78">
        <f>KSeed!AJ55*(1-(MOVE!$Q$6)/RSeed!AJ55)</f>
        <v>1</v>
      </c>
      <c r="AK55" s="78">
        <f>KSeed!AK55*(1-(MOVE!$Q$6)/RSeed!AK55)</f>
        <v>1</v>
      </c>
      <c r="AL55" s="78">
        <f>KSeed!AL55*(1-(MOVE!$Q$6)/RSeed!AL55)</f>
        <v>1</v>
      </c>
      <c r="AM55" s="78">
        <f>KSeed!AM55*(1-(MOVE!$Q$6)/RSeed!AM55)</f>
        <v>1</v>
      </c>
      <c r="AN55" s="78">
        <f>KSeed!AN55*(1-(MOVE!$Q$6)/RSeed!AN55)</f>
        <v>1</v>
      </c>
      <c r="AO55" s="78">
        <f>KSeed!AO55*(1-(MOVE!$Q$6)/RSeed!AO55)</f>
        <v>1</v>
      </c>
      <c r="AP55" s="78">
        <f>KSeed!AP55*(1-(MOVE!$Q$6)/RSeed!AP55)</f>
        <v>1</v>
      </c>
      <c r="AQ55" s="79">
        <f>KSeed!AQ55*(1-(MOVE!$Q$6)/RSeed!AQ55)</f>
        <v>1</v>
      </c>
      <c r="AR55" s="92">
        <f>KSeed!AR55*(1-(MOVE!$X$6)/RSeed!AR55)</f>
        <v>8.3383858338430592</v>
      </c>
      <c r="AS55" s="86">
        <f>KSeed!AS55*(1-(MOVE!$X$6)/RSeed!AS55)</f>
        <v>8.3383858338430592</v>
      </c>
      <c r="AT55" s="86">
        <f>KSeed!AT55*(1-(MOVE!$X$6)/RSeed!AT55)</f>
        <v>8.3383858338430592</v>
      </c>
      <c r="AU55" s="86">
        <f>KSeed!AU55*(1-(MOVE!$X$6)/RSeed!AU55)</f>
        <v>8.3383858338430592</v>
      </c>
      <c r="AV55" s="86">
        <f>KSeed!AV55*(1-(MOVE!$X$6)/RSeed!AV55)</f>
        <v>8.3383858338430592</v>
      </c>
      <c r="AW55" s="86">
        <f>KSeed!AW55*(1-(MOVE!$X$6)/RSeed!AW55)</f>
        <v>8.3383858338430592</v>
      </c>
      <c r="AX55" s="86">
        <f>KSeed!AX55*(1-(MOVE!$X$6)/RSeed!AX55)</f>
        <v>8.3383858338430592</v>
      </c>
      <c r="AY55" s="87">
        <f>KSeed!AY55*(1-(MOVE!$X$6)/RSeed!AY55)</f>
        <v>8.3383858338430592</v>
      </c>
      <c r="AZ55" s="72">
        <f>KSeed!AZ55*(1-(MOVE!$X$6)/RSeed!AZ55)</f>
        <v>8.3383858338430592</v>
      </c>
      <c r="BA55" s="35">
        <v>37</v>
      </c>
    </row>
    <row r="56" spans="2:53" x14ac:dyDescent="0.2">
      <c r="B56" s="34">
        <v>38</v>
      </c>
      <c r="C56" s="72">
        <f>KSeed!C56*(1-(MOVE!$Q$6)/RSeed!C56)</f>
        <v>1</v>
      </c>
      <c r="D56" s="77">
        <f>KSeed!D56*(1-(MOVE!$Q$6)/RSeed!D56)</f>
        <v>1</v>
      </c>
      <c r="E56" s="78">
        <f>KSeed!E56*(1-(MOVE!$Q$6)/RSeed!E56)</f>
        <v>1</v>
      </c>
      <c r="F56" s="78">
        <f>KSeed!F56*(1-(MOVE!$Q$6)/RSeed!F56)</f>
        <v>1</v>
      </c>
      <c r="G56" s="78">
        <f>KSeed!G56*(1-(MOVE!$Q$6)/RSeed!G56)</f>
        <v>1</v>
      </c>
      <c r="H56" s="78">
        <f>KSeed!H56*(1-(MOVE!$Q$6)/RSeed!H56)</f>
        <v>1</v>
      </c>
      <c r="I56" s="78">
        <f>KSeed!I56*(1-(MOVE!$Q$6)/RSeed!I56)</f>
        <v>1</v>
      </c>
      <c r="J56" s="78">
        <f>KSeed!J56*(1-(MOVE!$Q$6)/RSeed!J56)</f>
        <v>1</v>
      </c>
      <c r="K56" s="78">
        <f>KSeed!K56*(1-(MOVE!$Q$6)/RSeed!K56)</f>
        <v>1</v>
      </c>
      <c r="L56" s="78">
        <f>KSeed!L56*(1-(MOVE!$Q$6)/RSeed!L56)</f>
        <v>1</v>
      </c>
      <c r="M56" s="78">
        <f>KSeed!M56*(1-(MOVE!$Q$6)/RSeed!M56)</f>
        <v>1</v>
      </c>
      <c r="N56" s="78">
        <f>KSeed!N56*(1-(MOVE!$Q$6)/RSeed!N56)</f>
        <v>1</v>
      </c>
      <c r="O56" s="78">
        <f>KSeed!O56*(1-(MOVE!$Q$6)/RSeed!O56)</f>
        <v>1</v>
      </c>
      <c r="P56" s="78">
        <f>KSeed!P56*(1-(MOVE!$Q$6)/RSeed!P56)</f>
        <v>1</v>
      </c>
      <c r="Q56" s="78">
        <f>KSeed!Q56*(1-(MOVE!$Q$6)/RSeed!Q56)</f>
        <v>1</v>
      </c>
      <c r="R56" s="78">
        <f>KSeed!R56*(1-(MOVE!$Q$6)/RSeed!R56)</f>
        <v>1</v>
      </c>
      <c r="S56" s="78">
        <f>KSeed!S56*(1-(MOVE!$Q$6)/RSeed!S56)</f>
        <v>1</v>
      </c>
      <c r="T56" s="78">
        <f>KSeed!T56*(1-(MOVE!$Q$6)/RSeed!T56)</f>
        <v>1</v>
      </c>
      <c r="U56" s="78">
        <f>KSeed!U56*(1-(MOVE!$Q$6)/RSeed!U56)</f>
        <v>1</v>
      </c>
      <c r="V56" s="78">
        <f>KSeed!V56*(1-(MOVE!$Q$6)/RSeed!V56)</f>
        <v>1</v>
      </c>
      <c r="W56" s="78">
        <f>KSeed!W56*(1-(MOVE!$Q$6)/RSeed!W56)</f>
        <v>1</v>
      </c>
      <c r="X56" s="78">
        <f>KSeed!X56*(1-(MOVE!$Q$6)/RSeed!X56)</f>
        <v>1</v>
      </c>
      <c r="Y56" s="78">
        <f>KSeed!Y56*(1-(MOVE!$Q$6)/RSeed!Y56)</f>
        <v>1</v>
      </c>
      <c r="Z56" s="78">
        <f>KSeed!Z56*(1-(MOVE!$Q$6)/RSeed!Z56)</f>
        <v>1</v>
      </c>
      <c r="AA56" s="78">
        <f>KSeed!AA56*(1-(MOVE!$Q$6)/RSeed!AA56)</f>
        <v>1</v>
      </c>
      <c r="AB56" s="78">
        <f>KSeed!AB56*(1-(MOVE!$Q$6)/RSeed!AB56)</f>
        <v>1</v>
      </c>
      <c r="AC56" s="78">
        <f>KSeed!AC56*(1-(MOVE!$Q$6)/RSeed!AC56)</f>
        <v>1</v>
      </c>
      <c r="AD56" s="78">
        <f>KSeed!AD56*(1-(MOVE!$Q$6)/RSeed!AD56)</f>
        <v>1</v>
      </c>
      <c r="AE56" s="78">
        <f>KSeed!AE56*(1-(MOVE!$Q$6)/RSeed!AE56)</f>
        <v>1</v>
      </c>
      <c r="AF56" s="78">
        <f>KSeed!AF56*(1-(MOVE!$Q$6)/RSeed!AF56)</f>
        <v>1</v>
      </c>
      <c r="AG56" s="78">
        <f>KSeed!AG56*(1-(MOVE!$Q$6)/RSeed!AG56)</f>
        <v>1</v>
      </c>
      <c r="AH56" s="78">
        <f>KSeed!AH56*(1-(MOVE!$Q$6)/RSeed!AH56)</f>
        <v>1</v>
      </c>
      <c r="AI56" s="78">
        <f>KSeed!AI56*(1-(MOVE!$Q$6)/RSeed!AI56)</f>
        <v>1</v>
      </c>
      <c r="AJ56" s="78">
        <f>KSeed!AJ56*(1-(MOVE!$Q$6)/RSeed!AJ56)</f>
        <v>1</v>
      </c>
      <c r="AK56" s="78">
        <f>KSeed!AK56*(1-(MOVE!$Q$6)/RSeed!AK56)</f>
        <v>1</v>
      </c>
      <c r="AL56" s="78">
        <f>KSeed!AL56*(1-(MOVE!$Q$6)/RSeed!AL56)</f>
        <v>1</v>
      </c>
      <c r="AM56" s="78">
        <f>KSeed!AM56*(1-(MOVE!$Q$6)/RSeed!AM56)</f>
        <v>1</v>
      </c>
      <c r="AN56" s="78">
        <f>KSeed!AN56*(1-(MOVE!$Q$6)/RSeed!AN56)</f>
        <v>1</v>
      </c>
      <c r="AO56" s="78">
        <f>KSeed!AO56*(1-(MOVE!$Q$6)/RSeed!AO56)</f>
        <v>1</v>
      </c>
      <c r="AP56" s="78">
        <f>KSeed!AP56*(1-(MOVE!$Q$6)/RSeed!AP56)</f>
        <v>1</v>
      </c>
      <c r="AQ56" s="79">
        <f>KSeed!AQ56*(1-(MOVE!$Q$6)/RSeed!AQ56)</f>
        <v>1</v>
      </c>
      <c r="AR56" s="92">
        <f>KSeed!AR56*(1-(MOVE!$X$6)/RSeed!AR56)</f>
        <v>8.3383858338430592</v>
      </c>
      <c r="AS56" s="86">
        <f>KSeed!AS56*(1-(MOVE!$X$6)/RSeed!AS56)</f>
        <v>8.3383858338430592</v>
      </c>
      <c r="AT56" s="86">
        <f>KSeed!AT56*(1-(MOVE!$X$6)/RSeed!AT56)</f>
        <v>8.3383858338430592</v>
      </c>
      <c r="AU56" s="86">
        <f>KSeed!AU56*(1-(MOVE!$X$6)/RSeed!AU56)</f>
        <v>8.3383858338430592</v>
      </c>
      <c r="AV56" s="86">
        <f>KSeed!AV56*(1-(MOVE!$X$6)/RSeed!AV56)</f>
        <v>8.3383858338430592</v>
      </c>
      <c r="AW56" s="86">
        <f>KSeed!AW56*(1-(MOVE!$X$6)/RSeed!AW56)</f>
        <v>8.3383858338430592</v>
      </c>
      <c r="AX56" s="86">
        <f>KSeed!AX56*(1-(MOVE!$X$6)/RSeed!AX56)</f>
        <v>8.3383858338430592</v>
      </c>
      <c r="AY56" s="87">
        <f>KSeed!AY56*(1-(MOVE!$X$6)/RSeed!AY56)</f>
        <v>8.3383858338430592</v>
      </c>
      <c r="AZ56" s="72">
        <f>KSeed!AZ56*(1-(MOVE!$X$6)/RSeed!AZ56)</f>
        <v>8.3383858338430592</v>
      </c>
      <c r="BA56" s="35">
        <v>38</v>
      </c>
    </row>
    <row r="57" spans="2:53" x14ac:dyDescent="0.2">
      <c r="B57" s="34">
        <v>39</v>
      </c>
      <c r="C57" s="72">
        <f>KSeed!C57*(1-(MOVE!$Q$6)/RSeed!C57)</f>
        <v>1</v>
      </c>
      <c r="D57" s="77">
        <f>KSeed!D57*(1-(MOVE!$Q$6)/RSeed!D57)</f>
        <v>1</v>
      </c>
      <c r="E57" s="78">
        <f>KSeed!E57*(1-(MOVE!$Q$6)/RSeed!E57)</f>
        <v>1</v>
      </c>
      <c r="F57" s="78">
        <f>KSeed!F57*(1-(MOVE!$Q$6)/RSeed!F57)</f>
        <v>1</v>
      </c>
      <c r="G57" s="78">
        <f>KSeed!G57*(1-(MOVE!$Q$6)/RSeed!G57)</f>
        <v>1</v>
      </c>
      <c r="H57" s="78">
        <f>KSeed!H57*(1-(MOVE!$Q$6)/RSeed!H57)</f>
        <v>1</v>
      </c>
      <c r="I57" s="78">
        <f>KSeed!I57*(1-(MOVE!$Q$6)/RSeed!I57)</f>
        <v>1</v>
      </c>
      <c r="J57" s="78">
        <f>KSeed!J57*(1-(MOVE!$Q$6)/RSeed!J57)</f>
        <v>1</v>
      </c>
      <c r="K57" s="78">
        <f>KSeed!K57*(1-(MOVE!$Q$6)/RSeed!K57)</f>
        <v>1</v>
      </c>
      <c r="L57" s="78">
        <f>KSeed!L57*(1-(MOVE!$Q$6)/RSeed!L57)</f>
        <v>1</v>
      </c>
      <c r="M57" s="78">
        <f>KSeed!M57*(1-(MOVE!$Q$6)/RSeed!M57)</f>
        <v>1</v>
      </c>
      <c r="N57" s="78">
        <f>KSeed!N57*(1-(MOVE!$Q$6)/RSeed!N57)</f>
        <v>1</v>
      </c>
      <c r="O57" s="78">
        <f>KSeed!O57*(1-(MOVE!$Q$6)/RSeed!O57)</f>
        <v>1</v>
      </c>
      <c r="P57" s="78">
        <f>KSeed!P57*(1-(MOVE!$Q$6)/RSeed!P57)</f>
        <v>1</v>
      </c>
      <c r="Q57" s="78">
        <f>KSeed!Q57*(1-(MOVE!$Q$6)/RSeed!Q57)</f>
        <v>1</v>
      </c>
      <c r="R57" s="78">
        <f>KSeed!R57*(1-(MOVE!$Q$6)/RSeed!R57)</f>
        <v>1</v>
      </c>
      <c r="S57" s="78">
        <f>KSeed!S57*(1-(MOVE!$Q$6)/RSeed!S57)</f>
        <v>1</v>
      </c>
      <c r="T57" s="78">
        <f>KSeed!T57*(1-(MOVE!$Q$6)/RSeed!T57)</f>
        <v>1</v>
      </c>
      <c r="U57" s="78">
        <f>KSeed!U57*(1-(MOVE!$Q$6)/RSeed!U57)</f>
        <v>1</v>
      </c>
      <c r="V57" s="78">
        <f>KSeed!V57*(1-(MOVE!$Q$6)/RSeed!V57)</f>
        <v>1</v>
      </c>
      <c r="W57" s="78">
        <f>KSeed!W57*(1-(MOVE!$Q$6)/RSeed!W57)</f>
        <v>1</v>
      </c>
      <c r="X57" s="78">
        <f>KSeed!X57*(1-(MOVE!$Q$6)/RSeed!X57)</f>
        <v>1</v>
      </c>
      <c r="Y57" s="78">
        <f>KSeed!Y57*(1-(MOVE!$Q$6)/RSeed!Y57)</f>
        <v>1</v>
      </c>
      <c r="Z57" s="78">
        <f>KSeed!Z57*(1-(MOVE!$Q$6)/RSeed!Z57)</f>
        <v>1</v>
      </c>
      <c r="AA57" s="78">
        <f>KSeed!AA57*(1-(MOVE!$Q$6)/RSeed!AA57)</f>
        <v>1</v>
      </c>
      <c r="AB57" s="78">
        <f>KSeed!AB57*(1-(MOVE!$Q$6)/RSeed!AB57)</f>
        <v>1</v>
      </c>
      <c r="AC57" s="78">
        <f>KSeed!AC57*(1-(MOVE!$Q$6)/RSeed!AC57)</f>
        <v>1</v>
      </c>
      <c r="AD57" s="78">
        <f>KSeed!AD57*(1-(MOVE!$Q$6)/RSeed!AD57)</f>
        <v>1</v>
      </c>
      <c r="AE57" s="78">
        <f>KSeed!AE57*(1-(MOVE!$Q$6)/RSeed!AE57)</f>
        <v>1</v>
      </c>
      <c r="AF57" s="78">
        <f>KSeed!AF57*(1-(MOVE!$Q$6)/RSeed!AF57)</f>
        <v>1</v>
      </c>
      <c r="AG57" s="78">
        <f>KSeed!AG57*(1-(MOVE!$Q$6)/RSeed!AG57)</f>
        <v>1</v>
      </c>
      <c r="AH57" s="78">
        <f>KSeed!AH57*(1-(MOVE!$Q$6)/RSeed!AH57)</f>
        <v>1</v>
      </c>
      <c r="AI57" s="78">
        <f>KSeed!AI57*(1-(MOVE!$Q$6)/RSeed!AI57)</f>
        <v>1</v>
      </c>
      <c r="AJ57" s="78">
        <f>KSeed!AJ57*(1-(MOVE!$Q$6)/RSeed!AJ57)</f>
        <v>1</v>
      </c>
      <c r="AK57" s="78">
        <f>KSeed!AK57*(1-(MOVE!$Q$6)/RSeed!AK57)</f>
        <v>1</v>
      </c>
      <c r="AL57" s="78">
        <f>KSeed!AL57*(1-(MOVE!$Q$6)/RSeed!AL57)</f>
        <v>1</v>
      </c>
      <c r="AM57" s="78">
        <f>KSeed!AM57*(1-(MOVE!$Q$6)/RSeed!AM57)</f>
        <v>1</v>
      </c>
      <c r="AN57" s="78">
        <f>KSeed!AN57*(1-(MOVE!$Q$6)/RSeed!AN57)</f>
        <v>1</v>
      </c>
      <c r="AO57" s="78">
        <f>KSeed!AO57*(1-(MOVE!$Q$6)/RSeed!AO57)</f>
        <v>1</v>
      </c>
      <c r="AP57" s="78">
        <f>KSeed!AP57*(1-(MOVE!$Q$6)/RSeed!AP57)</f>
        <v>1</v>
      </c>
      <c r="AQ57" s="79">
        <f>KSeed!AQ57*(1-(MOVE!$Q$6)/RSeed!AQ57)</f>
        <v>1</v>
      </c>
      <c r="AR57" s="92">
        <f>KSeed!AR57*(1-(MOVE!$X$6)/RSeed!AR57)</f>
        <v>8.3383858338430592</v>
      </c>
      <c r="AS57" s="86">
        <f>KSeed!AS57*(1-(MOVE!$X$6)/RSeed!AS57)</f>
        <v>8.3383858338430592</v>
      </c>
      <c r="AT57" s="86">
        <f>KSeed!AT57*(1-(MOVE!$X$6)/RSeed!AT57)</f>
        <v>8.3383858338430592</v>
      </c>
      <c r="AU57" s="86">
        <f>KSeed!AU57*(1-(MOVE!$X$6)/RSeed!AU57)</f>
        <v>8.3383858338430592</v>
      </c>
      <c r="AV57" s="86">
        <f>KSeed!AV57*(1-(MOVE!$X$6)/RSeed!AV57)</f>
        <v>8.3383858338430592</v>
      </c>
      <c r="AW57" s="86">
        <f>KSeed!AW57*(1-(MOVE!$X$6)/RSeed!AW57)</f>
        <v>8.3383858338430592</v>
      </c>
      <c r="AX57" s="86">
        <f>KSeed!AX57*(1-(MOVE!$X$6)/RSeed!AX57)</f>
        <v>8.3383858338430592</v>
      </c>
      <c r="AY57" s="87">
        <f>KSeed!AY57*(1-(MOVE!$X$6)/RSeed!AY57)</f>
        <v>8.3383858338430592</v>
      </c>
      <c r="AZ57" s="72">
        <f>KSeed!AZ57*(1-(MOVE!$X$6)/RSeed!AZ57)</f>
        <v>8.3383858338430592</v>
      </c>
      <c r="BA57" s="35">
        <v>39</v>
      </c>
    </row>
    <row r="58" spans="2:53" x14ac:dyDescent="0.2">
      <c r="B58" s="34">
        <v>40</v>
      </c>
      <c r="C58" s="72">
        <f>KSeed!C58*(1-(MOVE!$Q$6)/RSeed!C58)</f>
        <v>1</v>
      </c>
      <c r="D58" s="77">
        <f>KSeed!D58*(1-(MOVE!$Q$6)/RSeed!D58)</f>
        <v>1</v>
      </c>
      <c r="E58" s="78">
        <f>KSeed!E58*(1-(MOVE!$Q$6)/RSeed!E58)</f>
        <v>1</v>
      </c>
      <c r="F58" s="78">
        <f>KSeed!F58*(1-(MOVE!$Q$6)/RSeed!F58)</f>
        <v>1</v>
      </c>
      <c r="G58" s="78">
        <f>KSeed!G58*(1-(MOVE!$Q$6)/RSeed!G58)</f>
        <v>1</v>
      </c>
      <c r="H58" s="78">
        <f>KSeed!H58*(1-(MOVE!$Q$6)/RSeed!H58)</f>
        <v>1</v>
      </c>
      <c r="I58" s="78">
        <f>KSeed!I58*(1-(MOVE!$Q$6)/RSeed!I58)</f>
        <v>1</v>
      </c>
      <c r="J58" s="78">
        <f>KSeed!J58*(1-(MOVE!$Q$6)/RSeed!J58)</f>
        <v>1</v>
      </c>
      <c r="K58" s="78">
        <f>KSeed!K58*(1-(MOVE!$Q$6)/RSeed!K58)</f>
        <v>1</v>
      </c>
      <c r="L58" s="78">
        <f>KSeed!L58*(1-(MOVE!$Q$6)/RSeed!L58)</f>
        <v>1</v>
      </c>
      <c r="M58" s="78">
        <f>KSeed!M58*(1-(MOVE!$Q$6)/RSeed!M58)</f>
        <v>1</v>
      </c>
      <c r="N58" s="78">
        <f>KSeed!N58*(1-(MOVE!$Q$6)/RSeed!N58)</f>
        <v>1</v>
      </c>
      <c r="O58" s="78">
        <f>KSeed!O58*(1-(MOVE!$Q$6)/RSeed!O58)</f>
        <v>1</v>
      </c>
      <c r="P58" s="78">
        <f>KSeed!P58*(1-(MOVE!$Q$6)/RSeed!P58)</f>
        <v>1</v>
      </c>
      <c r="Q58" s="78">
        <f>KSeed!Q58*(1-(MOVE!$Q$6)/RSeed!Q58)</f>
        <v>1</v>
      </c>
      <c r="R58" s="78">
        <f>KSeed!R58*(1-(MOVE!$Q$6)/RSeed!R58)</f>
        <v>1</v>
      </c>
      <c r="S58" s="78">
        <f>KSeed!S58*(1-(MOVE!$Q$6)/RSeed!S58)</f>
        <v>1</v>
      </c>
      <c r="T58" s="78">
        <f>KSeed!T58*(1-(MOVE!$Q$6)/RSeed!T58)</f>
        <v>1</v>
      </c>
      <c r="U58" s="78">
        <f>KSeed!U58*(1-(MOVE!$Q$6)/RSeed!U58)</f>
        <v>1</v>
      </c>
      <c r="V58" s="78">
        <f>KSeed!V58*(1-(MOVE!$Q$6)/RSeed!V58)</f>
        <v>1</v>
      </c>
      <c r="W58" s="78">
        <f>KSeed!W58*(1-(MOVE!$Q$6)/RSeed!W58)</f>
        <v>1</v>
      </c>
      <c r="X58" s="78">
        <f>KSeed!X58*(1-(MOVE!$Q$6)/RSeed!X58)</f>
        <v>1</v>
      </c>
      <c r="Y58" s="78">
        <f>KSeed!Y58*(1-(MOVE!$Q$6)/RSeed!Y58)</f>
        <v>1</v>
      </c>
      <c r="Z58" s="78">
        <f>KSeed!Z58*(1-(MOVE!$Q$6)/RSeed!Z58)</f>
        <v>1</v>
      </c>
      <c r="AA58" s="78">
        <f>KSeed!AA58*(1-(MOVE!$Q$6)/RSeed!AA58)</f>
        <v>1</v>
      </c>
      <c r="AB58" s="78">
        <f>KSeed!AB58*(1-(MOVE!$Q$6)/RSeed!AB58)</f>
        <v>1</v>
      </c>
      <c r="AC58" s="78">
        <f>KSeed!AC58*(1-(MOVE!$Q$6)/RSeed!AC58)</f>
        <v>1</v>
      </c>
      <c r="AD58" s="78">
        <f>KSeed!AD58*(1-(MOVE!$Q$6)/RSeed!AD58)</f>
        <v>1</v>
      </c>
      <c r="AE58" s="78">
        <f>KSeed!AE58*(1-(MOVE!$Q$6)/RSeed!AE58)</f>
        <v>1</v>
      </c>
      <c r="AF58" s="78">
        <f>KSeed!AF58*(1-(MOVE!$Q$6)/RSeed!AF58)</f>
        <v>1</v>
      </c>
      <c r="AG58" s="78">
        <f>KSeed!AG58*(1-(MOVE!$Q$6)/RSeed!AG58)</f>
        <v>1</v>
      </c>
      <c r="AH58" s="78">
        <f>KSeed!AH58*(1-(MOVE!$Q$6)/RSeed!AH58)</f>
        <v>1</v>
      </c>
      <c r="AI58" s="78">
        <f>KSeed!AI58*(1-(MOVE!$Q$6)/RSeed!AI58)</f>
        <v>1</v>
      </c>
      <c r="AJ58" s="78">
        <f>KSeed!AJ58*(1-(MOVE!$Q$6)/RSeed!AJ58)</f>
        <v>1</v>
      </c>
      <c r="AK58" s="78">
        <f>KSeed!AK58*(1-(MOVE!$Q$6)/RSeed!AK58)</f>
        <v>1</v>
      </c>
      <c r="AL58" s="78">
        <f>KSeed!AL58*(1-(MOVE!$Q$6)/RSeed!AL58)</f>
        <v>1</v>
      </c>
      <c r="AM58" s="78">
        <f>KSeed!AM58*(1-(MOVE!$Q$6)/RSeed!AM58)</f>
        <v>1</v>
      </c>
      <c r="AN58" s="78">
        <f>KSeed!AN58*(1-(MOVE!$Q$6)/RSeed!AN58)</f>
        <v>1</v>
      </c>
      <c r="AO58" s="78">
        <f>KSeed!AO58*(1-(MOVE!$Q$6)/RSeed!AO58)</f>
        <v>1</v>
      </c>
      <c r="AP58" s="78">
        <f>KSeed!AP58*(1-(MOVE!$Q$6)/RSeed!AP58)</f>
        <v>1</v>
      </c>
      <c r="AQ58" s="79">
        <f>KSeed!AQ58*(1-(MOVE!$Q$6)/RSeed!AQ58)</f>
        <v>1</v>
      </c>
      <c r="AR58" s="92">
        <f>KSeed!AR58*(1-(MOVE!$X$6)/RSeed!AR58)</f>
        <v>8.3383858338430592</v>
      </c>
      <c r="AS58" s="86">
        <f>KSeed!AS58*(1-(MOVE!$X$6)/RSeed!AS58)</f>
        <v>8.3383858338430592</v>
      </c>
      <c r="AT58" s="86">
        <f>KSeed!AT58*(1-(MOVE!$X$6)/RSeed!AT58)</f>
        <v>8.3383858338430592</v>
      </c>
      <c r="AU58" s="86">
        <f>KSeed!AU58*(1-(MOVE!$X$6)/RSeed!AU58)</f>
        <v>8.3383858338430592</v>
      </c>
      <c r="AV58" s="86">
        <f>KSeed!AV58*(1-(MOVE!$X$6)/RSeed!AV58)</f>
        <v>8.3383858338430592</v>
      </c>
      <c r="AW58" s="86">
        <f>KSeed!AW58*(1-(MOVE!$X$6)/RSeed!AW58)</f>
        <v>8.3383858338430592</v>
      </c>
      <c r="AX58" s="86">
        <f>KSeed!AX58*(1-(MOVE!$X$6)/RSeed!AX58)</f>
        <v>8.3383858338430592</v>
      </c>
      <c r="AY58" s="87">
        <f>KSeed!AY58*(1-(MOVE!$X$6)/RSeed!AY58)</f>
        <v>8.3383858338430592</v>
      </c>
      <c r="AZ58" s="72">
        <f>KSeed!AZ58*(1-(MOVE!$X$6)/RSeed!AZ58)</f>
        <v>8.3383858338430592</v>
      </c>
      <c r="BA58" s="35">
        <v>40</v>
      </c>
    </row>
    <row r="59" spans="2:53" x14ac:dyDescent="0.2">
      <c r="B59" s="34">
        <v>41</v>
      </c>
      <c r="C59" s="72">
        <f>KSeed!C59*(1-(MOVE!$Q$6)/RSeed!C59)</f>
        <v>1</v>
      </c>
      <c r="D59" s="77">
        <f>KSeed!D59*(1-(MOVE!$Q$6)/RSeed!D59)</f>
        <v>1</v>
      </c>
      <c r="E59" s="78">
        <f>KSeed!E59*(1-(MOVE!$Q$6)/RSeed!E59)</f>
        <v>1</v>
      </c>
      <c r="F59" s="78">
        <f>KSeed!F59*(1-(MOVE!$Q$6)/RSeed!F59)</f>
        <v>1</v>
      </c>
      <c r="G59" s="78">
        <f>KSeed!G59*(1-(MOVE!$Q$6)/RSeed!G59)</f>
        <v>1</v>
      </c>
      <c r="H59" s="78">
        <f>KSeed!H59*(1-(MOVE!$Q$6)/RSeed!H59)</f>
        <v>1</v>
      </c>
      <c r="I59" s="78">
        <f>KSeed!I59*(1-(MOVE!$Q$6)/RSeed!I59)</f>
        <v>1</v>
      </c>
      <c r="J59" s="78">
        <f>KSeed!J59*(1-(MOVE!$Q$6)/RSeed!J59)</f>
        <v>1</v>
      </c>
      <c r="K59" s="78">
        <f>KSeed!K59*(1-(MOVE!$Q$6)/RSeed!K59)</f>
        <v>1</v>
      </c>
      <c r="L59" s="78">
        <f>KSeed!L59*(1-(MOVE!$Q$6)/RSeed!L59)</f>
        <v>1</v>
      </c>
      <c r="M59" s="78">
        <f>KSeed!M59*(1-(MOVE!$Q$6)/RSeed!M59)</f>
        <v>1</v>
      </c>
      <c r="N59" s="78">
        <f>KSeed!N59*(1-(MOVE!$Q$6)/RSeed!N59)</f>
        <v>1</v>
      </c>
      <c r="O59" s="78">
        <f>KSeed!O59*(1-(MOVE!$Q$6)/RSeed!O59)</f>
        <v>1</v>
      </c>
      <c r="P59" s="78">
        <f>KSeed!P59*(1-(MOVE!$Q$6)/RSeed!P59)</f>
        <v>1</v>
      </c>
      <c r="Q59" s="78">
        <f>KSeed!Q59*(1-(MOVE!$Q$6)/RSeed!Q59)</f>
        <v>1</v>
      </c>
      <c r="R59" s="78">
        <f>KSeed!R59*(1-(MOVE!$Q$6)/RSeed!R59)</f>
        <v>1</v>
      </c>
      <c r="S59" s="78">
        <f>KSeed!S59*(1-(MOVE!$Q$6)/RSeed!S59)</f>
        <v>1</v>
      </c>
      <c r="T59" s="78">
        <f>KSeed!T59*(1-(MOVE!$Q$6)/RSeed!T59)</f>
        <v>1</v>
      </c>
      <c r="U59" s="78">
        <f>KSeed!U59*(1-(MOVE!$Q$6)/RSeed!U59)</f>
        <v>1</v>
      </c>
      <c r="V59" s="78">
        <f>KSeed!V59*(1-(MOVE!$Q$6)/RSeed!V59)</f>
        <v>1</v>
      </c>
      <c r="W59" s="78">
        <f>KSeed!W59*(1-(MOVE!$Q$6)/RSeed!W59)</f>
        <v>1</v>
      </c>
      <c r="X59" s="78">
        <f>KSeed!X59*(1-(MOVE!$Q$6)/RSeed!X59)</f>
        <v>1</v>
      </c>
      <c r="Y59" s="78">
        <f>KSeed!Y59*(1-(MOVE!$Q$6)/RSeed!Y59)</f>
        <v>1</v>
      </c>
      <c r="Z59" s="78">
        <f>KSeed!Z59*(1-(MOVE!$Q$6)/RSeed!Z59)</f>
        <v>1</v>
      </c>
      <c r="AA59" s="78">
        <f>KSeed!AA59*(1-(MOVE!$Q$6)/RSeed!AA59)</f>
        <v>1</v>
      </c>
      <c r="AB59" s="78">
        <f>KSeed!AB59*(1-(MOVE!$Q$6)/RSeed!AB59)</f>
        <v>1</v>
      </c>
      <c r="AC59" s="78">
        <f>KSeed!AC59*(1-(MOVE!$Q$6)/RSeed!AC59)</f>
        <v>1</v>
      </c>
      <c r="AD59" s="78">
        <f>KSeed!AD59*(1-(MOVE!$Q$6)/RSeed!AD59)</f>
        <v>1</v>
      </c>
      <c r="AE59" s="78">
        <f>KSeed!AE59*(1-(MOVE!$Q$6)/RSeed!AE59)</f>
        <v>1</v>
      </c>
      <c r="AF59" s="78">
        <f>KSeed!AF59*(1-(MOVE!$Q$6)/RSeed!AF59)</f>
        <v>1</v>
      </c>
      <c r="AG59" s="78">
        <f>KSeed!AG59*(1-(MOVE!$Q$6)/RSeed!AG59)</f>
        <v>1</v>
      </c>
      <c r="AH59" s="78">
        <f>KSeed!AH59*(1-(MOVE!$Q$6)/RSeed!AH59)</f>
        <v>1</v>
      </c>
      <c r="AI59" s="78">
        <f>KSeed!AI59*(1-(MOVE!$Q$6)/RSeed!AI59)</f>
        <v>1</v>
      </c>
      <c r="AJ59" s="78">
        <f>KSeed!AJ59*(1-(MOVE!$Q$6)/RSeed!AJ59)</f>
        <v>1</v>
      </c>
      <c r="AK59" s="78">
        <f>KSeed!AK59*(1-(MOVE!$Q$6)/RSeed!AK59)</f>
        <v>1</v>
      </c>
      <c r="AL59" s="78">
        <f>KSeed!AL59*(1-(MOVE!$Q$6)/RSeed!AL59)</f>
        <v>1</v>
      </c>
      <c r="AM59" s="78">
        <f>KSeed!AM59*(1-(MOVE!$Q$6)/RSeed!AM59)</f>
        <v>1</v>
      </c>
      <c r="AN59" s="78">
        <f>KSeed!AN59*(1-(MOVE!$Q$6)/RSeed!AN59)</f>
        <v>1</v>
      </c>
      <c r="AO59" s="78">
        <f>KSeed!AO59*(1-(MOVE!$Q$6)/RSeed!AO59)</f>
        <v>1</v>
      </c>
      <c r="AP59" s="78">
        <f>KSeed!AP59*(1-(MOVE!$Q$6)/RSeed!AP59)</f>
        <v>1</v>
      </c>
      <c r="AQ59" s="79">
        <f>KSeed!AQ59*(1-(MOVE!$Q$6)/RSeed!AQ59)</f>
        <v>1</v>
      </c>
      <c r="AR59" s="92">
        <f>KSeed!AR59*(1-(MOVE!$X$6)/RSeed!AR59)</f>
        <v>8.3383858338430592</v>
      </c>
      <c r="AS59" s="86">
        <f>KSeed!AS59*(1-(MOVE!$X$6)/RSeed!AS59)</f>
        <v>8.3383858338430592</v>
      </c>
      <c r="AT59" s="86">
        <f>KSeed!AT59*(1-(MOVE!$X$6)/RSeed!AT59)</f>
        <v>8.3383858338430592</v>
      </c>
      <c r="AU59" s="86">
        <f>KSeed!AU59*(1-(MOVE!$X$6)/RSeed!AU59)</f>
        <v>8.3383858338430592</v>
      </c>
      <c r="AV59" s="86">
        <f>KSeed!AV59*(1-(MOVE!$X$6)/RSeed!AV59)</f>
        <v>8.3383858338430592</v>
      </c>
      <c r="AW59" s="86">
        <f>KSeed!AW59*(1-(MOVE!$X$6)/RSeed!AW59)</f>
        <v>8.3383858338430592</v>
      </c>
      <c r="AX59" s="86">
        <f>KSeed!AX59*(1-(MOVE!$X$6)/RSeed!AX59)</f>
        <v>8.3383858338430592</v>
      </c>
      <c r="AY59" s="87">
        <f>KSeed!AY59*(1-(MOVE!$X$6)/RSeed!AY59)</f>
        <v>8.3383858338430592</v>
      </c>
      <c r="AZ59" s="72">
        <f>KSeed!AZ59*(1-(MOVE!$X$6)/RSeed!AZ59)</f>
        <v>8.3383858338430592</v>
      </c>
      <c r="BA59" s="35">
        <v>41</v>
      </c>
    </row>
    <row r="60" spans="2:53" x14ac:dyDescent="0.2">
      <c r="B60" s="34">
        <v>42</v>
      </c>
      <c r="C60" s="72">
        <f>KSeed!C60*(1-(MOVE!$Q$6)/RSeed!C60)</f>
        <v>1</v>
      </c>
      <c r="D60" s="77">
        <f>KSeed!D60*(1-(MOVE!$Q$6)/RSeed!D60)</f>
        <v>1</v>
      </c>
      <c r="E60" s="78">
        <f>KSeed!E60*(1-(MOVE!$Q$6)/RSeed!E60)</f>
        <v>1</v>
      </c>
      <c r="F60" s="78">
        <f>KSeed!F60*(1-(MOVE!$Q$6)/RSeed!F60)</f>
        <v>1</v>
      </c>
      <c r="G60" s="78">
        <f>KSeed!G60*(1-(MOVE!$Q$6)/RSeed!G60)</f>
        <v>1</v>
      </c>
      <c r="H60" s="78">
        <f>KSeed!H60*(1-(MOVE!$Q$6)/RSeed!H60)</f>
        <v>1</v>
      </c>
      <c r="I60" s="78">
        <f>KSeed!I60*(1-(MOVE!$Q$6)/RSeed!I60)</f>
        <v>1</v>
      </c>
      <c r="J60" s="78">
        <f>KSeed!J60*(1-(MOVE!$Q$6)/RSeed!J60)</f>
        <v>1</v>
      </c>
      <c r="K60" s="78">
        <f>KSeed!K60*(1-(MOVE!$Q$6)/RSeed!K60)</f>
        <v>1</v>
      </c>
      <c r="L60" s="78">
        <f>KSeed!L60*(1-(MOVE!$Q$6)/RSeed!L60)</f>
        <v>1</v>
      </c>
      <c r="M60" s="78">
        <f>KSeed!M60*(1-(MOVE!$Q$6)/RSeed!M60)</f>
        <v>1</v>
      </c>
      <c r="N60" s="78">
        <f>KSeed!N60*(1-(MOVE!$Q$6)/RSeed!N60)</f>
        <v>1</v>
      </c>
      <c r="O60" s="78">
        <f>KSeed!O60*(1-(MOVE!$Q$6)/RSeed!O60)</f>
        <v>1</v>
      </c>
      <c r="P60" s="78">
        <f>KSeed!P60*(1-(MOVE!$Q$6)/RSeed!P60)</f>
        <v>1</v>
      </c>
      <c r="Q60" s="78">
        <f>KSeed!Q60*(1-(MOVE!$Q$6)/RSeed!Q60)</f>
        <v>1</v>
      </c>
      <c r="R60" s="78">
        <f>KSeed!R60*(1-(MOVE!$Q$6)/RSeed!R60)</f>
        <v>1</v>
      </c>
      <c r="S60" s="78">
        <f>KSeed!S60*(1-(MOVE!$Q$6)/RSeed!S60)</f>
        <v>1</v>
      </c>
      <c r="T60" s="78">
        <f>KSeed!T60*(1-(MOVE!$Q$6)/RSeed!T60)</f>
        <v>1</v>
      </c>
      <c r="U60" s="78">
        <f>KSeed!U60*(1-(MOVE!$Q$6)/RSeed!U60)</f>
        <v>1</v>
      </c>
      <c r="V60" s="78">
        <f>KSeed!V60*(1-(MOVE!$Q$6)/RSeed!V60)</f>
        <v>1</v>
      </c>
      <c r="W60" s="78">
        <f>KSeed!W60*(1-(MOVE!$Q$6)/RSeed!W60)</f>
        <v>1</v>
      </c>
      <c r="X60" s="78">
        <f>KSeed!X60*(1-(MOVE!$Q$6)/RSeed!X60)</f>
        <v>1</v>
      </c>
      <c r="Y60" s="78">
        <f>KSeed!Y60*(1-(MOVE!$Q$6)/RSeed!Y60)</f>
        <v>1</v>
      </c>
      <c r="Z60" s="78">
        <f>KSeed!Z60*(1-(MOVE!$Q$6)/RSeed!Z60)</f>
        <v>1</v>
      </c>
      <c r="AA60" s="78">
        <f>KSeed!AA60*(1-(MOVE!$Q$6)/RSeed!AA60)</f>
        <v>1</v>
      </c>
      <c r="AB60" s="78">
        <f>KSeed!AB60*(1-(MOVE!$Q$6)/RSeed!AB60)</f>
        <v>1</v>
      </c>
      <c r="AC60" s="78">
        <f>KSeed!AC60*(1-(MOVE!$Q$6)/RSeed!AC60)</f>
        <v>1</v>
      </c>
      <c r="AD60" s="78">
        <f>KSeed!AD60*(1-(MOVE!$Q$6)/RSeed!AD60)</f>
        <v>1</v>
      </c>
      <c r="AE60" s="78">
        <f>KSeed!AE60*(1-(MOVE!$Q$6)/RSeed!AE60)</f>
        <v>1</v>
      </c>
      <c r="AF60" s="78">
        <f>KSeed!AF60*(1-(MOVE!$Q$6)/RSeed!AF60)</f>
        <v>1</v>
      </c>
      <c r="AG60" s="78">
        <f>KSeed!AG60*(1-(MOVE!$Q$6)/RSeed!AG60)</f>
        <v>1</v>
      </c>
      <c r="AH60" s="78">
        <f>KSeed!AH60*(1-(MOVE!$Q$6)/RSeed!AH60)</f>
        <v>1</v>
      </c>
      <c r="AI60" s="78">
        <f>KSeed!AI60*(1-(MOVE!$Q$6)/RSeed!AI60)</f>
        <v>1</v>
      </c>
      <c r="AJ60" s="78">
        <f>KSeed!AJ60*(1-(MOVE!$Q$6)/RSeed!AJ60)</f>
        <v>1</v>
      </c>
      <c r="AK60" s="78">
        <f>KSeed!AK60*(1-(MOVE!$Q$6)/RSeed!AK60)</f>
        <v>1</v>
      </c>
      <c r="AL60" s="78">
        <f>KSeed!AL60*(1-(MOVE!$Q$6)/RSeed!AL60)</f>
        <v>1</v>
      </c>
      <c r="AM60" s="78">
        <f>KSeed!AM60*(1-(MOVE!$Q$6)/RSeed!AM60)</f>
        <v>1</v>
      </c>
      <c r="AN60" s="78">
        <f>KSeed!AN60*(1-(MOVE!$Q$6)/RSeed!AN60)</f>
        <v>1</v>
      </c>
      <c r="AO60" s="78">
        <f>KSeed!AO60*(1-(MOVE!$Q$6)/RSeed!AO60)</f>
        <v>1</v>
      </c>
      <c r="AP60" s="78">
        <f>KSeed!AP60*(1-(MOVE!$Q$6)/RSeed!AP60)</f>
        <v>1</v>
      </c>
      <c r="AQ60" s="79">
        <f>KSeed!AQ60*(1-(MOVE!$Q$6)/RSeed!AQ60)</f>
        <v>1</v>
      </c>
      <c r="AR60" s="92">
        <f>KSeed!AR60*(1-(MOVE!$X$6)/RSeed!AR60)</f>
        <v>8.3383858338430592</v>
      </c>
      <c r="AS60" s="86">
        <f>KSeed!AS60*(1-(MOVE!$X$6)/RSeed!AS60)</f>
        <v>8.3383858338430592</v>
      </c>
      <c r="AT60" s="86">
        <f>KSeed!AT60*(1-(MOVE!$X$6)/RSeed!AT60)</f>
        <v>8.3383858338430592</v>
      </c>
      <c r="AU60" s="86">
        <f>KSeed!AU60*(1-(MOVE!$X$6)/RSeed!AU60)</f>
        <v>8.3383858338430592</v>
      </c>
      <c r="AV60" s="86">
        <f>KSeed!AV60*(1-(MOVE!$X$6)/RSeed!AV60)</f>
        <v>8.3383858338430592</v>
      </c>
      <c r="AW60" s="86">
        <f>KSeed!AW60*(1-(MOVE!$X$6)/RSeed!AW60)</f>
        <v>8.3383858338430592</v>
      </c>
      <c r="AX60" s="86">
        <f>KSeed!AX60*(1-(MOVE!$X$6)/RSeed!AX60)</f>
        <v>8.3383858338430592</v>
      </c>
      <c r="AY60" s="87">
        <f>KSeed!AY60*(1-(MOVE!$X$6)/RSeed!AY60)</f>
        <v>8.3383858338430592</v>
      </c>
      <c r="AZ60" s="72">
        <f>KSeed!AZ60*(1-(MOVE!$X$6)/RSeed!AZ60)</f>
        <v>8.3383858338430592</v>
      </c>
      <c r="BA60" s="35">
        <v>42</v>
      </c>
    </row>
    <row r="61" spans="2:53" x14ac:dyDescent="0.2">
      <c r="B61" s="34">
        <v>43</v>
      </c>
      <c r="C61" s="72">
        <f>KSeed!C61*(1-(MOVE!$Q$6)/RSeed!C61)</f>
        <v>1</v>
      </c>
      <c r="D61" s="77">
        <f>KSeed!D61*(1-(MOVE!$Q$6)/RSeed!D61)</f>
        <v>1</v>
      </c>
      <c r="E61" s="78">
        <f>KSeed!E61*(1-(MOVE!$Q$6)/RSeed!E61)</f>
        <v>1</v>
      </c>
      <c r="F61" s="78">
        <f>KSeed!F61*(1-(MOVE!$Q$6)/RSeed!F61)</f>
        <v>1</v>
      </c>
      <c r="G61" s="78">
        <f>KSeed!G61*(1-(MOVE!$Q$6)/RSeed!G61)</f>
        <v>1</v>
      </c>
      <c r="H61" s="78">
        <f>KSeed!H61*(1-(MOVE!$Q$6)/RSeed!H61)</f>
        <v>1</v>
      </c>
      <c r="I61" s="78">
        <f>KSeed!I61*(1-(MOVE!$Q$6)/RSeed!I61)</f>
        <v>1</v>
      </c>
      <c r="J61" s="78">
        <f>KSeed!J61*(1-(MOVE!$Q$6)/RSeed!J61)</f>
        <v>1</v>
      </c>
      <c r="K61" s="78">
        <f>KSeed!K61*(1-(MOVE!$Q$6)/RSeed!K61)</f>
        <v>1</v>
      </c>
      <c r="L61" s="78">
        <f>KSeed!L61*(1-(MOVE!$Q$6)/RSeed!L61)</f>
        <v>1</v>
      </c>
      <c r="M61" s="78">
        <f>KSeed!M61*(1-(MOVE!$Q$6)/RSeed!M61)</f>
        <v>1</v>
      </c>
      <c r="N61" s="78">
        <f>KSeed!N61*(1-(MOVE!$Q$6)/RSeed!N61)</f>
        <v>1</v>
      </c>
      <c r="O61" s="78">
        <f>KSeed!O61*(1-(MOVE!$Q$6)/RSeed!O61)</f>
        <v>1</v>
      </c>
      <c r="P61" s="78">
        <f>KSeed!P61*(1-(MOVE!$Q$6)/RSeed!P61)</f>
        <v>1</v>
      </c>
      <c r="Q61" s="78">
        <f>KSeed!Q61*(1-(MOVE!$Q$6)/RSeed!Q61)</f>
        <v>1</v>
      </c>
      <c r="R61" s="78">
        <f>KSeed!R61*(1-(MOVE!$Q$6)/RSeed!R61)</f>
        <v>1</v>
      </c>
      <c r="S61" s="78">
        <f>KSeed!S61*(1-(MOVE!$Q$6)/RSeed!S61)</f>
        <v>1</v>
      </c>
      <c r="T61" s="78">
        <f>KSeed!T61*(1-(MOVE!$Q$6)/RSeed!T61)</f>
        <v>1</v>
      </c>
      <c r="U61" s="78">
        <f>KSeed!U61*(1-(MOVE!$Q$6)/RSeed!U61)</f>
        <v>1</v>
      </c>
      <c r="V61" s="78">
        <f>KSeed!V61*(1-(MOVE!$Q$6)/RSeed!V61)</f>
        <v>1</v>
      </c>
      <c r="W61" s="78">
        <f>KSeed!W61*(1-(MOVE!$Q$6)/RSeed!W61)</f>
        <v>1</v>
      </c>
      <c r="X61" s="78">
        <f>KSeed!X61*(1-(MOVE!$Q$6)/RSeed!X61)</f>
        <v>1</v>
      </c>
      <c r="Y61" s="78">
        <f>KSeed!Y61*(1-(MOVE!$Q$6)/RSeed!Y61)</f>
        <v>1</v>
      </c>
      <c r="Z61" s="78">
        <f>KSeed!Z61*(1-(MOVE!$Q$6)/RSeed!Z61)</f>
        <v>1</v>
      </c>
      <c r="AA61" s="78">
        <f>KSeed!AA61*(1-(MOVE!$Q$6)/RSeed!AA61)</f>
        <v>1</v>
      </c>
      <c r="AB61" s="78">
        <f>KSeed!AB61*(1-(MOVE!$Q$6)/RSeed!AB61)</f>
        <v>1</v>
      </c>
      <c r="AC61" s="78">
        <f>KSeed!AC61*(1-(MOVE!$Q$6)/RSeed!AC61)</f>
        <v>1</v>
      </c>
      <c r="AD61" s="78">
        <f>KSeed!AD61*(1-(MOVE!$Q$6)/RSeed!AD61)</f>
        <v>1</v>
      </c>
      <c r="AE61" s="78">
        <f>KSeed!AE61*(1-(MOVE!$Q$6)/RSeed!AE61)</f>
        <v>1</v>
      </c>
      <c r="AF61" s="78">
        <f>KSeed!AF61*(1-(MOVE!$Q$6)/RSeed!AF61)</f>
        <v>1</v>
      </c>
      <c r="AG61" s="78">
        <f>KSeed!AG61*(1-(MOVE!$Q$6)/RSeed!AG61)</f>
        <v>1</v>
      </c>
      <c r="AH61" s="78">
        <f>KSeed!AH61*(1-(MOVE!$Q$6)/RSeed!AH61)</f>
        <v>1</v>
      </c>
      <c r="AI61" s="78">
        <f>KSeed!AI61*(1-(MOVE!$Q$6)/RSeed!AI61)</f>
        <v>1</v>
      </c>
      <c r="AJ61" s="78">
        <f>KSeed!AJ61*(1-(MOVE!$Q$6)/RSeed!AJ61)</f>
        <v>1</v>
      </c>
      <c r="AK61" s="78">
        <f>KSeed!AK61*(1-(MOVE!$Q$6)/RSeed!AK61)</f>
        <v>1</v>
      </c>
      <c r="AL61" s="78">
        <f>KSeed!AL61*(1-(MOVE!$Q$6)/RSeed!AL61)</f>
        <v>1</v>
      </c>
      <c r="AM61" s="78">
        <f>KSeed!AM61*(1-(MOVE!$Q$6)/RSeed!AM61)</f>
        <v>1</v>
      </c>
      <c r="AN61" s="78">
        <f>KSeed!AN61*(1-(MOVE!$Q$6)/RSeed!AN61)</f>
        <v>1</v>
      </c>
      <c r="AO61" s="78">
        <f>KSeed!AO61*(1-(MOVE!$Q$6)/RSeed!AO61)</f>
        <v>1</v>
      </c>
      <c r="AP61" s="78">
        <f>KSeed!AP61*(1-(MOVE!$Q$6)/RSeed!AP61)</f>
        <v>1</v>
      </c>
      <c r="AQ61" s="79">
        <f>KSeed!AQ61*(1-(MOVE!$Q$6)/RSeed!AQ61)</f>
        <v>1</v>
      </c>
      <c r="AR61" s="92">
        <f>KSeed!AR61*(1-(MOVE!$X$6)/RSeed!AR61)</f>
        <v>8.3383858338430592</v>
      </c>
      <c r="AS61" s="86">
        <f>KSeed!AS61*(1-(MOVE!$X$6)/RSeed!AS61)</f>
        <v>8.3383858338430592</v>
      </c>
      <c r="AT61" s="86">
        <f>KSeed!AT61*(1-(MOVE!$X$6)/RSeed!AT61)</f>
        <v>8.3383858338430592</v>
      </c>
      <c r="AU61" s="86">
        <f>KSeed!AU61*(1-(MOVE!$X$6)/RSeed!AU61)</f>
        <v>8.3383858338430592</v>
      </c>
      <c r="AV61" s="86">
        <f>KSeed!AV61*(1-(MOVE!$X$6)/RSeed!AV61)</f>
        <v>8.3383858338430592</v>
      </c>
      <c r="AW61" s="86">
        <f>KSeed!AW61*(1-(MOVE!$X$6)/RSeed!AW61)</f>
        <v>8.3383858338430592</v>
      </c>
      <c r="AX61" s="86">
        <f>KSeed!AX61*(1-(MOVE!$X$6)/RSeed!AX61)</f>
        <v>8.3383858338430592</v>
      </c>
      <c r="AY61" s="87">
        <f>KSeed!AY61*(1-(MOVE!$X$6)/RSeed!AY61)</f>
        <v>8.3383858338430592</v>
      </c>
      <c r="AZ61" s="72">
        <f>KSeed!AZ61*(1-(MOVE!$X$6)/RSeed!AZ61)</f>
        <v>8.3383858338430592</v>
      </c>
      <c r="BA61" s="35">
        <v>43</v>
      </c>
    </row>
    <row r="62" spans="2:53" x14ac:dyDescent="0.2">
      <c r="B62" s="34">
        <v>44</v>
      </c>
      <c r="C62" s="72">
        <f>KSeed!C62*(1-(MOVE!$Q$6)/RSeed!C62)</f>
        <v>1</v>
      </c>
      <c r="D62" s="77">
        <f>KSeed!D62*(1-(MOVE!$Q$6)/RSeed!D62)</f>
        <v>1</v>
      </c>
      <c r="E62" s="78">
        <f>KSeed!E62*(1-(MOVE!$Q$6)/RSeed!E62)</f>
        <v>1</v>
      </c>
      <c r="F62" s="78">
        <f>KSeed!F62*(1-(MOVE!$Q$6)/RSeed!F62)</f>
        <v>1</v>
      </c>
      <c r="G62" s="78">
        <f>KSeed!G62*(1-(MOVE!$Q$6)/RSeed!G62)</f>
        <v>1</v>
      </c>
      <c r="H62" s="78">
        <f>KSeed!H62*(1-(MOVE!$Q$6)/RSeed!H62)</f>
        <v>1</v>
      </c>
      <c r="I62" s="78">
        <f>KSeed!I62*(1-(MOVE!$Q$6)/RSeed!I62)</f>
        <v>1</v>
      </c>
      <c r="J62" s="78">
        <f>KSeed!J62*(1-(MOVE!$Q$6)/RSeed!J62)</f>
        <v>1</v>
      </c>
      <c r="K62" s="78">
        <f>KSeed!K62*(1-(MOVE!$Q$6)/RSeed!K62)</f>
        <v>1</v>
      </c>
      <c r="L62" s="78">
        <f>KSeed!L62*(1-(MOVE!$Q$6)/RSeed!L62)</f>
        <v>1</v>
      </c>
      <c r="M62" s="78">
        <f>KSeed!M62*(1-(MOVE!$Q$6)/RSeed!M62)</f>
        <v>1</v>
      </c>
      <c r="N62" s="78">
        <f>KSeed!N62*(1-(MOVE!$Q$6)/RSeed!N62)</f>
        <v>1</v>
      </c>
      <c r="O62" s="78">
        <f>KSeed!O62*(1-(MOVE!$Q$6)/RSeed!O62)</f>
        <v>1</v>
      </c>
      <c r="P62" s="78">
        <f>KSeed!P62*(1-(MOVE!$Q$6)/RSeed!P62)</f>
        <v>1</v>
      </c>
      <c r="Q62" s="78">
        <f>KSeed!Q62*(1-(MOVE!$Q$6)/RSeed!Q62)</f>
        <v>1</v>
      </c>
      <c r="R62" s="78">
        <f>KSeed!R62*(1-(MOVE!$Q$6)/RSeed!R62)</f>
        <v>1</v>
      </c>
      <c r="S62" s="78">
        <f>KSeed!S62*(1-(MOVE!$Q$6)/RSeed!S62)</f>
        <v>1</v>
      </c>
      <c r="T62" s="78">
        <f>KSeed!T62*(1-(MOVE!$Q$6)/RSeed!T62)</f>
        <v>1</v>
      </c>
      <c r="U62" s="78">
        <f>KSeed!U62*(1-(MOVE!$Q$6)/RSeed!U62)</f>
        <v>1</v>
      </c>
      <c r="V62" s="78">
        <f>KSeed!V62*(1-(MOVE!$Q$6)/RSeed!V62)</f>
        <v>1</v>
      </c>
      <c r="W62" s="78">
        <f>KSeed!W62*(1-(MOVE!$Q$6)/RSeed!W62)</f>
        <v>1</v>
      </c>
      <c r="X62" s="78">
        <f>KSeed!X62*(1-(MOVE!$Q$6)/RSeed!X62)</f>
        <v>1</v>
      </c>
      <c r="Y62" s="78">
        <f>KSeed!Y62*(1-(MOVE!$Q$6)/RSeed!Y62)</f>
        <v>1</v>
      </c>
      <c r="Z62" s="78">
        <f>KSeed!Z62*(1-(MOVE!$Q$6)/RSeed!Z62)</f>
        <v>1</v>
      </c>
      <c r="AA62" s="78">
        <f>KSeed!AA62*(1-(MOVE!$Q$6)/RSeed!AA62)</f>
        <v>1</v>
      </c>
      <c r="AB62" s="78">
        <f>KSeed!AB62*(1-(MOVE!$Q$6)/RSeed!AB62)</f>
        <v>1</v>
      </c>
      <c r="AC62" s="78">
        <f>KSeed!AC62*(1-(MOVE!$Q$6)/RSeed!AC62)</f>
        <v>1</v>
      </c>
      <c r="AD62" s="78">
        <f>KSeed!AD62*(1-(MOVE!$Q$6)/RSeed!AD62)</f>
        <v>1</v>
      </c>
      <c r="AE62" s="78">
        <f>KSeed!AE62*(1-(MOVE!$Q$6)/RSeed!AE62)</f>
        <v>1</v>
      </c>
      <c r="AF62" s="78">
        <f>KSeed!AF62*(1-(MOVE!$Q$6)/RSeed!AF62)</f>
        <v>1</v>
      </c>
      <c r="AG62" s="78">
        <f>KSeed!AG62*(1-(MOVE!$Q$6)/RSeed!AG62)</f>
        <v>1</v>
      </c>
      <c r="AH62" s="78">
        <f>KSeed!AH62*(1-(MOVE!$Q$6)/RSeed!AH62)</f>
        <v>1</v>
      </c>
      <c r="AI62" s="78">
        <f>KSeed!AI62*(1-(MOVE!$Q$6)/RSeed!AI62)</f>
        <v>1</v>
      </c>
      <c r="AJ62" s="78">
        <f>KSeed!AJ62*(1-(MOVE!$Q$6)/RSeed!AJ62)</f>
        <v>1</v>
      </c>
      <c r="AK62" s="78">
        <f>KSeed!AK62*(1-(MOVE!$Q$6)/RSeed!AK62)</f>
        <v>1</v>
      </c>
      <c r="AL62" s="78">
        <f>KSeed!AL62*(1-(MOVE!$Q$6)/RSeed!AL62)</f>
        <v>1</v>
      </c>
      <c r="AM62" s="78">
        <f>KSeed!AM62*(1-(MOVE!$Q$6)/RSeed!AM62)</f>
        <v>1</v>
      </c>
      <c r="AN62" s="78">
        <f>KSeed!AN62*(1-(MOVE!$Q$6)/RSeed!AN62)</f>
        <v>1</v>
      </c>
      <c r="AO62" s="78">
        <f>KSeed!AO62*(1-(MOVE!$Q$6)/RSeed!AO62)</f>
        <v>1</v>
      </c>
      <c r="AP62" s="78">
        <f>KSeed!AP62*(1-(MOVE!$Q$6)/RSeed!AP62)</f>
        <v>1</v>
      </c>
      <c r="AQ62" s="79">
        <f>KSeed!AQ62*(1-(MOVE!$Q$6)/RSeed!AQ62)</f>
        <v>1</v>
      </c>
      <c r="AR62" s="92">
        <f>KSeed!AR62*(1-(MOVE!$X$6)/RSeed!AR62)</f>
        <v>8.3383858338430592</v>
      </c>
      <c r="AS62" s="86">
        <f>KSeed!AS62*(1-(MOVE!$X$6)/RSeed!AS62)</f>
        <v>8.3383858338430592</v>
      </c>
      <c r="AT62" s="86">
        <f>KSeed!AT62*(1-(MOVE!$X$6)/RSeed!AT62)</f>
        <v>8.3383858338430592</v>
      </c>
      <c r="AU62" s="86">
        <f>KSeed!AU62*(1-(MOVE!$X$6)/RSeed!AU62)</f>
        <v>8.3383858338430592</v>
      </c>
      <c r="AV62" s="86">
        <f>KSeed!AV62*(1-(MOVE!$X$6)/RSeed!AV62)</f>
        <v>8.3383858338430592</v>
      </c>
      <c r="AW62" s="86">
        <f>KSeed!AW62*(1-(MOVE!$X$6)/RSeed!AW62)</f>
        <v>8.3383858338430592</v>
      </c>
      <c r="AX62" s="86">
        <f>KSeed!AX62*(1-(MOVE!$X$6)/RSeed!AX62)</f>
        <v>8.3383858338430592</v>
      </c>
      <c r="AY62" s="87">
        <f>KSeed!AY62*(1-(MOVE!$X$6)/RSeed!AY62)</f>
        <v>8.3383858338430592</v>
      </c>
      <c r="AZ62" s="72">
        <f>KSeed!AZ62*(1-(MOVE!$X$6)/RSeed!AZ62)</f>
        <v>8.3383858338430592</v>
      </c>
      <c r="BA62" s="35">
        <v>44</v>
      </c>
    </row>
    <row r="63" spans="2:53" x14ac:dyDescent="0.2">
      <c r="B63" s="34">
        <v>45</v>
      </c>
      <c r="C63" s="72">
        <f>KSeed!C63*(1-(MOVE!$Q$6)/RSeed!C63)</f>
        <v>1</v>
      </c>
      <c r="D63" s="77">
        <f>KSeed!D63*(1-(MOVE!$Q$6)/RSeed!D63)</f>
        <v>1</v>
      </c>
      <c r="E63" s="78">
        <f>KSeed!E63*(1-(MOVE!$Q$6)/RSeed!E63)</f>
        <v>1</v>
      </c>
      <c r="F63" s="78">
        <f>KSeed!F63*(1-(MOVE!$Q$6)/RSeed!F63)</f>
        <v>1</v>
      </c>
      <c r="G63" s="78">
        <f>KSeed!G63*(1-(MOVE!$Q$6)/RSeed!G63)</f>
        <v>1</v>
      </c>
      <c r="H63" s="78">
        <f>KSeed!H63*(1-(MOVE!$Q$6)/RSeed!H63)</f>
        <v>1</v>
      </c>
      <c r="I63" s="78">
        <f>KSeed!I63*(1-(MOVE!$Q$6)/RSeed!I63)</f>
        <v>1</v>
      </c>
      <c r="J63" s="78">
        <f>KSeed!J63*(1-(MOVE!$Q$6)/RSeed!J63)</f>
        <v>1</v>
      </c>
      <c r="K63" s="78">
        <f>KSeed!K63*(1-(MOVE!$Q$6)/RSeed!K63)</f>
        <v>1</v>
      </c>
      <c r="L63" s="78">
        <f>KSeed!L63*(1-(MOVE!$Q$6)/RSeed!L63)</f>
        <v>1</v>
      </c>
      <c r="M63" s="78">
        <f>KSeed!M63*(1-(MOVE!$Q$6)/RSeed!M63)</f>
        <v>1</v>
      </c>
      <c r="N63" s="78">
        <f>KSeed!N63*(1-(MOVE!$Q$6)/RSeed!N63)</f>
        <v>1</v>
      </c>
      <c r="O63" s="78">
        <f>KSeed!O63*(1-(MOVE!$Q$6)/RSeed!O63)</f>
        <v>1</v>
      </c>
      <c r="P63" s="78">
        <f>KSeed!P63*(1-(MOVE!$Q$6)/RSeed!P63)</f>
        <v>1</v>
      </c>
      <c r="Q63" s="78">
        <f>KSeed!Q63*(1-(MOVE!$Q$6)/RSeed!Q63)</f>
        <v>1</v>
      </c>
      <c r="R63" s="78">
        <f>KSeed!R63*(1-(MOVE!$Q$6)/RSeed!R63)</f>
        <v>1</v>
      </c>
      <c r="S63" s="78">
        <f>KSeed!S63*(1-(MOVE!$Q$6)/RSeed!S63)</f>
        <v>1</v>
      </c>
      <c r="T63" s="78">
        <f>KSeed!T63*(1-(MOVE!$Q$6)/RSeed!T63)</f>
        <v>1</v>
      </c>
      <c r="U63" s="78">
        <f>KSeed!U63*(1-(MOVE!$Q$6)/RSeed!U63)</f>
        <v>1</v>
      </c>
      <c r="V63" s="78">
        <f>KSeed!V63*(1-(MOVE!$Q$6)/RSeed!V63)</f>
        <v>1</v>
      </c>
      <c r="W63" s="78">
        <f>KSeed!W63*(1-(MOVE!$Q$6)/RSeed!W63)</f>
        <v>1</v>
      </c>
      <c r="X63" s="78">
        <f>KSeed!X63*(1-(MOVE!$Q$6)/RSeed!X63)</f>
        <v>1</v>
      </c>
      <c r="Y63" s="78">
        <f>KSeed!Y63*(1-(MOVE!$Q$6)/RSeed!Y63)</f>
        <v>1</v>
      </c>
      <c r="Z63" s="78">
        <f>KSeed!Z63*(1-(MOVE!$Q$6)/RSeed!Z63)</f>
        <v>1</v>
      </c>
      <c r="AA63" s="78">
        <f>KSeed!AA63*(1-(MOVE!$Q$6)/RSeed!AA63)</f>
        <v>1</v>
      </c>
      <c r="AB63" s="78">
        <f>KSeed!AB63*(1-(MOVE!$Q$6)/RSeed!AB63)</f>
        <v>1</v>
      </c>
      <c r="AC63" s="78">
        <f>KSeed!AC63*(1-(MOVE!$Q$6)/RSeed!AC63)</f>
        <v>1</v>
      </c>
      <c r="AD63" s="78">
        <f>KSeed!AD63*(1-(MOVE!$Q$6)/RSeed!AD63)</f>
        <v>1</v>
      </c>
      <c r="AE63" s="78">
        <f>KSeed!AE63*(1-(MOVE!$Q$6)/RSeed!AE63)</f>
        <v>1</v>
      </c>
      <c r="AF63" s="78">
        <f>KSeed!AF63*(1-(MOVE!$Q$6)/RSeed!AF63)</f>
        <v>1</v>
      </c>
      <c r="AG63" s="78">
        <f>KSeed!AG63*(1-(MOVE!$Q$6)/RSeed!AG63)</f>
        <v>1</v>
      </c>
      <c r="AH63" s="78">
        <f>KSeed!AH63*(1-(MOVE!$Q$6)/RSeed!AH63)</f>
        <v>1</v>
      </c>
      <c r="AI63" s="78">
        <f>KSeed!AI63*(1-(MOVE!$Q$6)/RSeed!AI63)</f>
        <v>1</v>
      </c>
      <c r="AJ63" s="78">
        <f>KSeed!AJ63*(1-(MOVE!$Q$6)/RSeed!AJ63)</f>
        <v>1</v>
      </c>
      <c r="AK63" s="78">
        <f>KSeed!AK63*(1-(MOVE!$Q$6)/RSeed!AK63)</f>
        <v>1</v>
      </c>
      <c r="AL63" s="78">
        <f>KSeed!AL63*(1-(MOVE!$Q$6)/RSeed!AL63)</f>
        <v>1</v>
      </c>
      <c r="AM63" s="78">
        <f>KSeed!AM63*(1-(MOVE!$Q$6)/RSeed!AM63)</f>
        <v>1</v>
      </c>
      <c r="AN63" s="78">
        <f>KSeed!AN63*(1-(MOVE!$Q$6)/RSeed!AN63)</f>
        <v>1</v>
      </c>
      <c r="AO63" s="78">
        <f>KSeed!AO63*(1-(MOVE!$Q$6)/RSeed!AO63)</f>
        <v>1</v>
      </c>
      <c r="AP63" s="78">
        <f>KSeed!AP63*(1-(MOVE!$Q$6)/RSeed!AP63)</f>
        <v>1</v>
      </c>
      <c r="AQ63" s="79">
        <f>KSeed!AQ63*(1-(MOVE!$Q$6)/RSeed!AQ63)</f>
        <v>1</v>
      </c>
      <c r="AR63" s="92">
        <f>KSeed!AR63*(1-(MOVE!$X$6)/RSeed!AR63)</f>
        <v>8.3383858338430592</v>
      </c>
      <c r="AS63" s="86">
        <f>KSeed!AS63*(1-(MOVE!$X$6)/RSeed!AS63)</f>
        <v>8.3383858338430592</v>
      </c>
      <c r="AT63" s="86">
        <f>KSeed!AT63*(1-(MOVE!$X$6)/RSeed!AT63)</f>
        <v>8.3383858338430592</v>
      </c>
      <c r="AU63" s="86">
        <f>KSeed!AU63*(1-(MOVE!$X$6)/RSeed!AU63)</f>
        <v>8.3383858338430592</v>
      </c>
      <c r="AV63" s="86">
        <f>KSeed!AV63*(1-(MOVE!$X$6)/RSeed!AV63)</f>
        <v>8.3383858338430592</v>
      </c>
      <c r="AW63" s="86">
        <f>KSeed!AW63*(1-(MOVE!$X$6)/RSeed!AW63)</f>
        <v>8.3383858338430592</v>
      </c>
      <c r="AX63" s="86">
        <f>KSeed!AX63*(1-(MOVE!$X$6)/RSeed!AX63)</f>
        <v>8.3383858338430592</v>
      </c>
      <c r="AY63" s="87">
        <f>KSeed!AY63*(1-(MOVE!$X$6)/RSeed!AY63)</f>
        <v>8.3383858338430592</v>
      </c>
      <c r="AZ63" s="72">
        <f>KSeed!AZ63*(1-(MOVE!$X$6)/RSeed!AZ63)</f>
        <v>8.3383858338430592</v>
      </c>
      <c r="BA63" s="35">
        <v>45</v>
      </c>
    </row>
    <row r="64" spans="2:53" x14ac:dyDescent="0.2">
      <c r="B64" s="34">
        <v>46</v>
      </c>
      <c r="C64" s="72">
        <f>KSeed!C64*(1-(MOVE!$Q$6)/RSeed!C64)</f>
        <v>1</v>
      </c>
      <c r="D64" s="77">
        <f>KSeed!D64*(1-(MOVE!$Q$6)/RSeed!D64)</f>
        <v>1</v>
      </c>
      <c r="E64" s="78">
        <f>KSeed!E64*(1-(MOVE!$Q$6)/RSeed!E64)</f>
        <v>1</v>
      </c>
      <c r="F64" s="78">
        <f>KSeed!F64*(1-(MOVE!$Q$6)/RSeed!F64)</f>
        <v>1</v>
      </c>
      <c r="G64" s="78">
        <f>KSeed!G64*(1-(MOVE!$Q$6)/RSeed!G64)</f>
        <v>1</v>
      </c>
      <c r="H64" s="78">
        <f>KSeed!H64*(1-(MOVE!$Q$6)/RSeed!H64)</f>
        <v>1</v>
      </c>
      <c r="I64" s="78">
        <f>KSeed!I64*(1-(MOVE!$Q$6)/RSeed!I64)</f>
        <v>1</v>
      </c>
      <c r="J64" s="78">
        <f>KSeed!J64*(1-(MOVE!$Q$6)/RSeed!J64)</f>
        <v>1</v>
      </c>
      <c r="K64" s="78">
        <f>KSeed!K64*(1-(MOVE!$Q$6)/RSeed!K64)</f>
        <v>1</v>
      </c>
      <c r="L64" s="78">
        <f>KSeed!L64*(1-(MOVE!$Q$6)/RSeed!L64)</f>
        <v>1</v>
      </c>
      <c r="M64" s="78">
        <f>KSeed!M64*(1-(MOVE!$Q$6)/RSeed!M64)</f>
        <v>1</v>
      </c>
      <c r="N64" s="78">
        <f>KSeed!N64*(1-(MOVE!$Q$6)/RSeed!N64)</f>
        <v>1</v>
      </c>
      <c r="O64" s="78">
        <f>KSeed!O64*(1-(MOVE!$Q$6)/RSeed!O64)</f>
        <v>1</v>
      </c>
      <c r="P64" s="78">
        <f>KSeed!P64*(1-(MOVE!$Q$6)/RSeed!P64)</f>
        <v>1</v>
      </c>
      <c r="Q64" s="78">
        <f>KSeed!Q64*(1-(MOVE!$Q$6)/RSeed!Q64)</f>
        <v>1</v>
      </c>
      <c r="R64" s="78">
        <f>KSeed!R64*(1-(MOVE!$Q$6)/RSeed!R64)</f>
        <v>1</v>
      </c>
      <c r="S64" s="78">
        <f>KSeed!S64*(1-(MOVE!$Q$6)/RSeed!S64)</f>
        <v>1</v>
      </c>
      <c r="T64" s="78">
        <f>KSeed!T64*(1-(MOVE!$Q$6)/RSeed!T64)</f>
        <v>1</v>
      </c>
      <c r="U64" s="78">
        <f>KSeed!U64*(1-(MOVE!$Q$6)/RSeed!U64)</f>
        <v>1</v>
      </c>
      <c r="V64" s="78">
        <f>KSeed!V64*(1-(MOVE!$Q$6)/RSeed!V64)</f>
        <v>1</v>
      </c>
      <c r="W64" s="78">
        <f>KSeed!W64*(1-(MOVE!$Q$6)/RSeed!W64)</f>
        <v>1</v>
      </c>
      <c r="X64" s="78">
        <f>KSeed!X64*(1-(MOVE!$Q$6)/RSeed!X64)</f>
        <v>1</v>
      </c>
      <c r="Y64" s="78">
        <f>KSeed!Y64*(1-(MOVE!$Q$6)/RSeed!Y64)</f>
        <v>1</v>
      </c>
      <c r="Z64" s="78">
        <f>KSeed!Z64*(1-(MOVE!$Q$6)/RSeed!Z64)</f>
        <v>1</v>
      </c>
      <c r="AA64" s="78">
        <f>KSeed!AA64*(1-(MOVE!$Q$6)/RSeed!AA64)</f>
        <v>1</v>
      </c>
      <c r="AB64" s="78">
        <f>KSeed!AB64*(1-(MOVE!$Q$6)/RSeed!AB64)</f>
        <v>1</v>
      </c>
      <c r="AC64" s="78">
        <f>KSeed!AC64*(1-(MOVE!$Q$6)/RSeed!AC64)</f>
        <v>1</v>
      </c>
      <c r="AD64" s="78">
        <f>KSeed!AD64*(1-(MOVE!$Q$6)/RSeed!AD64)</f>
        <v>1</v>
      </c>
      <c r="AE64" s="78">
        <f>KSeed!AE64*(1-(MOVE!$Q$6)/RSeed!AE64)</f>
        <v>1</v>
      </c>
      <c r="AF64" s="78">
        <f>KSeed!AF64*(1-(MOVE!$Q$6)/RSeed!AF64)</f>
        <v>1</v>
      </c>
      <c r="AG64" s="78">
        <f>KSeed!AG64*(1-(MOVE!$Q$6)/RSeed!AG64)</f>
        <v>1</v>
      </c>
      <c r="AH64" s="78">
        <f>KSeed!AH64*(1-(MOVE!$Q$6)/RSeed!AH64)</f>
        <v>1</v>
      </c>
      <c r="AI64" s="78">
        <f>KSeed!AI64*(1-(MOVE!$Q$6)/RSeed!AI64)</f>
        <v>1</v>
      </c>
      <c r="AJ64" s="78">
        <f>KSeed!AJ64*(1-(MOVE!$Q$6)/RSeed!AJ64)</f>
        <v>1</v>
      </c>
      <c r="AK64" s="78">
        <f>KSeed!AK64*(1-(MOVE!$Q$6)/RSeed!AK64)</f>
        <v>1</v>
      </c>
      <c r="AL64" s="78">
        <f>KSeed!AL64*(1-(MOVE!$Q$6)/RSeed!AL64)</f>
        <v>1</v>
      </c>
      <c r="AM64" s="78">
        <f>KSeed!AM64*(1-(MOVE!$Q$6)/RSeed!AM64)</f>
        <v>1</v>
      </c>
      <c r="AN64" s="78">
        <f>KSeed!AN64*(1-(MOVE!$Q$6)/RSeed!AN64)</f>
        <v>1</v>
      </c>
      <c r="AO64" s="78">
        <f>KSeed!AO64*(1-(MOVE!$Q$6)/RSeed!AO64)</f>
        <v>1</v>
      </c>
      <c r="AP64" s="78">
        <f>KSeed!AP64*(1-(MOVE!$Q$6)/RSeed!AP64)</f>
        <v>1</v>
      </c>
      <c r="AQ64" s="79">
        <f>KSeed!AQ64*(1-(MOVE!$Q$6)/RSeed!AQ64)</f>
        <v>1</v>
      </c>
      <c r="AR64" s="92">
        <f>KSeed!AR64*(1-(MOVE!$X$6)/RSeed!AR64)</f>
        <v>8.3383858338430592</v>
      </c>
      <c r="AS64" s="86">
        <f>KSeed!AS64*(1-(MOVE!$X$6)/RSeed!AS64)</f>
        <v>8.3383858338430592</v>
      </c>
      <c r="AT64" s="86">
        <f>KSeed!AT64*(1-(MOVE!$X$6)/RSeed!AT64)</f>
        <v>8.3383858338430592</v>
      </c>
      <c r="AU64" s="86">
        <f>KSeed!AU64*(1-(MOVE!$X$6)/RSeed!AU64)</f>
        <v>8.3383858338430592</v>
      </c>
      <c r="AV64" s="86">
        <f>KSeed!AV64*(1-(MOVE!$X$6)/RSeed!AV64)</f>
        <v>8.3383858338430592</v>
      </c>
      <c r="AW64" s="86">
        <f>KSeed!AW64*(1-(MOVE!$X$6)/RSeed!AW64)</f>
        <v>8.3383858338430592</v>
      </c>
      <c r="AX64" s="86">
        <f>KSeed!AX64*(1-(MOVE!$X$6)/RSeed!AX64)</f>
        <v>8.3383858338430592</v>
      </c>
      <c r="AY64" s="87">
        <f>KSeed!AY64*(1-(MOVE!$X$6)/RSeed!AY64)</f>
        <v>8.3383858338430592</v>
      </c>
      <c r="AZ64" s="72">
        <f>KSeed!AZ64*(1-(MOVE!$X$6)/RSeed!AZ64)</f>
        <v>8.3383858338430592</v>
      </c>
      <c r="BA64" s="35">
        <v>46</v>
      </c>
    </row>
    <row r="65" spans="2:53" x14ac:dyDescent="0.2">
      <c r="B65" s="34">
        <v>47</v>
      </c>
      <c r="C65" s="72">
        <f>KSeed!C65*(1-(MOVE!$Q$6)/RSeed!C65)</f>
        <v>1</v>
      </c>
      <c r="D65" s="77">
        <f>KSeed!D65*(1-(MOVE!$Q$6)/RSeed!D65)</f>
        <v>1</v>
      </c>
      <c r="E65" s="78">
        <f>KSeed!E65*(1-(MOVE!$Q$6)/RSeed!E65)</f>
        <v>1</v>
      </c>
      <c r="F65" s="78">
        <f>KSeed!F65*(1-(MOVE!$Q$6)/RSeed!F65)</f>
        <v>1</v>
      </c>
      <c r="G65" s="78">
        <f>KSeed!G65*(1-(MOVE!$Q$6)/RSeed!G65)</f>
        <v>1</v>
      </c>
      <c r="H65" s="78">
        <f>KSeed!H65*(1-(MOVE!$Q$6)/RSeed!H65)</f>
        <v>1</v>
      </c>
      <c r="I65" s="78">
        <f>KSeed!I65*(1-(MOVE!$Q$6)/RSeed!I65)</f>
        <v>1</v>
      </c>
      <c r="J65" s="78">
        <f>KSeed!J65*(1-(MOVE!$Q$6)/RSeed!J65)</f>
        <v>1</v>
      </c>
      <c r="K65" s="78">
        <f>KSeed!K65*(1-(MOVE!$Q$6)/RSeed!K65)</f>
        <v>1</v>
      </c>
      <c r="L65" s="78">
        <f>KSeed!L65*(1-(MOVE!$Q$6)/RSeed!L65)</f>
        <v>1</v>
      </c>
      <c r="M65" s="78">
        <f>KSeed!M65*(1-(MOVE!$Q$6)/RSeed!M65)</f>
        <v>1</v>
      </c>
      <c r="N65" s="78">
        <f>KSeed!N65*(1-(MOVE!$Q$6)/RSeed!N65)</f>
        <v>1</v>
      </c>
      <c r="O65" s="78">
        <f>KSeed!O65*(1-(MOVE!$Q$6)/RSeed!O65)</f>
        <v>1</v>
      </c>
      <c r="P65" s="78">
        <f>KSeed!P65*(1-(MOVE!$Q$6)/RSeed!P65)</f>
        <v>1</v>
      </c>
      <c r="Q65" s="78">
        <f>KSeed!Q65*(1-(MOVE!$Q$6)/RSeed!Q65)</f>
        <v>1</v>
      </c>
      <c r="R65" s="78">
        <f>KSeed!R65*(1-(MOVE!$Q$6)/RSeed!R65)</f>
        <v>1</v>
      </c>
      <c r="S65" s="78">
        <f>KSeed!S65*(1-(MOVE!$Q$6)/RSeed!S65)</f>
        <v>1</v>
      </c>
      <c r="T65" s="78">
        <f>KSeed!T65*(1-(MOVE!$Q$6)/RSeed!T65)</f>
        <v>1</v>
      </c>
      <c r="U65" s="78">
        <f>KSeed!U65*(1-(MOVE!$Q$6)/RSeed!U65)</f>
        <v>1</v>
      </c>
      <c r="V65" s="78">
        <f>KSeed!V65*(1-(MOVE!$Q$6)/RSeed!V65)</f>
        <v>1</v>
      </c>
      <c r="W65" s="78">
        <f>KSeed!W65*(1-(MOVE!$Q$6)/RSeed!W65)</f>
        <v>1</v>
      </c>
      <c r="X65" s="78">
        <f>KSeed!X65*(1-(MOVE!$Q$6)/RSeed!X65)</f>
        <v>1</v>
      </c>
      <c r="Y65" s="78">
        <f>KSeed!Y65*(1-(MOVE!$Q$6)/RSeed!Y65)</f>
        <v>1</v>
      </c>
      <c r="Z65" s="78">
        <f>KSeed!Z65*(1-(MOVE!$Q$6)/RSeed!Z65)</f>
        <v>1</v>
      </c>
      <c r="AA65" s="78">
        <f>KSeed!AA65*(1-(MOVE!$Q$6)/RSeed!AA65)</f>
        <v>1</v>
      </c>
      <c r="AB65" s="78">
        <f>KSeed!AB65*(1-(MOVE!$Q$6)/RSeed!AB65)</f>
        <v>1</v>
      </c>
      <c r="AC65" s="78">
        <f>KSeed!AC65*(1-(MOVE!$Q$6)/RSeed!AC65)</f>
        <v>1</v>
      </c>
      <c r="AD65" s="78">
        <f>KSeed!AD65*(1-(MOVE!$Q$6)/RSeed!AD65)</f>
        <v>1</v>
      </c>
      <c r="AE65" s="78">
        <f>KSeed!AE65*(1-(MOVE!$Q$6)/RSeed!AE65)</f>
        <v>1</v>
      </c>
      <c r="AF65" s="78">
        <f>KSeed!AF65*(1-(MOVE!$Q$6)/RSeed!AF65)</f>
        <v>1</v>
      </c>
      <c r="AG65" s="78">
        <f>KSeed!AG65*(1-(MOVE!$Q$6)/RSeed!AG65)</f>
        <v>1</v>
      </c>
      <c r="AH65" s="78">
        <f>KSeed!AH65*(1-(MOVE!$Q$6)/RSeed!AH65)</f>
        <v>1</v>
      </c>
      <c r="AI65" s="78">
        <f>KSeed!AI65*(1-(MOVE!$Q$6)/RSeed!AI65)</f>
        <v>1</v>
      </c>
      <c r="AJ65" s="78">
        <f>KSeed!AJ65*(1-(MOVE!$Q$6)/RSeed!AJ65)</f>
        <v>1</v>
      </c>
      <c r="AK65" s="78">
        <f>KSeed!AK65*(1-(MOVE!$Q$6)/RSeed!AK65)</f>
        <v>1</v>
      </c>
      <c r="AL65" s="78">
        <f>KSeed!AL65*(1-(MOVE!$Q$6)/RSeed!AL65)</f>
        <v>1</v>
      </c>
      <c r="AM65" s="78">
        <f>KSeed!AM65*(1-(MOVE!$Q$6)/RSeed!AM65)</f>
        <v>1</v>
      </c>
      <c r="AN65" s="78">
        <f>KSeed!AN65*(1-(MOVE!$Q$6)/RSeed!AN65)</f>
        <v>1</v>
      </c>
      <c r="AO65" s="78">
        <f>KSeed!AO65*(1-(MOVE!$Q$6)/RSeed!AO65)</f>
        <v>1</v>
      </c>
      <c r="AP65" s="78">
        <f>KSeed!AP65*(1-(MOVE!$Q$6)/RSeed!AP65)</f>
        <v>1</v>
      </c>
      <c r="AQ65" s="79">
        <f>KSeed!AQ65*(1-(MOVE!$Q$6)/RSeed!AQ65)</f>
        <v>1</v>
      </c>
      <c r="AR65" s="92">
        <f>KSeed!AR65*(1-(MOVE!$X$6)/RSeed!AR65)</f>
        <v>8.3383858338430592</v>
      </c>
      <c r="AS65" s="86">
        <f>KSeed!AS65*(1-(MOVE!$X$6)/RSeed!AS65)</f>
        <v>8.3383858338430592</v>
      </c>
      <c r="AT65" s="86">
        <f>KSeed!AT65*(1-(MOVE!$X$6)/RSeed!AT65)</f>
        <v>8.3383858338430592</v>
      </c>
      <c r="AU65" s="86">
        <f>KSeed!AU65*(1-(MOVE!$X$6)/RSeed!AU65)</f>
        <v>8.3383858338430592</v>
      </c>
      <c r="AV65" s="86">
        <f>KSeed!AV65*(1-(MOVE!$X$6)/RSeed!AV65)</f>
        <v>8.3383858338430592</v>
      </c>
      <c r="AW65" s="86">
        <f>KSeed!AW65*(1-(MOVE!$X$6)/RSeed!AW65)</f>
        <v>8.3383858338430592</v>
      </c>
      <c r="AX65" s="86">
        <f>KSeed!AX65*(1-(MOVE!$X$6)/RSeed!AX65)</f>
        <v>8.3383858338430592</v>
      </c>
      <c r="AY65" s="87">
        <f>KSeed!AY65*(1-(MOVE!$X$6)/RSeed!AY65)</f>
        <v>8.3383858338430592</v>
      </c>
      <c r="AZ65" s="72">
        <f>KSeed!AZ65*(1-(MOVE!$X$6)/RSeed!AZ65)</f>
        <v>8.3383858338430592</v>
      </c>
      <c r="BA65" s="35">
        <v>47</v>
      </c>
    </row>
    <row r="66" spans="2:53" x14ac:dyDescent="0.2">
      <c r="B66" s="34">
        <v>48</v>
      </c>
      <c r="C66" s="72">
        <f>KSeed!C66*(1-(MOVE!$Q$6)/RSeed!C66)</f>
        <v>1</v>
      </c>
      <c r="D66" s="77">
        <f>KSeed!D66*(1-(MOVE!$Q$6)/RSeed!D66)</f>
        <v>1</v>
      </c>
      <c r="E66" s="78">
        <f>KSeed!E66*(1-(MOVE!$Q$6)/RSeed!E66)</f>
        <v>1</v>
      </c>
      <c r="F66" s="78">
        <f>KSeed!F66*(1-(MOVE!$Q$6)/RSeed!F66)</f>
        <v>1</v>
      </c>
      <c r="G66" s="78">
        <f>KSeed!G66*(1-(MOVE!$Q$6)/RSeed!G66)</f>
        <v>1</v>
      </c>
      <c r="H66" s="78">
        <f>KSeed!H66*(1-(MOVE!$Q$6)/RSeed!H66)</f>
        <v>1</v>
      </c>
      <c r="I66" s="78">
        <f>KSeed!I66*(1-(MOVE!$Q$6)/RSeed!I66)</f>
        <v>1</v>
      </c>
      <c r="J66" s="78">
        <f>KSeed!J66*(1-(MOVE!$Q$6)/RSeed!J66)</f>
        <v>1</v>
      </c>
      <c r="K66" s="78">
        <f>KSeed!K66*(1-(MOVE!$Q$6)/RSeed!K66)</f>
        <v>1</v>
      </c>
      <c r="L66" s="78">
        <f>KSeed!L66*(1-(MOVE!$Q$6)/RSeed!L66)</f>
        <v>1</v>
      </c>
      <c r="M66" s="78">
        <f>KSeed!M66*(1-(MOVE!$Q$6)/RSeed!M66)</f>
        <v>1</v>
      </c>
      <c r="N66" s="78">
        <f>KSeed!N66*(1-(MOVE!$Q$6)/RSeed!N66)</f>
        <v>1</v>
      </c>
      <c r="O66" s="78">
        <f>KSeed!O66*(1-(MOVE!$Q$6)/RSeed!O66)</f>
        <v>1</v>
      </c>
      <c r="P66" s="78">
        <f>KSeed!P66*(1-(MOVE!$Q$6)/RSeed!P66)</f>
        <v>1</v>
      </c>
      <c r="Q66" s="78">
        <f>KSeed!Q66*(1-(MOVE!$Q$6)/RSeed!Q66)</f>
        <v>1</v>
      </c>
      <c r="R66" s="78">
        <f>KSeed!R66*(1-(MOVE!$Q$6)/RSeed!R66)</f>
        <v>1</v>
      </c>
      <c r="S66" s="78">
        <f>KSeed!S66*(1-(MOVE!$Q$6)/RSeed!S66)</f>
        <v>1</v>
      </c>
      <c r="T66" s="78">
        <f>KSeed!T66*(1-(MOVE!$Q$6)/RSeed!T66)</f>
        <v>1</v>
      </c>
      <c r="U66" s="78">
        <f>KSeed!U66*(1-(MOVE!$Q$6)/RSeed!U66)</f>
        <v>1</v>
      </c>
      <c r="V66" s="78">
        <f>KSeed!V66*(1-(MOVE!$Q$6)/RSeed!V66)</f>
        <v>1</v>
      </c>
      <c r="W66" s="78">
        <f>KSeed!W66*(1-(MOVE!$Q$6)/RSeed!W66)</f>
        <v>1</v>
      </c>
      <c r="X66" s="78">
        <f>KSeed!X66*(1-(MOVE!$Q$6)/RSeed!X66)</f>
        <v>1</v>
      </c>
      <c r="Y66" s="78">
        <f>KSeed!Y66*(1-(MOVE!$Q$6)/RSeed!Y66)</f>
        <v>1</v>
      </c>
      <c r="Z66" s="78">
        <f>KSeed!Z66*(1-(MOVE!$Q$6)/RSeed!Z66)</f>
        <v>1</v>
      </c>
      <c r="AA66" s="78">
        <f>KSeed!AA66*(1-(MOVE!$Q$6)/RSeed!AA66)</f>
        <v>1</v>
      </c>
      <c r="AB66" s="78">
        <f>KSeed!AB66*(1-(MOVE!$Q$6)/RSeed!AB66)</f>
        <v>1</v>
      </c>
      <c r="AC66" s="78">
        <f>KSeed!AC66*(1-(MOVE!$Q$6)/RSeed!AC66)</f>
        <v>1</v>
      </c>
      <c r="AD66" s="78">
        <f>KSeed!AD66*(1-(MOVE!$Q$6)/RSeed!AD66)</f>
        <v>1</v>
      </c>
      <c r="AE66" s="78">
        <f>KSeed!AE66*(1-(MOVE!$Q$6)/RSeed!AE66)</f>
        <v>1</v>
      </c>
      <c r="AF66" s="78">
        <f>KSeed!AF66*(1-(MOVE!$Q$6)/RSeed!AF66)</f>
        <v>1</v>
      </c>
      <c r="AG66" s="78">
        <f>KSeed!AG66*(1-(MOVE!$Q$6)/RSeed!AG66)</f>
        <v>1</v>
      </c>
      <c r="AH66" s="78">
        <f>KSeed!AH66*(1-(MOVE!$Q$6)/RSeed!AH66)</f>
        <v>1</v>
      </c>
      <c r="AI66" s="78">
        <f>KSeed!AI66*(1-(MOVE!$Q$6)/RSeed!AI66)</f>
        <v>1</v>
      </c>
      <c r="AJ66" s="78">
        <f>KSeed!AJ66*(1-(MOVE!$Q$6)/RSeed!AJ66)</f>
        <v>1</v>
      </c>
      <c r="AK66" s="78">
        <f>KSeed!AK66*(1-(MOVE!$Q$6)/RSeed!AK66)</f>
        <v>1</v>
      </c>
      <c r="AL66" s="78">
        <f>KSeed!AL66*(1-(MOVE!$Q$6)/RSeed!AL66)</f>
        <v>1</v>
      </c>
      <c r="AM66" s="78">
        <f>KSeed!AM66*(1-(MOVE!$Q$6)/RSeed!AM66)</f>
        <v>1</v>
      </c>
      <c r="AN66" s="78">
        <f>KSeed!AN66*(1-(MOVE!$Q$6)/RSeed!AN66)</f>
        <v>1</v>
      </c>
      <c r="AO66" s="78">
        <f>KSeed!AO66*(1-(MOVE!$Q$6)/RSeed!AO66)</f>
        <v>1</v>
      </c>
      <c r="AP66" s="78">
        <f>KSeed!AP66*(1-(MOVE!$Q$6)/RSeed!AP66)</f>
        <v>1</v>
      </c>
      <c r="AQ66" s="79">
        <f>KSeed!AQ66*(1-(MOVE!$Q$6)/RSeed!AQ66)</f>
        <v>1</v>
      </c>
      <c r="AR66" s="92">
        <f>KSeed!AR66*(1-(MOVE!$X$6)/RSeed!AR66)</f>
        <v>8.3383858338430592</v>
      </c>
      <c r="AS66" s="86">
        <f>KSeed!AS66*(1-(MOVE!$X$6)/RSeed!AS66)</f>
        <v>8.3383858338430592</v>
      </c>
      <c r="AT66" s="86">
        <f>KSeed!AT66*(1-(MOVE!$X$6)/RSeed!AT66)</f>
        <v>8.3383858338430592</v>
      </c>
      <c r="AU66" s="86">
        <f>KSeed!AU66*(1-(MOVE!$X$6)/RSeed!AU66)</f>
        <v>8.3383858338430592</v>
      </c>
      <c r="AV66" s="86">
        <f>KSeed!AV66*(1-(MOVE!$X$6)/RSeed!AV66)</f>
        <v>8.3383858338430592</v>
      </c>
      <c r="AW66" s="86">
        <f>KSeed!AW66*(1-(MOVE!$X$6)/RSeed!AW66)</f>
        <v>8.3383858338430592</v>
      </c>
      <c r="AX66" s="86">
        <f>KSeed!AX66*(1-(MOVE!$X$6)/RSeed!AX66)</f>
        <v>8.3383858338430592</v>
      </c>
      <c r="AY66" s="87">
        <f>KSeed!AY66*(1-(MOVE!$X$6)/RSeed!AY66)</f>
        <v>8.3383858338430592</v>
      </c>
      <c r="AZ66" s="72">
        <f>KSeed!AZ66*(1-(MOVE!$X$6)/RSeed!AZ66)</f>
        <v>8.3383858338430592</v>
      </c>
      <c r="BA66" s="35">
        <v>48</v>
      </c>
    </row>
    <row r="67" spans="2:53" x14ac:dyDescent="0.2">
      <c r="B67" s="34">
        <v>49</v>
      </c>
      <c r="C67" s="72">
        <f>KSeed!C67*(1-(MOVE!$Q$6)/RSeed!C67)</f>
        <v>1</v>
      </c>
      <c r="D67" s="80">
        <f>KSeed!D67*(1-(MOVE!$Q$6)/RSeed!D67)</f>
        <v>1</v>
      </c>
      <c r="E67" s="81">
        <f>KSeed!E67*(1-(MOVE!$Q$6)/RSeed!E67)</f>
        <v>1</v>
      </c>
      <c r="F67" s="81">
        <f>KSeed!F67*(1-(MOVE!$Q$6)/RSeed!F67)</f>
        <v>1</v>
      </c>
      <c r="G67" s="81">
        <f>KSeed!G67*(1-(MOVE!$Q$6)/RSeed!G67)</f>
        <v>1</v>
      </c>
      <c r="H67" s="81">
        <f>KSeed!H67*(1-(MOVE!$Q$6)/RSeed!H67)</f>
        <v>1</v>
      </c>
      <c r="I67" s="81">
        <f>KSeed!I67*(1-(MOVE!$Q$6)/RSeed!I67)</f>
        <v>1</v>
      </c>
      <c r="J67" s="81">
        <f>KSeed!J67*(1-(MOVE!$Q$6)/RSeed!J67)</f>
        <v>1</v>
      </c>
      <c r="K67" s="81">
        <f>KSeed!K67*(1-(MOVE!$Q$6)/RSeed!K67)</f>
        <v>1</v>
      </c>
      <c r="L67" s="81">
        <f>KSeed!L67*(1-(MOVE!$Q$6)/RSeed!L67)</f>
        <v>1</v>
      </c>
      <c r="M67" s="81">
        <f>KSeed!M67*(1-(MOVE!$Q$6)/RSeed!M67)</f>
        <v>1</v>
      </c>
      <c r="N67" s="81">
        <f>KSeed!N67*(1-(MOVE!$Q$6)/RSeed!N67)</f>
        <v>1</v>
      </c>
      <c r="O67" s="81">
        <f>KSeed!O67*(1-(MOVE!$Q$6)/RSeed!O67)</f>
        <v>1</v>
      </c>
      <c r="P67" s="81">
        <f>KSeed!P67*(1-(MOVE!$Q$6)/RSeed!P67)</f>
        <v>1</v>
      </c>
      <c r="Q67" s="81">
        <f>KSeed!Q67*(1-(MOVE!$Q$6)/RSeed!Q67)</f>
        <v>1</v>
      </c>
      <c r="R67" s="81">
        <f>KSeed!R67*(1-(MOVE!$Q$6)/RSeed!R67)</f>
        <v>1</v>
      </c>
      <c r="S67" s="81">
        <f>KSeed!S67*(1-(MOVE!$Q$6)/RSeed!S67)</f>
        <v>1</v>
      </c>
      <c r="T67" s="81">
        <f>KSeed!T67*(1-(MOVE!$Q$6)/RSeed!T67)</f>
        <v>1</v>
      </c>
      <c r="U67" s="81">
        <f>KSeed!U67*(1-(MOVE!$Q$6)/RSeed!U67)</f>
        <v>1</v>
      </c>
      <c r="V67" s="81">
        <f>KSeed!V67*(1-(MOVE!$Q$6)/RSeed!V67)</f>
        <v>1</v>
      </c>
      <c r="W67" s="81">
        <f>KSeed!W67*(1-(MOVE!$Q$6)/RSeed!W67)</f>
        <v>1</v>
      </c>
      <c r="X67" s="81">
        <f>KSeed!X67*(1-(MOVE!$Q$6)/RSeed!X67)</f>
        <v>1</v>
      </c>
      <c r="Y67" s="81">
        <f>KSeed!Y67*(1-(MOVE!$Q$6)/RSeed!Y67)</f>
        <v>1</v>
      </c>
      <c r="Z67" s="81">
        <f>KSeed!Z67*(1-(MOVE!$Q$6)/RSeed!Z67)</f>
        <v>1</v>
      </c>
      <c r="AA67" s="81">
        <f>KSeed!AA67*(1-(MOVE!$Q$6)/RSeed!AA67)</f>
        <v>1</v>
      </c>
      <c r="AB67" s="81">
        <f>KSeed!AB67*(1-(MOVE!$Q$6)/RSeed!AB67)</f>
        <v>1</v>
      </c>
      <c r="AC67" s="81">
        <f>KSeed!AC67*(1-(MOVE!$Q$6)/RSeed!AC67)</f>
        <v>1</v>
      </c>
      <c r="AD67" s="81">
        <f>KSeed!AD67*(1-(MOVE!$Q$6)/RSeed!AD67)</f>
        <v>1</v>
      </c>
      <c r="AE67" s="81">
        <f>KSeed!AE67*(1-(MOVE!$Q$6)/RSeed!AE67)</f>
        <v>1</v>
      </c>
      <c r="AF67" s="81">
        <f>KSeed!AF67*(1-(MOVE!$Q$6)/RSeed!AF67)</f>
        <v>1</v>
      </c>
      <c r="AG67" s="81">
        <f>KSeed!AG67*(1-(MOVE!$Q$6)/RSeed!AG67)</f>
        <v>1</v>
      </c>
      <c r="AH67" s="81">
        <f>KSeed!AH67*(1-(MOVE!$Q$6)/RSeed!AH67)</f>
        <v>1</v>
      </c>
      <c r="AI67" s="81">
        <f>KSeed!AI67*(1-(MOVE!$Q$6)/RSeed!AI67)</f>
        <v>1</v>
      </c>
      <c r="AJ67" s="81">
        <f>KSeed!AJ67*(1-(MOVE!$Q$6)/RSeed!AJ67)</f>
        <v>1</v>
      </c>
      <c r="AK67" s="81">
        <f>KSeed!AK67*(1-(MOVE!$Q$6)/RSeed!AK67)</f>
        <v>1</v>
      </c>
      <c r="AL67" s="81">
        <f>KSeed!AL67*(1-(MOVE!$Q$6)/RSeed!AL67)</f>
        <v>1</v>
      </c>
      <c r="AM67" s="81">
        <f>KSeed!AM67*(1-(MOVE!$Q$6)/RSeed!AM67)</f>
        <v>1</v>
      </c>
      <c r="AN67" s="81">
        <f>KSeed!AN67*(1-(MOVE!$Q$6)/RSeed!AN67)</f>
        <v>1</v>
      </c>
      <c r="AO67" s="81">
        <f>KSeed!AO67*(1-(MOVE!$Q$6)/RSeed!AO67)</f>
        <v>1</v>
      </c>
      <c r="AP67" s="81">
        <f>KSeed!AP67*(1-(MOVE!$Q$6)/RSeed!AP67)</f>
        <v>1</v>
      </c>
      <c r="AQ67" s="82">
        <f>KSeed!AQ67*(1-(MOVE!$Q$6)/RSeed!AQ67)</f>
        <v>1</v>
      </c>
      <c r="AR67" s="93">
        <f>KSeed!AR67*(1-(MOVE!$X$6)/RSeed!AR67)</f>
        <v>8.3383858338430592</v>
      </c>
      <c r="AS67" s="88">
        <f>KSeed!AS67*(1-(MOVE!$X$6)/RSeed!AS67)</f>
        <v>8.3383858338430592</v>
      </c>
      <c r="AT67" s="88">
        <f>KSeed!AT67*(1-(MOVE!$X$6)/RSeed!AT67)</f>
        <v>8.3383858338430592</v>
      </c>
      <c r="AU67" s="88">
        <f>KSeed!AU67*(1-(MOVE!$X$6)/RSeed!AU67)</f>
        <v>8.3383858338430592</v>
      </c>
      <c r="AV67" s="88">
        <f>KSeed!AV67*(1-(MOVE!$X$6)/RSeed!AV67)</f>
        <v>8.3383858338430592</v>
      </c>
      <c r="AW67" s="88">
        <f>KSeed!AW67*(1-(MOVE!$X$6)/RSeed!AW67)</f>
        <v>8.3383858338430592</v>
      </c>
      <c r="AX67" s="88">
        <f>KSeed!AX67*(1-(MOVE!$X$6)/RSeed!AX67)</f>
        <v>8.3383858338430592</v>
      </c>
      <c r="AY67" s="89">
        <f>KSeed!AY67*(1-(MOVE!$X$6)/RSeed!AY67)</f>
        <v>8.3383858338430592</v>
      </c>
      <c r="AZ67" s="72">
        <f>KSeed!AZ67*(1-(MOVE!$X$6)/RSeed!AZ67)</f>
        <v>8.3383858338430592</v>
      </c>
      <c r="BA67" s="35">
        <v>49</v>
      </c>
    </row>
    <row r="68" spans="2:53" x14ac:dyDescent="0.2">
      <c r="B68" s="34">
        <v>50</v>
      </c>
      <c r="C68" s="73">
        <f>KSeed!C68*(1-(MOVE!$Q$6)/RSeed!C68)</f>
        <v>1</v>
      </c>
      <c r="D68" s="70">
        <f>KSeed!D68*(1-(MOVE!$Q$6)/RSeed!D68)</f>
        <v>1</v>
      </c>
      <c r="E68" s="70">
        <f>KSeed!E68*(1-(MOVE!$Q$6)/RSeed!E68)</f>
        <v>1</v>
      </c>
      <c r="F68" s="70">
        <f>KSeed!F68*(1-(MOVE!$Q$6)/RSeed!F68)</f>
        <v>1</v>
      </c>
      <c r="G68" s="70">
        <f>KSeed!G68*(1-(MOVE!$Q$6)/RSeed!G68)</f>
        <v>1</v>
      </c>
      <c r="H68" s="70">
        <f>KSeed!H68*(1-(MOVE!$Q$6)/RSeed!H68)</f>
        <v>1</v>
      </c>
      <c r="I68" s="70">
        <f>KSeed!I68*(1-(MOVE!$Q$6)/RSeed!I68)</f>
        <v>1</v>
      </c>
      <c r="J68" s="70">
        <f>KSeed!J68*(1-(MOVE!$Q$6)/RSeed!J68)</f>
        <v>1</v>
      </c>
      <c r="K68" s="70">
        <f>KSeed!K68*(1-(MOVE!$Q$6)/RSeed!K68)</f>
        <v>1</v>
      </c>
      <c r="L68" s="70">
        <f>KSeed!L68*(1-(MOVE!$Q$6)/RSeed!L68)</f>
        <v>1</v>
      </c>
      <c r="M68" s="70">
        <f>KSeed!M68*(1-(MOVE!$Q$6)/RSeed!M68)</f>
        <v>1</v>
      </c>
      <c r="N68" s="70">
        <f>KSeed!N68*(1-(MOVE!$Q$6)/RSeed!N68)</f>
        <v>1</v>
      </c>
      <c r="O68" s="70">
        <f>KSeed!O68*(1-(MOVE!$Q$6)/RSeed!O68)</f>
        <v>1</v>
      </c>
      <c r="P68" s="70">
        <f>KSeed!P68*(1-(MOVE!$Q$6)/RSeed!P68)</f>
        <v>1</v>
      </c>
      <c r="Q68" s="70">
        <f>KSeed!Q68*(1-(MOVE!$Q$6)/RSeed!Q68)</f>
        <v>1</v>
      </c>
      <c r="R68" s="70">
        <f>KSeed!R68*(1-(MOVE!$Q$6)/RSeed!R68)</f>
        <v>1</v>
      </c>
      <c r="S68" s="70">
        <f>KSeed!S68*(1-(MOVE!$Q$6)/RSeed!S68)</f>
        <v>1</v>
      </c>
      <c r="T68" s="70">
        <f>KSeed!T68*(1-(MOVE!$Q$6)/RSeed!T68)</f>
        <v>1</v>
      </c>
      <c r="U68" s="70">
        <f>KSeed!U68*(1-(MOVE!$Q$6)/RSeed!U68)</f>
        <v>1</v>
      </c>
      <c r="V68" s="70">
        <f>KSeed!V68*(1-(MOVE!$Q$6)/RSeed!V68)</f>
        <v>1</v>
      </c>
      <c r="W68" s="70">
        <f>KSeed!W68*(1-(MOVE!$Q$6)/RSeed!W68)</f>
        <v>1</v>
      </c>
      <c r="X68" s="70">
        <f>KSeed!X68*(1-(MOVE!$Q$6)/RSeed!X68)</f>
        <v>1</v>
      </c>
      <c r="Y68" s="70">
        <f>KSeed!Y68*(1-(MOVE!$Q$6)/RSeed!Y68)</f>
        <v>1</v>
      </c>
      <c r="Z68" s="70">
        <f>KSeed!Z68*(1-(MOVE!$Q$6)/RSeed!Z68)</f>
        <v>1</v>
      </c>
      <c r="AA68" s="70">
        <f>KSeed!AA68*(1-(MOVE!$Q$6)/RSeed!AA68)</f>
        <v>1</v>
      </c>
      <c r="AB68" s="70">
        <f>KSeed!AB68*(1-(MOVE!$Q$6)/RSeed!AB68)</f>
        <v>1</v>
      </c>
      <c r="AC68" s="70">
        <f>KSeed!AC68*(1-(MOVE!$Q$6)/RSeed!AC68)</f>
        <v>1</v>
      </c>
      <c r="AD68" s="70">
        <f>KSeed!AD68*(1-(MOVE!$Q$6)/RSeed!AD68)</f>
        <v>1</v>
      </c>
      <c r="AE68" s="70">
        <f>KSeed!AE68*(1-(MOVE!$Q$6)/RSeed!AE68)</f>
        <v>1</v>
      </c>
      <c r="AF68" s="70">
        <f>KSeed!AF68*(1-(MOVE!$Q$6)/RSeed!AF68)</f>
        <v>1</v>
      </c>
      <c r="AG68" s="70">
        <f>KSeed!AG68*(1-(MOVE!$Q$6)/RSeed!AG68)</f>
        <v>1</v>
      </c>
      <c r="AH68" s="70">
        <f>KSeed!AH68*(1-(MOVE!$Q$6)/RSeed!AH68)</f>
        <v>1</v>
      </c>
      <c r="AI68" s="70">
        <f>KSeed!AI68*(1-(MOVE!$Q$6)/RSeed!AI68)</f>
        <v>1</v>
      </c>
      <c r="AJ68" s="70">
        <f>KSeed!AJ68*(1-(MOVE!$Q$6)/RSeed!AJ68)</f>
        <v>1</v>
      </c>
      <c r="AK68" s="70">
        <f>KSeed!AK68*(1-(MOVE!$Q$6)/RSeed!AK68)</f>
        <v>1</v>
      </c>
      <c r="AL68" s="70">
        <f>KSeed!AL68*(1-(MOVE!$Q$6)/RSeed!AL68)</f>
        <v>1</v>
      </c>
      <c r="AM68" s="70">
        <f>KSeed!AM68*(1-(MOVE!$Q$6)/RSeed!AM68)</f>
        <v>1</v>
      </c>
      <c r="AN68" s="70">
        <f>KSeed!AN68*(1-(MOVE!$Q$6)/RSeed!AN68)</f>
        <v>1</v>
      </c>
      <c r="AO68" s="70">
        <f>KSeed!AO68*(1-(MOVE!$Q$6)/RSeed!AO68)</f>
        <v>1</v>
      </c>
      <c r="AP68" s="70">
        <f>KSeed!AP68*(1-(MOVE!$Q$6)/RSeed!AP68)</f>
        <v>1</v>
      </c>
      <c r="AQ68" s="70">
        <f>KSeed!AQ68*(1-(MOVE!$Q$6)/RSeed!AQ68)</f>
        <v>1</v>
      </c>
      <c r="AR68" s="70">
        <f>KSeed!AR68*(1-(MOVE!$X$6)/RSeed!AR68)</f>
        <v>8.3383858338430592</v>
      </c>
      <c r="AS68" s="70">
        <f>KSeed!AS68*(1-(MOVE!$X$6)/RSeed!AS68)</f>
        <v>8.3383858338430592</v>
      </c>
      <c r="AT68" s="70">
        <f>KSeed!AT68*(1-(MOVE!$X$6)/RSeed!AT68)</f>
        <v>8.3383858338430592</v>
      </c>
      <c r="AU68" s="70">
        <f>KSeed!AU68*(1-(MOVE!$X$6)/RSeed!AU68)</f>
        <v>8.3383858338430592</v>
      </c>
      <c r="AV68" s="70">
        <f>KSeed!AV68*(1-(MOVE!$X$6)/RSeed!AV68)</f>
        <v>8.3383858338430592</v>
      </c>
      <c r="AW68" s="70">
        <f>KSeed!AW68*(1-(MOVE!$X$6)/RSeed!AW68)</f>
        <v>8.3383858338430592</v>
      </c>
      <c r="AX68" s="70">
        <f>KSeed!AX68*(1-(MOVE!$X$6)/RSeed!AX68)</f>
        <v>8.3383858338430592</v>
      </c>
      <c r="AY68" s="70">
        <f>KSeed!AY68*(1-(MOVE!$X$6)/RSeed!AY68)</f>
        <v>8.3383858338430592</v>
      </c>
      <c r="AZ68" s="90">
        <f>KSeed!AZ68*(1-(MOVE!$X$6)/RSeed!AZ68)</f>
        <v>8.3383858338430592</v>
      </c>
      <c r="BA68" s="35">
        <v>50</v>
      </c>
    </row>
    <row r="69" spans="2:53" x14ac:dyDescent="0.2">
      <c r="B69" s="36"/>
      <c r="C69" s="37">
        <v>1</v>
      </c>
      <c r="D69" s="37">
        <v>2</v>
      </c>
      <c r="E69" s="37">
        <v>3</v>
      </c>
      <c r="F69" s="37">
        <v>4</v>
      </c>
      <c r="G69" s="37">
        <v>5</v>
      </c>
      <c r="H69" s="37">
        <v>6</v>
      </c>
      <c r="I69" s="37">
        <v>7</v>
      </c>
      <c r="J69" s="37">
        <v>8</v>
      </c>
      <c r="K69" s="37">
        <v>9</v>
      </c>
      <c r="L69" s="37">
        <v>10</v>
      </c>
      <c r="M69" s="37">
        <v>11</v>
      </c>
      <c r="N69" s="37">
        <v>12</v>
      </c>
      <c r="O69" s="37">
        <v>13</v>
      </c>
      <c r="P69" s="37">
        <v>14</v>
      </c>
      <c r="Q69" s="37">
        <v>15</v>
      </c>
      <c r="R69" s="37">
        <v>16</v>
      </c>
      <c r="S69" s="37">
        <v>17</v>
      </c>
      <c r="T69" s="37">
        <v>18</v>
      </c>
      <c r="U69" s="37">
        <v>19</v>
      </c>
      <c r="V69" s="37">
        <v>20</v>
      </c>
      <c r="W69" s="37">
        <v>21</v>
      </c>
      <c r="X69" s="37">
        <v>22</v>
      </c>
      <c r="Y69" s="37">
        <v>23</v>
      </c>
      <c r="Z69" s="37">
        <v>24</v>
      </c>
      <c r="AA69" s="37">
        <v>25</v>
      </c>
      <c r="AB69" s="37">
        <v>26</v>
      </c>
      <c r="AC69" s="37">
        <v>27</v>
      </c>
      <c r="AD69" s="37">
        <v>28</v>
      </c>
      <c r="AE69" s="37">
        <v>29</v>
      </c>
      <c r="AF69" s="37">
        <v>30</v>
      </c>
      <c r="AG69" s="37">
        <v>31</v>
      </c>
      <c r="AH69" s="37">
        <v>32</v>
      </c>
      <c r="AI69" s="37">
        <v>33</v>
      </c>
      <c r="AJ69" s="37">
        <v>34</v>
      </c>
      <c r="AK69" s="37">
        <v>35</v>
      </c>
      <c r="AL69" s="37">
        <v>36</v>
      </c>
      <c r="AM69" s="37">
        <v>37</v>
      </c>
      <c r="AN69" s="37">
        <v>38</v>
      </c>
      <c r="AO69" s="37">
        <v>39</v>
      </c>
      <c r="AP69" s="37">
        <v>40</v>
      </c>
      <c r="AQ69" s="37">
        <v>41</v>
      </c>
      <c r="AR69" s="37">
        <v>42</v>
      </c>
      <c r="AS69" s="37">
        <v>43</v>
      </c>
      <c r="AT69" s="37">
        <v>44</v>
      </c>
      <c r="AU69" s="37">
        <v>45</v>
      </c>
      <c r="AV69" s="37">
        <v>46</v>
      </c>
      <c r="AW69" s="37">
        <v>47</v>
      </c>
      <c r="AX69" s="37">
        <v>48</v>
      </c>
      <c r="AY69" s="37">
        <v>49</v>
      </c>
      <c r="AZ69" s="37">
        <v>50</v>
      </c>
      <c r="BA69" s="38"/>
    </row>
  </sheetData>
  <pageMargins left="0.75" right="0.75" top="1" bottom="1" header="0.5" footer="0.5"/>
  <pageSetup paperSize="9" orientation="portrait" horizontalDpi="120" verticalDpi="144" copies="0" r:id="rId1"/>
  <headerFooter alignWithMargins="0">
    <oddHeader>&amp;A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FI107"/>
  <sheetViews>
    <sheetView zoomScale="75" workbookViewId="0">
      <selection activeCell="C3" sqref="C3"/>
    </sheetView>
  </sheetViews>
  <sheetFormatPr defaultColWidth="9.109375" defaultRowHeight="10.199999999999999" x14ac:dyDescent="0.2"/>
  <cols>
    <col min="1" max="1" width="2.6640625" style="3" customWidth="1"/>
    <col min="2" max="53" width="4.6640625" style="3" customWidth="1"/>
    <col min="54" max="57" width="4.6640625" style="149" customWidth="1"/>
    <col min="58" max="58" width="8.6640625" style="149" customWidth="1"/>
    <col min="59" max="59" width="6.6640625" style="3" customWidth="1"/>
    <col min="60" max="62" width="6.6640625" style="151" customWidth="1"/>
    <col min="63" max="63" width="6.6640625" style="3" customWidth="1"/>
    <col min="64" max="65" width="9.109375" style="3"/>
    <col min="66" max="68" width="6.6640625" style="151" customWidth="1"/>
    <col min="69" max="16384" width="9.109375" style="3"/>
  </cols>
  <sheetData>
    <row r="1" spans="2:63" x14ac:dyDescent="0.2">
      <c r="P1" s="69"/>
      <c r="Q1" s="69"/>
      <c r="R1" s="69"/>
      <c r="S1" s="69"/>
      <c r="T1" s="69"/>
      <c r="U1" s="69"/>
      <c r="V1" s="69"/>
    </row>
    <row r="2" spans="2:63" ht="11.4" x14ac:dyDescent="0.2">
      <c r="P2" s="69"/>
      <c r="Q2" s="60" t="s">
        <v>16</v>
      </c>
      <c r="R2" s="61"/>
      <c r="S2" s="61"/>
      <c r="T2" s="61"/>
      <c r="U2" s="62"/>
      <c r="V2" s="69"/>
    </row>
    <row r="3" spans="2:63" ht="11.4" x14ac:dyDescent="0.2">
      <c r="B3" s="3" t="s">
        <v>0</v>
      </c>
      <c r="C3" s="4"/>
      <c r="M3" s="3" t="s">
        <v>1</v>
      </c>
      <c r="O3" s="5">
        <v>60</v>
      </c>
      <c r="P3" s="69"/>
      <c r="Q3" s="54"/>
      <c r="R3" s="55"/>
      <c r="S3" s="55"/>
      <c r="T3" s="55"/>
      <c r="U3" s="56"/>
      <c r="V3" s="69"/>
    </row>
    <row r="4" spans="2:63" ht="11.4" x14ac:dyDescent="0.2">
      <c r="P4" s="69"/>
      <c r="Q4" s="54"/>
      <c r="R4" s="55"/>
      <c r="S4" s="55"/>
      <c r="T4" s="55"/>
      <c r="U4" s="56"/>
      <c r="V4" s="69"/>
    </row>
    <row r="5" spans="2:63" ht="11.4" x14ac:dyDescent="0.2">
      <c r="B5" s="3" t="s">
        <v>2</v>
      </c>
      <c r="C5" s="6">
        <f>IF(ISBLANK(C3),0,C5+1)</f>
        <v>0</v>
      </c>
      <c r="M5" s="3" t="s">
        <v>3</v>
      </c>
      <c r="O5" s="5">
        <v>30</v>
      </c>
      <c r="P5" s="69"/>
      <c r="Q5" s="54"/>
      <c r="R5" s="55"/>
      <c r="S5" s="55"/>
      <c r="T5" s="55"/>
      <c r="U5" s="56"/>
      <c r="V5" s="69"/>
    </row>
    <row r="6" spans="2:63" ht="11.4" x14ac:dyDescent="0.2">
      <c r="P6" s="69"/>
      <c r="Q6" s="54"/>
      <c r="R6" s="55"/>
      <c r="S6" s="55"/>
      <c r="T6" s="55"/>
      <c r="U6" s="56"/>
      <c r="V6" s="69"/>
    </row>
    <row r="7" spans="2:63" ht="11.4" x14ac:dyDescent="0.2">
      <c r="P7" s="69"/>
      <c r="Q7" s="54"/>
      <c r="R7" s="55"/>
      <c r="S7" s="55"/>
      <c r="T7" s="55"/>
      <c r="U7" s="56"/>
      <c r="V7" s="69"/>
    </row>
    <row r="8" spans="2:63" ht="11.4" x14ac:dyDescent="0.2">
      <c r="P8" s="69"/>
      <c r="Q8" s="54"/>
      <c r="R8" s="55"/>
      <c r="S8" s="55"/>
      <c r="T8" s="55"/>
      <c r="U8" s="56"/>
      <c r="V8" s="69"/>
    </row>
    <row r="9" spans="2:63" ht="11.4" x14ac:dyDescent="0.2">
      <c r="P9" s="69"/>
      <c r="Q9" s="54"/>
      <c r="R9" s="55"/>
      <c r="S9" s="55"/>
      <c r="T9" s="55"/>
      <c r="U9" s="56"/>
      <c r="V9" s="69"/>
    </row>
    <row r="10" spans="2:63" ht="11.4" x14ac:dyDescent="0.2">
      <c r="P10" s="69"/>
      <c r="Q10" s="63"/>
      <c r="R10" s="64"/>
      <c r="S10" s="64"/>
      <c r="T10" s="64"/>
      <c r="U10" s="65"/>
      <c r="V10" s="69"/>
    </row>
    <row r="11" spans="2:63" x14ac:dyDescent="0.2">
      <c r="P11" s="69"/>
      <c r="Q11" s="69"/>
      <c r="R11" s="69"/>
      <c r="S11" s="69"/>
      <c r="T11" s="69"/>
      <c r="U11" s="69"/>
      <c r="V11" s="69"/>
    </row>
    <row r="15" spans="2:63" x14ac:dyDescent="0.2">
      <c r="BF15" s="66" t="s">
        <v>47</v>
      </c>
      <c r="BG15" s="192" t="s">
        <v>69</v>
      </c>
    </row>
    <row r="16" spans="2:63" x14ac:dyDescent="0.2">
      <c r="AE16" s="112"/>
      <c r="BF16" s="67" t="s">
        <v>15</v>
      </c>
      <c r="BG16" s="193" t="s">
        <v>98</v>
      </c>
      <c r="BI16" s="255"/>
      <c r="BJ16" s="256"/>
      <c r="BK16" s="253"/>
    </row>
    <row r="17" spans="2:165" x14ac:dyDescent="0.2">
      <c r="AE17" s="7"/>
      <c r="BF17" s="67" t="s">
        <v>45</v>
      </c>
      <c r="BG17" s="193" t="s">
        <v>70</v>
      </c>
      <c r="BI17" s="257"/>
      <c r="BJ17" s="258" t="s">
        <v>18</v>
      </c>
      <c r="BK17" s="239"/>
      <c r="BN17" s="212" t="s">
        <v>72</v>
      </c>
      <c r="BO17" s="213"/>
      <c r="BP17" s="216" t="s">
        <v>20</v>
      </c>
      <c r="BQ17" s="217"/>
    </row>
    <row r="18" spans="2:165" x14ac:dyDescent="0.2">
      <c r="B18" s="31"/>
      <c r="C18" s="32">
        <v>1</v>
      </c>
      <c r="D18" s="32">
        <v>2</v>
      </c>
      <c r="E18" s="32">
        <v>3</v>
      </c>
      <c r="F18" s="32">
        <v>4</v>
      </c>
      <c r="G18" s="32">
        <v>5</v>
      </c>
      <c r="H18" s="32">
        <v>6</v>
      </c>
      <c r="I18" s="32">
        <v>7</v>
      </c>
      <c r="J18" s="32">
        <v>8</v>
      </c>
      <c r="K18" s="32">
        <v>9</v>
      </c>
      <c r="L18" s="32">
        <v>10</v>
      </c>
      <c r="M18" s="32">
        <v>11</v>
      </c>
      <c r="N18" s="32">
        <v>12</v>
      </c>
      <c r="O18" s="32">
        <v>13</v>
      </c>
      <c r="P18" s="32">
        <v>14</v>
      </c>
      <c r="Q18" s="32">
        <v>15</v>
      </c>
      <c r="R18" s="32">
        <v>16</v>
      </c>
      <c r="S18" s="32">
        <v>17</v>
      </c>
      <c r="T18" s="32">
        <v>18</v>
      </c>
      <c r="U18" s="32">
        <v>19</v>
      </c>
      <c r="V18" s="32">
        <v>20</v>
      </c>
      <c r="W18" s="32">
        <v>21</v>
      </c>
      <c r="X18" s="32">
        <v>22</v>
      </c>
      <c r="Y18" s="32">
        <v>23</v>
      </c>
      <c r="Z18" s="32">
        <v>24</v>
      </c>
      <c r="AA18" s="32">
        <v>25</v>
      </c>
      <c r="AB18" s="32">
        <v>26</v>
      </c>
      <c r="AC18" s="32">
        <v>27</v>
      </c>
      <c r="AD18" s="32">
        <v>28</v>
      </c>
      <c r="AE18" s="32">
        <v>29</v>
      </c>
      <c r="AF18" s="32">
        <v>30</v>
      </c>
      <c r="AG18" s="32">
        <v>31</v>
      </c>
      <c r="AH18" s="32">
        <v>32</v>
      </c>
      <c r="AI18" s="32">
        <v>33</v>
      </c>
      <c r="AJ18" s="32">
        <v>34</v>
      </c>
      <c r="AK18" s="32">
        <v>35</v>
      </c>
      <c r="AL18" s="32">
        <v>36</v>
      </c>
      <c r="AM18" s="32">
        <v>37</v>
      </c>
      <c r="AN18" s="32">
        <v>38</v>
      </c>
      <c r="AO18" s="32">
        <v>39</v>
      </c>
      <c r="AP18" s="32">
        <v>40</v>
      </c>
      <c r="AQ18" s="32">
        <v>41</v>
      </c>
      <c r="AR18" s="32">
        <v>42</v>
      </c>
      <c r="AS18" s="32">
        <v>43</v>
      </c>
      <c r="AT18" s="32">
        <v>44</v>
      </c>
      <c r="AU18" s="32">
        <v>45</v>
      </c>
      <c r="AV18" s="32">
        <v>46</v>
      </c>
      <c r="AW18" s="32">
        <v>47</v>
      </c>
      <c r="AX18" s="32">
        <v>48</v>
      </c>
      <c r="AY18" s="32">
        <v>49</v>
      </c>
      <c r="AZ18" s="32">
        <v>50</v>
      </c>
      <c r="BA18" s="33"/>
      <c r="BB18" s="162" t="s">
        <v>64</v>
      </c>
      <c r="BC18" s="163" t="s">
        <v>65</v>
      </c>
      <c r="BD18" s="163" t="s">
        <v>66</v>
      </c>
      <c r="BE18" s="164" t="s">
        <v>67</v>
      </c>
      <c r="BF18" s="68" t="s">
        <v>46</v>
      </c>
      <c r="BG18" s="191" t="s">
        <v>41</v>
      </c>
      <c r="BH18" s="198" t="s">
        <v>6</v>
      </c>
      <c r="BI18" s="156" t="s">
        <v>44</v>
      </c>
      <c r="BJ18" s="156" t="s">
        <v>79</v>
      </c>
      <c r="BK18" s="184" t="s">
        <v>10</v>
      </c>
      <c r="BN18" s="214" t="s">
        <v>6</v>
      </c>
      <c r="BO18" s="215" t="s">
        <v>41</v>
      </c>
      <c r="BP18" s="259" t="s">
        <v>6</v>
      </c>
      <c r="BQ18" s="260" t="s">
        <v>41</v>
      </c>
    </row>
    <row r="19" spans="2:165" x14ac:dyDescent="0.2">
      <c r="B19" s="34">
        <v>1</v>
      </c>
      <c r="C19" s="71">
        <f>IF(ISBLANK($C$3),Start!C19,MOVE!C19)</f>
        <v>99.999999863861817</v>
      </c>
      <c r="D19" s="70">
        <f>IF(ISBLANK($C$3),Start!D19,MOVE!D19)</f>
        <v>99.999999891883434</v>
      </c>
      <c r="E19" s="70">
        <f>IF(ISBLANK($C$3),Start!E19,MOVE!E19)</f>
        <v>99.999999887181545</v>
      </c>
      <c r="F19" s="70">
        <f>IF(ISBLANK($C$3),Start!F19,MOVE!F19)</f>
        <v>99.999999870246853</v>
      </c>
      <c r="G19" s="70">
        <f>IF(ISBLANK($C$3),Start!G19,MOVE!G19)</f>
        <v>99.999999872751246</v>
      </c>
      <c r="H19" s="70">
        <f>IF(ISBLANK($C$3),Start!H19,MOVE!H19)</f>
        <v>99.999999868814967</v>
      </c>
      <c r="I19" s="70">
        <f>IF(ISBLANK($C$3),Start!I19,MOVE!I19)</f>
        <v>99.99999985363246</v>
      </c>
      <c r="J19" s="70">
        <f>IF(ISBLANK($C$3),Start!J19,MOVE!J19)</f>
        <v>99.999999835619363</v>
      </c>
      <c r="K19" s="70">
        <f>IF(ISBLANK($C$3),Start!K19,MOVE!K19)</f>
        <v>99.999999854012273</v>
      </c>
      <c r="L19" s="70">
        <f>IF(ISBLANK($C$3),Start!L19,MOVE!L19)</f>
        <v>99.999999866633246</v>
      </c>
      <c r="M19" s="70">
        <f>IF(ISBLANK($C$3),Start!M19,MOVE!M19)</f>
        <v>99.999999863301809</v>
      </c>
      <c r="N19" s="70">
        <f>IF(ISBLANK($C$3),Start!N19,MOVE!N19)</f>
        <v>99.999999840141243</v>
      </c>
      <c r="O19" s="70">
        <f>IF(ISBLANK($C$3),Start!O19,MOVE!O19)</f>
        <v>99.999999793148746</v>
      </c>
      <c r="P19" s="70">
        <f>IF(ISBLANK($C$3),Start!P19,MOVE!P19)</f>
        <v>99.999999716482947</v>
      </c>
      <c r="Q19" s="70">
        <f>IF(ISBLANK($C$3),Start!Q19,MOVE!Q19)</f>
        <v>99.999999601916628</v>
      </c>
      <c r="R19" s="70">
        <f>IF(ISBLANK($C$3),Start!R19,MOVE!R19)</f>
        <v>99.999999438107821</v>
      </c>
      <c r="S19" s="70">
        <f>IF(ISBLANK($C$3),Start!S19,MOVE!S19)</f>
        <v>99.99999920807825</v>
      </c>
      <c r="T19" s="70">
        <f>IF(ISBLANK($C$3),Start!T19,MOVE!T19)</f>
        <v>99.999998881393708</v>
      </c>
      <c r="U19" s="70">
        <f>IF(ISBLANK($C$3),Start!U19,MOVE!U19)</f>
        <v>99.999998393050205</v>
      </c>
      <c r="V19" s="70">
        <f>IF(ISBLANK($C$3),Start!V19,MOVE!V19)</f>
        <v>99.999997591116554</v>
      </c>
      <c r="W19" s="70">
        <f>IF(ISBLANK($C$3),Start!W19,MOVE!W19)</f>
        <v>99.999996112772564</v>
      </c>
      <c r="X19" s="70">
        <f>IF(ISBLANK($C$3),Start!X19,MOVE!X19)</f>
        <v>99.999993096755858</v>
      </c>
      <c r="Y19" s="70">
        <f>IF(ISBLANK($C$3),Start!Y19,MOVE!Y19)</f>
        <v>99.999986519833598</v>
      </c>
      <c r="Z19" s="70">
        <f>IF(ISBLANK($C$3),Start!Z19,MOVE!Z19)</f>
        <v>99.999971663989058</v>
      </c>
      <c r="AA19" s="70">
        <f>IF(ISBLANK($C$3),Start!AA19,MOVE!AA19)</f>
        <v>99.999937568017216</v>
      </c>
      <c r="AB19" s="70">
        <f>IF(ISBLANK($C$3),Start!AB19,MOVE!AB19)</f>
        <v>99.999858803262597</v>
      </c>
      <c r="AC19" s="70">
        <f>IF(ISBLANK($C$3),Start!AC19,MOVE!AC19)</f>
        <v>99.999676404339681</v>
      </c>
      <c r="AD19" s="70">
        <f>IF(ISBLANK($C$3),Start!AD19,MOVE!AD19)</f>
        <v>99.999253651162419</v>
      </c>
      <c r="AE19" s="70">
        <f>IF(ISBLANK($C$3),Start!AE19,MOVE!AE19)</f>
        <v>99.99827353835451</v>
      </c>
      <c r="AF19" s="70">
        <f>IF(ISBLANK($C$3),Start!AF19,MOVE!AF19)</f>
        <v>99.996001040764511</v>
      </c>
      <c r="AG19" s="70">
        <f>IF(ISBLANK($C$3),Start!AG19,MOVE!AG19)</f>
        <v>99.990731916490233</v>
      </c>
      <c r="AH19" s="70">
        <f>IF(ISBLANK($C$3),Start!AH19,MOVE!AH19)</f>
        <v>99.978514879879313</v>
      </c>
      <c r="AI19" s="70">
        <f>IF(ISBLANK($C$3),Start!AI19,MOVE!AI19)</f>
        <v>99.950190011654811</v>
      </c>
      <c r="AJ19" s="70">
        <f>IF(ISBLANK($C$3),Start!AJ19,MOVE!AJ19)</f>
        <v>99.884528862426194</v>
      </c>
      <c r="AK19" s="70">
        <f>IF(ISBLANK($C$3),Start!AK19,MOVE!AK19)</f>
        <v>99.73236704684571</v>
      </c>
      <c r="AL19" s="70">
        <f>IF(ISBLANK($C$3),Start!AL19,MOVE!AL19)</f>
        <v>99.380020528484877</v>
      </c>
      <c r="AM19" s="70">
        <f>IF(ISBLANK($C$3),Start!AM19,MOVE!AM19)</f>
        <v>98.565575196992555</v>
      </c>
      <c r="AN19" s="70">
        <f>IF(ISBLANK($C$3),Start!AN19,MOVE!AN19)</f>
        <v>96.690746291803691</v>
      </c>
      <c r="AO19" s="70">
        <f>IF(ISBLANK($C$3),Start!AO19,MOVE!AO19)</f>
        <v>92.416114319960798</v>
      </c>
      <c r="AP19" s="70">
        <f>IF(ISBLANK($C$3),Start!AP19,MOVE!AP19)</f>
        <v>82.884936802921573</v>
      </c>
      <c r="AQ19" s="70">
        <f>IF(ISBLANK($C$3),Start!AQ19,MOVE!AQ19)</f>
        <v>62.714406169438021</v>
      </c>
      <c r="AR19" s="70">
        <f>IF(ISBLANK($C$3),Start!AR19,MOVE!AR19)</f>
        <v>25.006299688055524</v>
      </c>
      <c r="AS19" s="70">
        <f>IF(ISBLANK($C$3),Start!AS19,MOVE!AS19)</f>
        <v>15.442096362479329</v>
      </c>
      <c r="AT19" s="70">
        <f>IF(ISBLANK($C$3),Start!AT19,MOVE!AT19)</f>
        <v>12.180698232351595</v>
      </c>
      <c r="AU19" s="70">
        <f>IF(ISBLANK($C$3),Start!AU19,MOVE!AU19)</f>
        <v>10.911488629792991</v>
      </c>
      <c r="AV19" s="70">
        <f>IF(ISBLANK($C$3),Start!AV19,MOVE!AV19)</f>
        <v>10.388227958498007</v>
      </c>
      <c r="AW19" s="70">
        <f>IF(ISBLANK($C$3),Start!AW19,MOVE!AW19)</f>
        <v>10.167512703400357</v>
      </c>
      <c r="AX19" s="70">
        <f>IF(ISBLANK($C$3),Start!AX19,MOVE!AX19)</f>
        <v>10.074769231847062</v>
      </c>
      <c r="AY19" s="70">
        <f>IF(ISBLANK($C$3),Start!AY19,MOVE!AY19)</f>
        <v>10.039323224513442</v>
      </c>
      <c r="AZ19" s="85">
        <f>IF(ISBLANK($C$3),Start!AZ19,MOVE!AZ19)</f>
        <v>10.036404422646818</v>
      </c>
      <c r="BA19" s="165">
        <v>1</v>
      </c>
      <c r="BB19" s="171"/>
      <c r="BC19" s="172">
        <v>0</v>
      </c>
      <c r="BD19" s="115">
        <v>0</v>
      </c>
      <c r="BE19" s="173" t="s">
        <v>52</v>
      </c>
      <c r="BF19" s="199">
        <f t="shared" ref="BF19:BF50" si="0">IF($C$5&lt;$BD19,"Wait",IF($C$5=$BD19,(SUM($P$38:$S$41)+SUM($AB$34:$AE$37))/32,BF19))</f>
        <v>99.964196665293031</v>
      </c>
      <c r="BG19" s="185">
        <f>IF($C$5&lt;$BD19,"Wait",IF($C$5=$BD19,MOVE!$M$10,BG19))</f>
        <v>2195</v>
      </c>
      <c r="BH19" s="182">
        <f>IF($C$5&lt;$BD19,"Wait",IF($C$5=$BD19,MOVE!$J$6,BH19))</f>
        <v>2.4924212492354104E-3</v>
      </c>
      <c r="BI19" s="182">
        <f>IF($C$5&lt;$BD19,"Wait",IF($C$5=$BD19,MOVE!$J$16,BI19))</f>
        <v>1.7295632017420064E-2</v>
      </c>
      <c r="BJ19" s="182">
        <f>IF($C$5&lt;$BD19,"Wait",IF($C$5=$BD19,MOVE!$J$14,BJ19))</f>
        <v>-5.2500000000000003E-3</v>
      </c>
      <c r="BK19" s="261">
        <f>IF($C$5&lt;$BD19,"Wait",IF($C$5=$BD19,MOVE!$J$15,BK19))</f>
        <v>-69142.5</v>
      </c>
      <c r="BL19" s="211" t="s">
        <v>76</v>
      </c>
      <c r="BM19" s="211"/>
      <c r="BN19" s="206">
        <f>IF($C$5&lt;$BD19,"Wait",IF($C$5=$BD19,MOVE!$C$6,BN19))</f>
        <v>2.4924212492354104E-3</v>
      </c>
      <c r="BO19" s="185">
        <f>IF($C$5&lt;$BD19,"Wait",IF($C$5=$BD19,MOVE!$F$12,BO19))</f>
        <v>2195</v>
      </c>
      <c r="BP19" s="158">
        <f>IF($C$5&lt;$BD19,"Wait",IF($C$5=$BD19,MOVE!$X$6,BP19))</f>
        <v>2.4924212492354104E-3</v>
      </c>
      <c r="BQ19" s="261">
        <f>IF($C$5&lt;$BD19,"Wait",IF($C$5=$BD19,MOVE!$AA$12,BQ19))</f>
        <v>2195</v>
      </c>
      <c r="BR19" s="113"/>
      <c r="BS19" s="113"/>
      <c r="BT19" s="113"/>
      <c r="BU19" s="113"/>
      <c r="BV19" s="113"/>
      <c r="BW19" s="113"/>
      <c r="BX19" s="113"/>
      <c r="BY19" s="113"/>
      <c r="BZ19" s="113"/>
      <c r="CA19" s="113"/>
      <c r="CB19" s="113"/>
      <c r="CC19" s="113"/>
      <c r="CD19" s="113"/>
      <c r="CE19" s="113"/>
      <c r="CF19" s="113"/>
      <c r="CG19" s="113"/>
      <c r="CH19" s="113"/>
      <c r="CI19" s="113"/>
      <c r="CJ19" s="113"/>
      <c r="CK19" s="113"/>
      <c r="CL19" s="113"/>
      <c r="CM19" s="113"/>
      <c r="CN19" s="113"/>
      <c r="CO19" s="113"/>
      <c r="CP19" s="113"/>
      <c r="CQ19" s="113"/>
      <c r="CR19" s="113"/>
      <c r="CS19" s="113"/>
      <c r="CT19" s="113"/>
      <c r="CU19" s="113"/>
      <c r="CV19" s="113"/>
      <c r="CW19" s="113"/>
      <c r="CX19" s="113"/>
      <c r="CY19" s="113"/>
      <c r="CZ19" s="113"/>
      <c r="DA19" s="113"/>
      <c r="DB19" s="113"/>
      <c r="DC19" s="113"/>
      <c r="DD19" s="113"/>
      <c r="DE19" s="113"/>
      <c r="DF19" s="113"/>
      <c r="DG19" s="113"/>
      <c r="DH19" s="113"/>
      <c r="DI19" s="113"/>
      <c r="DJ19" s="113"/>
      <c r="DK19" s="113"/>
      <c r="DL19" s="113"/>
      <c r="DM19" s="113"/>
      <c r="DN19" s="113"/>
      <c r="DO19" s="113"/>
      <c r="DP19" s="113"/>
      <c r="DQ19" s="113"/>
      <c r="DR19" s="113"/>
      <c r="DS19" s="113"/>
      <c r="DT19" s="113"/>
      <c r="DU19" s="113"/>
      <c r="DV19" s="113"/>
      <c r="DW19" s="113"/>
      <c r="DX19" s="113"/>
      <c r="DY19" s="113"/>
      <c r="DZ19" s="113"/>
      <c r="EA19" s="113"/>
      <c r="EB19" s="113"/>
      <c r="EC19" s="113"/>
      <c r="ED19" s="113"/>
      <c r="EE19" s="113"/>
      <c r="EF19" s="113"/>
      <c r="EG19" s="113"/>
      <c r="EH19" s="113"/>
      <c r="EI19" s="113"/>
      <c r="EJ19" s="113"/>
      <c r="EK19" s="113"/>
      <c r="EL19" s="113"/>
      <c r="EM19" s="113"/>
      <c r="EN19" s="113"/>
      <c r="EO19" s="113"/>
      <c r="EP19" s="113"/>
      <c r="EQ19" s="113"/>
      <c r="ER19" s="113"/>
      <c r="ES19" s="113"/>
      <c r="ET19" s="113"/>
      <c r="EU19" s="113"/>
      <c r="EV19" s="113"/>
      <c r="EW19" s="113"/>
      <c r="EX19" s="113"/>
      <c r="EY19" s="113"/>
      <c r="EZ19" s="113"/>
      <c r="FA19" s="113"/>
      <c r="FB19" s="113"/>
      <c r="FC19" s="113"/>
      <c r="FD19" s="113"/>
      <c r="FE19" s="113"/>
      <c r="FF19" s="113"/>
      <c r="FG19" s="113"/>
      <c r="FH19" s="113"/>
      <c r="FI19" s="113"/>
    </row>
    <row r="20" spans="2:165" x14ac:dyDescent="0.2">
      <c r="B20" s="34">
        <v>2</v>
      </c>
      <c r="C20" s="72">
        <f>IF(ISBLANK($C$3),Start!C20,MOVE!C20)</f>
        <v>99.999999869791822</v>
      </c>
      <c r="D20" s="31">
        <f>IF(ISBLANK($C$3),Start!D20,MOVE!D20)</f>
        <v>99.999999864389579</v>
      </c>
      <c r="E20" s="76">
        <f>IF(ISBLANK($C$3),Start!E20,MOVE!E20)</f>
        <v>99.999999836626898</v>
      </c>
      <c r="F20" s="76">
        <f>IF(ISBLANK($C$3),Start!F20,MOVE!K20)</f>
        <v>99.999999778686771</v>
      </c>
      <c r="G20" s="76">
        <f>IF(ISBLANK($C$3),Start!G20,MOVE!L20)</f>
        <v>99.999999808435319</v>
      </c>
      <c r="H20" s="76">
        <f>IF(ISBLANK($C$3),Start!H20,MOVE!M20)</f>
        <v>99.999999807123444</v>
      </c>
      <c r="I20" s="76">
        <f>IF(ISBLANK($C$3),Start!I20,MOVE!N20)</f>
        <v>99.999999775152602</v>
      </c>
      <c r="J20" s="76">
        <f>IF(ISBLANK($C$3),Start!J20,MOVE!O20)</f>
        <v>99.999999707979242</v>
      </c>
      <c r="K20" s="76">
        <f>IF(ISBLANK($C$3),Start!K20,MOVE!K20)</f>
        <v>99.999999778686771</v>
      </c>
      <c r="L20" s="76">
        <f>IF(ISBLANK($C$3),Start!L20,MOVE!L20)</f>
        <v>99.999999808435319</v>
      </c>
      <c r="M20" s="76">
        <f>IF(ISBLANK($C$3),Start!M20,MOVE!M20)</f>
        <v>99.999999807123444</v>
      </c>
      <c r="N20" s="76">
        <f>IF(ISBLANK($C$3),Start!N20,MOVE!N20)</f>
        <v>99.999999775152602</v>
      </c>
      <c r="O20" s="76">
        <f>IF(ISBLANK($C$3),Start!O20,MOVE!O20)</f>
        <v>99.999999707979242</v>
      </c>
      <c r="P20" s="76">
        <f>IF(ISBLANK($C$3),Start!P20,MOVE!P20)</f>
        <v>99.999999596950843</v>
      </c>
      <c r="Q20" s="76">
        <f>IF(ISBLANK($C$3),Start!Q20,MOVE!Q20)</f>
        <v>99.999999429645797</v>
      </c>
      <c r="R20" s="76">
        <f>IF(ISBLANK($C$3),Start!R20,MOVE!R20)</f>
        <v>99.999999189978041</v>
      </c>
      <c r="S20" s="76">
        <f>IF(ISBLANK($C$3),Start!S20,MOVE!S20)</f>
        <v>99.999998856923753</v>
      </c>
      <c r="T20" s="76">
        <f>IF(ISBLANK($C$3),Start!T20,MOVE!T20)</f>
        <v>99.999998398393643</v>
      </c>
      <c r="U20" s="76">
        <f>IF(ISBLANK($C$3),Start!U20,MOVE!U20)</f>
        <v>99.999997751855972</v>
      </c>
      <c r="V20" s="76">
        <f>IF(ISBLANK($C$3),Start!V20,MOVE!V20)</f>
        <v>99.999996772936385</v>
      </c>
      <c r="W20" s="76">
        <f>IF(ISBLANK($C$3),Start!W20,MOVE!W20)</f>
        <v>99.999995110737359</v>
      </c>
      <c r="X20" s="76">
        <f>IF(ISBLANK($C$3),Start!X20,MOVE!X20)</f>
        <v>99.999991917659329</v>
      </c>
      <c r="Y20" s="76">
        <f>IF(ISBLANK($C$3),Start!Y20,MOVE!Y20)</f>
        <v>99.999985182363105</v>
      </c>
      <c r="Z20" s="76">
        <f>IF(ISBLANK($C$3),Start!Z20,MOVE!Z20)</f>
        <v>99.999970194318252</v>
      </c>
      <c r="AA20" s="76">
        <f>IF(ISBLANK($C$3),Start!AA20,MOVE!AA20)</f>
        <v>99.99993599464986</v>
      </c>
      <c r="AB20" s="76">
        <f>IF(ISBLANK($C$3),Start!AB20,MOVE!AB20)</f>
        <v>99.999857152783065</v>
      </c>
      <c r="AC20" s="76">
        <f>IF(ISBLANK($C$3),Start!AC20,MOVE!AC20)</f>
        <v>99.999674698813479</v>
      </c>
      <c r="AD20" s="76">
        <f>IF(ISBLANK($C$3),Start!AD20,MOVE!AD20)</f>
        <v>99.999251907086361</v>
      </c>
      <c r="AE20" s="76">
        <f>IF(ISBLANK($C$3),Start!AE20,MOVE!AE20)</f>
        <v>99.99827176661357</v>
      </c>
      <c r="AF20" s="76">
        <f>IF(ISBLANK($C$3),Start!AF20,MOVE!AF20)</f>
        <v>99.995999246978485</v>
      </c>
      <c r="AG20" s="76">
        <f>IF(ISBLANK($C$3),Start!AG20,MOVE!AG20)</f>
        <v>99.990730101254059</v>
      </c>
      <c r="AH20" s="76">
        <f>IF(ISBLANK($C$3),Start!AH20,MOVE!AH20)</f>
        <v>99.97851303857037</v>
      </c>
      <c r="AI20" s="76">
        <f>IF(ISBLANK($C$3),Start!AI20,MOVE!AI20)</f>
        <v>99.950188133643053</v>
      </c>
      <c r="AJ20" s="76">
        <f>IF(ISBLANK($C$3),Start!AJ20,MOVE!AJ20)</f>
        <v>99.88452692969733</v>
      </c>
      <c r="AK20" s="76">
        <f>IF(ISBLANK($C$3),Start!AK20,MOVE!AK20)</f>
        <v>99.732365032342116</v>
      </c>
      <c r="AL20" s="76">
        <f>IF(ISBLANK($C$3),Start!AL20,MOVE!AL20)</f>
        <v>99.380018395130847</v>
      </c>
      <c r="AM20" s="76">
        <f>IF(ISBLANK($C$3),Start!AM20,MOVE!AM20)</f>
        <v>98.565572899992006</v>
      </c>
      <c r="AN20" s="76">
        <f>IF(ISBLANK($C$3),Start!AN20,MOVE!AN20)</f>
        <v>96.69074379085076</v>
      </c>
      <c r="AO20" s="76">
        <f>IF(ISBLANK($C$3),Start!AO20,MOVE!AO20)</f>
        <v>92.416111617697879</v>
      </c>
      <c r="AP20" s="76">
        <f>IF(ISBLANK($C$3),Start!AP20,MOVE!AP20)</f>
        <v>82.884934044842694</v>
      </c>
      <c r="AQ20" s="33">
        <f>IF(ISBLANK($C$3),Start!AQ20,MOVE!AQ20)</f>
        <v>62.714403847708454</v>
      </c>
      <c r="AR20" s="91">
        <f>IF(ISBLANK($C$3),Start!AR20,MOVE!AR20)</f>
        <v>25.006298804937487</v>
      </c>
      <c r="AS20" s="84">
        <f>IF(ISBLANK($C$3),Start!AS20,MOVE!AS20)</f>
        <v>15.442094501104005</v>
      </c>
      <c r="AT20" s="84">
        <f>IF(ISBLANK($C$3),Start!AT20,MOVE!AT20)</f>
        <v>12.180691795435669</v>
      </c>
      <c r="AU20" s="84">
        <f>IF(ISBLANK($C$3),Start!AU20,MOVE!AU20)</f>
        <v>10.911467072744564</v>
      </c>
      <c r="AV20" s="84">
        <f>IF(ISBLANK($C$3),Start!AV20,MOVE!AV20)</f>
        <v>10.388157608084892</v>
      </c>
      <c r="AW20" s="84">
        <f>IF(ISBLANK($C$3),Start!AW20,MOVE!AW20)</f>
        <v>10.167280003514083</v>
      </c>
      <c r="AX20" s="84">
        <f>IF(ISBLANK($C$3),Start!AX20,MOVE!AX20)</f>
        <v>10.073967987882007</v>
      </c>
      <c r="AY20" s="111">
        <f>IF(ISBLANK($C$3),Start!AY20,MOVE!AY20)</f>
        <v>10.036404422934122</v>
      </c>
      <c r="AZ20" s="72">
        <f>IF(ISBLANK($C$3),Start!AZ20,MOVE!AZ20)</f>
        <v>10.025058124759143</v>
      </c>
      <c r="BA20" s="165">
        <v>2</v>
      </c>
      <c r="BB20" s="174">
        <v>1962</v>
      </c>
      <c r="BC20" s="175">
        <v>1</v>
      </c>
      <c r="BD20" s="176">
        <v>30</v>
      </c>
      <c r="BE20" s="177" t="s">
        <v>53</v>
      </c>
      <c r="BF20" s="200" t="str">
        <f t="shared" si="0"/>
        <v>Wait</v>
      </c>
      <c r="BG20" s="167" t="str">
        <f>IF($C$5&lt;$BD20,"Wait",IF($C$5=$BD20,MOVE!$M$10,BG20))</f>
        <v>Wait</v>
      </c>
      <c r="BH20" s="158" t="str">
        <f>IF($C$5&lt;$BD20,"Wait",IF($C$5=$BD20,MOVE!$J$6,BH20))</f>
        <v>Wait</v>
      </c>
      <c r="BI20" s="158" t="str">
        <f>IF($C$5&lt;$BD20,"Wait",IF($C$5=$BD20,MOVE!$J$16,BI20))</f>
        <v>Wait</v>
      </c>
      <c r="BJ20" s="158" t="str">
        <f>IF($C$5&lt;$BD20,"Wait",IF($C$5=$BD20,MOVE!$J$14,BJ20))</f>
        <v>Wait</v>
      </c>
      <c r="BK20" s="262" t="str">
        <f>IF($C$5&lt;$BD20,"Wait",IF($C$5=$BD20,MOVE!$J$15,BK20))</f>
        <v>Wait</v>
      </c>
      <c r="BN20" s="207" t="str">
        <f>IF($C$5&lt;$BD20,"Wait",IF($C$5=$BD20,MOVE!$C$6,BN20))</f>
        <v>Wait</v>
      </c>
      <c r="BO20" s="167" t="str">
        <f>IF($C$5&lt;$BD20,"Wait",IF($C$5=$BD20,MOVE!$F$12,BO20))</f>
        <v>Wait</v>
      </c>
      <c r="BP20" s="158" t="str">
        <f>IF($C$5&lt;$BD20,"Wait",IF($C$5=$BD20,MOVE!$X$6,BP20))</f>
        <v>Wait</v>
      </c>
      <c r="BQ20" s="262" t="str">
        <f>IF($C$5&lt;$BD20,"Wait",IF($C$5=$BD20,MOVE!$AA$12,BQ20))</f>
        <v>Wait</v>
      </c>
    </row>
    <row r="21" spans="2:165" x14ac:dyDescent="0.2">
      <c r="B21" s="34">
        <v>3</v>
      </c>
      <c r="C21" s="72">
        <f>IF(ISBLANK($C$3),Start!C21,MOVE!C21)</f>
        <v>99.999999808654152</v>
      </c>
      <c r="D21" s="74">
        <f>IF(ISBLANK($C$3),Start!D21,MOVE!D21)</f>
        <v>99.999999783841915</v>
      </c>
      <c r="E21" s="75">
        <f>IF(ISBLANK($C$3),Start!E21,MOVE!E21)</f>
        <v>99.999999725576515</v>
      </c>
      <c r="F21" s="75">
        <f>IF(ISBLANK($C$3),Start!F21,MOVE!K21)</f>
        <v>99.999999621768268</v>
      </c>
      <c r="G21" s="75">
        <f>IF(ISBLANK($C$3),Start!G21,MOVE!L21)</f>
        <v>99.999999675087565</v>
      </c>
      <c r="H21" s="75">
        <f>IF(ISBLANK($C$3),Start!H21,MOVE!M21)</f>
        <v>99.999999674661836</v>
      </c>
      <c r="I21" s="75">
        <f>IF(ISBLANK($C$3),Start!I21,MOVE!N21)</f>
        <v>99.999999620844562</v>
      </c>
      <c r="J21" s="75">
        <f>IF(ISBLANK($C$3),Start!J21,MOVE!O21)</f>
        <v>99.999999505200563</v>
      </c>
      <c r="K21" s="75">
        <f>IF(ISBLANK($C$3),Start!K21,MOVE!K21)</f>
        <v>99.999999621768268</v>
      </c>
      <c r="L21" s="75">
        <f>IF(ISBLANK($C$3),Start!L21,MOVE!L21)</f>
        <v>99.999999675087565</v>
      </c>
      <c r="M21" s="75">
        <f>IF(ISBLANK($C$3),Start!M21,MOVE!M21)</f>
        <v>99.999999674661836</v>
      </c>
      <c r="N21" s="75">
        <f>IF(ISBLANK($C$3),Start!N21,MOVE!N21)</f>
        <v>99.999999620844562</v>
      </c>
      <c r="O21" s="75">
        <f>IF(ISBLANK($C$3),Start!O21,MOVE!O21)</f>
        <v>99.999999505200563</v>
      </c>
      <c r="P21" s="75">
        <f>IF(ISBLANK($C$3),Start!P21,MOVE!P21)</f>
        <v>99.999999311082519</v>
      </c>
      <c r="Q21" s="75">
        <f>IF(ISBLANK($C$3),Start!Q21,MOVE!Q21)</f>
        <v>99.99999901462752</v>
      </c>
      <c r="R21" s="75">
        <f>IF(ISBLANK($C$3),Start!R21,MOVE!R21)</f>
        <v>99.999998586513144</v>
      </c>
      <c r="S21" s="75">
        <f>IF(ISBLANK($C$3),Start!S21,MOVE!S21)</f>
        <v>99.999997993815455</v>
      </c>
      <c r="T21" s="75">
        <f>IF(ISBLANK($C$3),Start!T21,MOVE!T21)</f>
        <v>99.999997198558091</v>
      </c>
      <c r="U21" s="75">
        <f>IF(ISBLANK($C$3),Start!U21,MOVE!U21)</f>
        <v>99.99999614354013</v>
      </c>
      <c r="V21" s="75">
        <f>IF(ISBLANK($C$3),Start!V21,MOVE!V21)</f>
        <v>99.999994704243633</v>
      </c>
      <c r="W21" s="75">
        <f>IF(ISBLANK($C$3),Start!W21,MOVE!W21)</f>
        <v>99.99999256255704</v>
      </c>
      <c r="X21" s="75">
        <f>IF(ISBLANK($C$3),Start!X21,MOVE!X21)</f>
        <v>99.999988908942257</v>
      </c>
      <c r="Y21" s="75">
        <f>IF(ISBLANK($C$3),Start!Y21,MOVE!Y21)</f>
        <v>99.999981764785062</v>
      </c>
      <c r="Z21" s="75">
        <f>IF(ISBLANK($C$3),Start!Z21,MOVE!Z21)</f>
        <v>99.999966439258429</v>
      </c>
      <c r="AA21" s="75">
        <f>IF(ISBLANK($C$3),Start!AA21,MOVE!AA21)</f>
        <v>99.999931978506751</v>
      </c>
      <c r="AB21" s="75">
        <f>IF(ISBLANK($C$3),Start!AB21,MOVE!AB21)</f>
        <v>99.999852945479233</v>
      </c>
      <c r="AC21" s="75">
        <f>IF(ISBLANK($C$3),Start!AC21,MOVE!AC21)</f>
        <v>99.999670357308673</v>
      </c>
      <c r="AD21" s="75">
        <f>IF(ISBLANK($C$3),Start!AD21,MOVE!AD21)</f>
        <v>99.999247473247578</v>
      </c>
      <c r="AE21" s="75">
        <f>IF(ISBLANK($C$3),Start!AE21,MOVE!AE21)</f>
        <v>99.998267267709608</v>
      </c>
      <c r="AF21" s="75">
        <f>IF(ISBLANK($C$3),Start!AF21,MOVE!AF21)</f>
        <v>99.995994697050691</v>
      </c>
      <c r="AG21" s="75">
        <f>IF(ISBLANK($C$3),Start!AG21,MOVE!AG21)</f>
        <v>99.990725502065047</v>
      </c>
      <c r="AH21" s="75">
        <f>IF(ISBLANK($C$3),Start!AH21,MOVE!AH21)</f>
        <v>99.97850837933585</v>
      </c>
      <c r="AI21" s="75">
        <f>IF(ISBLANK($C$3),Start!AI21,MOVE!AI21)</f>
        <v>99.950183389168757</v>
      </c>
      <c r="AJ21" s="75">
        <f>IF(ISBLANK($C$3),Start!AJ21,MOVE!AJ21)</f>
        <v>99.884522056967512</v>
      </c>
      <c r="AK21" s="75">
        <f>IF(ISBLANK($C$3),Start!AK21,MOVE!AK21)</f>
        <v>99.732359966327223</v>
      </c>
      <c r="AL21" s="75">
        <f>IF(ISBLANK($C$3),Start!AL21,MOVE!AL21)</f>
        <v>99.380013046251605</v>
      </c>
      <c r="AM21" s="75">
        <f>IF(ISBLANK($C$3),Start!AM21,MOVE!AM21)</f>
        <v>98.56556715982228</v>
      </c>
      <c r="AN21" s="75">
        <f>IF(ISBLANK($C$3),Start!AN21,MOVE!AN21)</f>
        <v>96.690737563008128</v>
      </c>
      <c r="AO21" s="75">
        <f>IF(ISBLANK($C$3),Start!AO21,MOVE!AO21)</f>
        <v>92.416104915675845</v>
      </c>
      <c r="AP21" s="75">
        <f>IF(ISBLANK($C$3),Start!AP21,MOVE!AP21)</f>
        <v>82.884927246941686</v>
      </c>
      <c r="AQ21" s="94">
        <f>IF(ISBLANK($C$3),Start!AQ21,MOVE!AQ21)</f>
        <v>62.714398219051134</v>
      </c>
      <c r="AR21" s="92">
        <f>IF(ISBLANK($C$3),Start!AR21,MOVE!AR21)</f>
        <v>25.006296923917581</v>
      </c>
      <c r="AS21" s="86">
        <f>IF(ISBLANK($C$3),Start!AS21,MOVE!AS21)</f>
        <v>15.442091511287778</v>
      </c>
      <c r="AT21" s="86">
        <f>IF(ISBLANK($C$3),Start!AT21,MOVE!AT21)</f>
        <v>12.180682561827286</v>
      </c>
      <c r="AU21" s="86">
        <f>IF(ISBLANK($C$3),Start!AU21,MOVE!AU21)</f>
        <v>10.911438535037375</v>
      </c>
      <c r="AV21" s="86">
        <f>IF(ISBLANK($C$3),Start!AV21,MOVE!AV21)</f>
        <v>10.388073616070763</v>
      </c>
      <c r="AW21" s="86">
        <f>IF(ISBLANK($C$3),Start!AW21,MOVE!AW21)</f>
        <v>10.167040438243639</v>
      </c>
      <c r="AX21" s="86">
        <f>IF(ISBLANK($C$3),Start!AX21,MOVE!AX21)</f>
        <v>10.073304647297814</v>
      </c>
      <c r="AY21" s="87">
        <f>IF(ISBLANK($C$3),Start!AY21,MOVE!AY21)</f>
        <v>10.034671082246264</v>
      </c>
      <c r="AZ21" s="72">
        <f>IF(ISBLANK($C$3),Start!AZ21,MOVE!AZ21)</f>
        <v>10.021206228646419</v>
      </c>
      <c r="BA21" s="165">
        <v>3</v>
      </c>
      <c r="BB21" s="178"/>
      <c r="BC21" s="175">
        <v>2</v>
      </c>
      <c r="BD21" s="176">
        <v>60</v>
      </c>
      <c r="BE21" s="177" t="s">
        <v>54</v>
      </c>
      <c r="BF21" s="200" t="str">
        <f t="shared" si="0"/>
        <v>Wait</v>
      </c>
      <c r="BG21" s="168" t="str">
        <f>IF($C$5&lt;$BD21,"Wait",IF($C$5=$BD21,MOVE!$M$10,BG21))</f>
        <v>Wait</v>
      </c>
      <c r="BH21" s="157" t="str">
        <f>IF($C$5&lt;$BD21,"Wait",IF($C$5=$BD21,MOVE!$J$6,BH21))</f>
        <v>Wait</v>
      </c>
      <c r="BI21" s="157" t="str">
        <f>IF($C$5&lt;$BD21,"Wait",IF($C$5=$BD21,MOVE!$J$16,BI21))</f>
        <v>Wait</v>
      </c>
      <c r="BJ21" s="158" t="str">
        <f>IF($C$5&lt;$BD21,"Wait",IF($C$5=$BD21,MOVE!$J$14,BJ21))</f>
        <v>Wait</v>
      </c>
      <c r="BK21" s="262" t="str">
        <f>IF($C$5&lt;$BD21,"Wait",IF($C$5=$BD21,MOVE!$J$15,BK21))</f>
        <v>Wait</v>
      </c>
      <c r="BN21" s="207" t="str">
        <f>IF($C$5&lt;$BD21,"Wait",IF($C$5=$BD21,MOVE!$C$6,BN21))</f>
        <v>Wait</v>
      </c>
      <c r="BO21" s="167" t="str">
        <f>IF($C$5&lt;$BD21,"Wait",IF($C$5=$BD21,MOVE!$F$12,BO21))</f>
        <v>Wait</v>
      </c>
      <c r="BP21" s="158" t="str">
        <f>IF($C$5&lt;$BD21,"Wait",IF($C$5=$BD21,MOVE!$X$6,BP21))</f>
        <v>Wait</v>
      </c>
      <c r="BQ21" s="262" t="str">
        <f>IF($C$5&lt;$BD21,"Wait",IF($C$5=$BD21,MOVE!$AA$12,BQ21))</f>
        <v>Wait</v>
      </c>
    </row>
    <row r="22" spans="2:165" x14ac:dyDescent="0.2">
      <c r="B22" s="34">
        <v>4</v>
      </c>
      <c r="C22" s="72">
        <f>IF(ISBLANK($C$3),Start!C22,MOVE!C22)</f>
        <v>99.999999666053171</v>
      </c>
      <c r="D22" s="74">
        <f>IF(ISBLANK($C$3),Start!D22,MOVE!D22)</f>
        <v>99.999999616875854</v>
      </c>
      <c r="E22" s="75">
        <f>IF(ISBLANK($C$3),Start!E22,MOVE!E22)</f>
        <v>99.999999508274158</v>
      </c>
      <c r="F22" s="75">
        <f>IF(ISBLANK($C$3),Start!F22,MOVE!K22)</f>
        <v>99.999999319475677</v>
      </c>
      <c r="G22" s="75">
        <f>IF(ISBLANK($C$3),Start!G22,MOVE!L22)</f>
        <v>99.99999941597126</v>
      </c>
      <c r="H22" s="75">
        <f>IF(ISBLANK($C$3),Start!H22,MOVE!M22)</f>
        <v>99.999999415840563</v>
      </c>
      <c r="I22" s="75">
        <f>IF(ISBLANK($C$3),Start!I22,MOVE!N22)</f>
        <v>99.999999319225125</v>
      </c>
      <c r="J22" s="75">
        <f>IF(ISBLANK($C$3),Start!J22,MOVE!O22)</f>
        <v>99.999999108648439</v>
      </c>
      <c r="K22" s="75">
        <f>IF(ISBLANK($C$3),Start!K22,MOVE!K22)</f>
        <v>99.999999319475677</v>
      </c>
      <c r="L22" s="75">
        <f>IF(ISBLANK($C$3),Start!L22,MOVE!L22)</f>
        <v>99.99999941597126</v>
      </c>
      <c r="M22" s="75">
        <f>IF(ISBLANK($C$3),Start!M22,MOVE!M22)</f>
        <v>99.999999415840563</v>
      </c>
      <c r="N22" s="75">
        <f>IF(ISBLANK($C$3),Start!N22,MOVE!N22)</f>
        <v>99.999999319225125</v>
      </c>
      <c r="O22" s="75">
        <f>IF(ISBLANK($C$3),Start!O22,MOVE!O22)</f>
        <v>99.999999108648439</v>
      </c>
      <c r="P22" s="75">
        <f>IF(ISBLANK($C$3),Start!P22,MOVE!P22)</f>
        <v>99.999998749397051</v>
      </c>
      <c r="Q22" s="75">
        <f>IF(ISBLANK($C$3),Start!Q22,MOVE!Q22)</f>
        <v>99.999998191229324</v>
      </c>
      <c r="R22" s="75">
        <f>IF(ISBLANK($C$3),Start!R22,MOVE!R22)</f>
        <v>99.999997373005684</v>
      </c>
      <c r="S22" s="75">
        <f>IF(ISBLANK($C$3),Start!S22,MOVE!S22)</f>
        <v>99.999996231159301</v>
      </c>
      <c r="T22" s="75">
        <f>IF(ISBLANK($C$3),Start!T22,MOVE!T22)</f>
        <v>99.999994709383998</v>
      </c>
      <c r="U22" s="75">
        <f>IF(ISBLANK($C$3),Start!U22,MOVE!U22)</f>
        <v>99.999992758274729</v>
      </c>
      <c r="V22" s="75">
        <f>IF(ISBLANK($C$3),Start!V22,MOVE!V22)</f>
        <v>99.99999029760086</v>
      </c>
      <c r="W22" s="75">
        <f>IF(ISBLANK($C$3),Start!W22,MOVE!W22)</f>
        <v>99.999987087847714</v>
      </c>
      <c r="X22" s="75">
        <f>IF(ISBLANK($C$3),Start!X22,MOVE!X22)</f>
        <v>99.999982412594505</v>
      </c>
      <c r="Y22" s="75">
        <f>IF(ISBLANK($C$3),Start!Y22,MOVE!Y22)</f>
        <v>99.999974371725301</v>
      </c>
      <c r="Z22" s="75">
        <f>IF(ISBLANK($C$3),Start!Z22,MOVE!Z22)</f>
        <v>99.99995831844528</v>
      </c>
      <c r="AA22" s="75">
        <f>IF(ISBLANK($C$3),Start!AA22,MOVE!AA22)</f>
        <v>99.999923306157186</v>
      </c>
      <c r="AB22" s="75">
        <f>IF(ISBLANK($C$3),Start!AB22,MOVE!AB22)</f>
        <v>99.999843878439378</v>
      </c>
      <c r="AC22" s="75">
        <f>IF(ISBLANK($C$3),Start!AC22,MOVE!AC22)</f>
        <v>99.999661019868626</v>
      </c>
      <c r="AD22" s="75">
        <f>IF(ISBLANK($C$3),Start!AD22,MOVE!AD22)</f>
        <v>99.999237954493537</v>
      </c>
      <c r="AE22" s="75">
        <f>IF(ISBLANK($C$3),Start!AE22,MOVE!AE22)</f>
        <v>99.998257624530098</v>
      </c>
      <c r="AF22" s="75">
        <f>IF(ISBLANK($C$3),Start!AF22,MOVE!AF22)</f>
        <v>99.995984958544312</v>
      </c>
      <c r="AG22" s="75">
        <f>IF(ISBLANK($C$3),Start!AG22,MOVE!AG22)</f>
        <v>99.990715672535075</v>
      </c>
      <c r="AH22" s="75">
        <f>IF(ISBLANK($C$3),Start!AH22,MOVE!AH22)</f>
        <v>99.978498438319846</v>
      </c>
      <c r="AI22" s="75">
        <f>IF(ISBLANK($C$3),Start!AI22,MOVE!AI22)</f>
        <v>99.950173287842674</v>
      </c>
      <c r="AJ22" s="75">
        <f>IF(ISBLANK($C$3),Start!AJ22,MOVE!AJ22)</f>
        <v>99.884511711077437</v>
      </c>
      <c r="AK22" s="75">
        <f>IF(ISBLANK($C$3),Start!AK22,MOVE!AK22)</f>
        <v>99.732349247244017</v>
      </c>
      <c r="AL22" s="75">
        <f>IF(ISBLANK($C$3),Start!AL22,MOVE!AL22)</f>
        <v>99.380001775244409</v>
      </c>
      <c r="AM22" s="75">
        <f>IF(ISBLANK($C$3),Start!AM22,MOVE!AM22)</f>
        <v>98.565555119483278</v>
      </c>
      <c r="AN22" s="75">
        <f>IF(ISBLANK($C$3),Start!AN22,MOVE!AN22)</f>
        <v>96.690724561892935</v>
      </c>
      <c r="AO22" s="75">
        <f>IF(ISBLANK($C$3),Start!AO22,MOVE!AO22)</f>
        <v>92.416090995012567</v>
      </c>
      <c r="AP22" s="75">
        <f>IF(ISBLANK($C$3),Start!AP22,MOVE!AP22)</f>
        <v>82.884913220986391</v>
      </c>
      <c r="AQ22" s="94">
        <f>IF(ISBLANK($C$3),Start!AQ22,MOVE!AQ22)</f>
        <v>62.714386782320027</v>
      </c>
      <c r="AR22" s="92">
        <f>IF(ISBLANK($C$3),Start!AR22,MOVE!AR22)</f>
        <v>25.006293553042596</v>
      </c>
      <c r="AS22" s="86">
        <f>IF(ISBLANK($C$3),Start!AS22,MOVE!AS22)</f>
        <v>15.442087972692983</v>
      </c>
      <c r="AT22" s="86">
        <f>IF(ISBLANK($C$3),Start!AT22,MOVE!AT22)</f>
        <v>12.180673717964332</v>
      </c>
      <c r="AU22" s="86">
        <f>IF(ISBLANK($C$3),Start!AU22,MOVE!AU22)</f>
        <v>10.911413906977518</v>
      </c>
      <c r="AV22" s="86">
        <f>IF(ISBLANK($C$3),Start!AV22,MOVE!AV22)</f>
        <v>10.388008246748546</v>
      </c>
      <c r="AW22" s="86">
        <f>IF(ISBLANK($C$3),Start!AW22,MOVE!AW22)</f>
        <v>10.166876547681548</v>
      </c>
      <c r="AX22" s="86">
        <f>IF(ISBLANK($C$3),Start!AX22,MOVE!AX22)</f>
        <v>10.072920614658409</v>
      </c>
      <c r="AY22" s="87">
        <f>IF(ISBLANK($C$3),Start!AY22,MOVE!AY22)</f>
        <v>10.033862520177571</v>
      </c>
      <c r="AZ22" s="72">
        <f>IF(ISBLANK($C$3),Start!AZ22,MOVE!AZ22)</f>
        <v>10.019827896560892</v>
      </c>
      <c r="BA22" s="165">
        <v>4</v>
      </c>
      <c r="BB22" s="179"/>
      <c r="BC22" s="175">
        <v>3</v>
      </c>
      <c r="BD22" s="176">
        <v>90</v>
      </c>
      <c r="BE22" s="122" t="s">
        <v>55</v>
      </c>
      <c r="BF22" s="200" t="str">
        <f t="shared" si="0"/>
        <v>Wait</v>
      </c>
      <c r="BG22" s="168" t="str">
        <f>IF($C$5&lt;$BD22,"Wait",IF($C$5=$BD22,MOVE!$M$10,BG22))</f>
        <v>Wait</v>
      </c>
      <c r="BH22" s="158" t="str">
        <f>IF($C$5&lt;$BD22,"Wait",IF($C$5=$BD22,MOVE!$J$6,BH22))</f>
        <v>Wait</v>
      </c>
      <c r="BI22" s="158" t="str">
        <f>IF($C$5&lt;$BD22,"Wait",IF($C$5=$BD22,MOVE!$J$16,BI22))</f>
        <v>Wait</v>
      </c>
      <c r="BJ22" s="158" t="str">
        <f>IF($C$5&lt;$BD22,"Wait",IF($C$5=$BD22,MOVE!$J$14,BJ22))</f>
        <v>Wait</v>
      </c>
      <c r="BK22" s="262" t="str">
        <f>IF($C$5&lt;$BD22,"Wait",IF($C$5=$BD22,MOVE!$J$15,BK22))</f>
        <v>Wait</v>
      </c>
      <c r="BN22" s="207" t="str">
        <f>IF($C$5&lt;$BD22,"Wait",IF($C$5=$BD22,MOVE!$C$6,BN22))</f>
        <v>Wait</v>
      </c>
      <c r="BO22" s="167" t="str">
        <f>IF($C$5&lt;$BD22,"Wait",IF($C$5=$BD22,MOVE!$F$12,BO22))</f>
        <v>Wait</v>
      </c>
      <c r="BP22" s="158" t="str">
        <f>IF($C$5&lt;$BD22,"Wait",IF($C$5=$BD22,MOVE!$X$6,BP22))</f>
        <v>Wait</v>
      </c>
      <c r="BQ22" s="262" t="str">
        <f>IF($C$5&lt;$BD22,"Wait",IF($C$5=$BD22,MOVE!$AA$12,BQ22))</f>
        <v>Wait</v>
      </c>
    </row>
    <row r="23" spans="2:165" x14ac:dyDescent="0.2">
      <c r="B23" s="34">
        <v>5</v>
      </c>
      <c r="C23" s="72">
        <f>IF(ISBLANK($C$3),Start!C23,MOVE!C23)</f>
        <v>99.999999387654697</v>
      </c>
      <c r="D23" s="74">
        <f>IF(ISBLANK($C$3),Start!D23,MOVE!D23)</f>
        <v>99.999999297493957</v>
      </c>
      <c r="E23" s="75">
        <f>IF(ISBLANK($C$3),Start!E23,MOVE!E23)</f>
        <v>99.999999100059441</v>
      </c>
      <c r="F23" s="75">
        <f>IF(ISBLANK($C$3),Start!F23,MOVE!K23)</f>
        <v>99.999998757543111</v>
      </c>
      <c r="G23" s="75">
        <f>IF(ISBLANK($C$3),Start!G23,MOVE!L23)</f>
        <v>99.999998931894524</v>
      </c>
      <c r="H23" s="75">
        <f>IF(ISBLANK($C$3),Start!H23,MOVE!M23)</f>
        <v>99.999998931844431</v>
      </c>
      <c r="I23" s="75">
        <f>IF(ISBLANK($C$3),Start!I23,MOVE!N23)</f>
        <v>99.999998757455543</v>
      </c>
      <c r="J23" s="75">
        <f>IF(ISBLANK($C$3),Start!J23,MOVE!O23)</f>
        <v>99.999998372473584</v>
      </c>
      <c r="K23" s="75">
        <f>IF(ISBLANK($C$3),Start!K23,MOVE!K23)</f>
        <v>99.999998757543111</v>
      </c>
      <c r="L23" s="75">
        <f>IF(ISBLANK($C$3),Start!L23,MOVE!L23)</f>
        <v>99.999998931894524</v>
      </c>
      <c r="M23" s="75">
        <f>IF(ISBLANK($C$3),Start!M23,MOVE!M23)</f>
        <v>99.999998931844431</v>
      </c>
      <c r="N23" s="75">
        <f>IF(ISBLANK($C$3),Start!N23,MOVE!N23)</f>
        <v>99.999998757455543</v>
      </c>
      <c r="O23" s="75">
        <f>IF(ISBLANK($C$3),Start!O23,MOVE!O23)</f>
        <v>99.999998372473584</v>
      </c>
      <c r="P23" s="75">
        <f>IF(ISBLANK($C$3),Start!P23,MOVE!P23)</f>
        <v>99.999997703800844</v>
      </c>
      <c r="Q23" s="75">
        <f>IF(ISBLANK($C$3),Start!Q23,MOVE!Q23)</f>
        <v>99.999996643129009</v>
      </c>
      <c r="R23" s="75">
        <f>IF(ISBLANK($C$3),Start!R23,MOVE!R23)</f>
        <v>99.999995055645812</v>
      </c>
      <c r="S23" s="75">
        <f>IF(ISBLANK($C$3),Start!S23,MOVE!S23)</f>
        <v>99.99999280131911</v>
      </c>
      <c r="T23" s="75">
        <f>IF(ISBLANK($C$3),Start!T23,MOVE!T23)</f>
        <v>99.999989769874475</v>
      </c>
      <c r="U23" s="75">
        <f>IF(ISBLANK($C$3),Start!U23,MOVE!U23)</f>
        <v>99.999985916150379</v>
      </c>
      <c r="V23" s="75">
        <f>IF(ISBLANK($C$3),Start!V23,MOVE!V23)</f>
        <v>99.999981254212315</v>
      </c>
      <c r="W23" s="75">
        <f>IF(ISBLANK($C$3),Start!W23,MOVE!W23)</f>
        <v>99.99997572997016</v>
      </c>
      <c r="X23" s="75">
        <f>IF(ISBLANK($C$3),Start!X23,MOVE!X23)</f>
        <v>99.999968853067458</v>
      </c>
      <c r="Y23" s="75">
        <f>IF(ISBLANK($C$3),Start!Y23,MOVE!Y23)</f>
        <v>99.999958908675538</v>
      </c>
      <c r="Z23" s="75">
        <f>IF(ISBLANK($C$3),Start!Z23,MOVE!Z23)</f>
        <v>99.999941343916916</v>
      </c>
      <c r="AA23" s="75">
        <f>IF(ISBLANK($C$3),Start!AA23,MOVE!AA23)</f>
        <v>99.999905215593714</v>
      </c>
      <c r="AB23" s="75">
        <f>IF(ISBLANK($C$3),Start!AB23,MOVE!AB23)</f>
        <v>99.999825011617858</v>
      </c>
      <c r="AC23" s="75">
        <f>IF(ISBLANK($C$3),Start!AC23,MOVE!AC23)</f>
        <v>99.999641636898005</v>
      </c>
      <c r="AD23" s="75">
        <f>IF(ISBLANK($C$3),Start!AD23,MOVE!AD23)</f>
        <v>99.999218236025328</v>
      </c>
      <c r="AE23" s="75">
        <f>IF(ISBLANK($C$3),Start!AE23,MOVE!AE23)</f>
        <v>99.998237683027753</v>
      </c>
      <c r="AF23" s="75">
        <f>IF(ISBLANK($C$3),Start!AF23,MOVE!AF23)</f>
        <v>99.995964850846789</v>
      </c>
      <c r="AG23" s="75">
        <f>IF(ISBLANK($C$3),Start!AG23,MOVE!AG23)</f>
        <v>99.990695408113837</v>
      </c>
      <c r="AH23" s="75">
        <f>IF(ISBLANK($C$3),Start!AH23,MOVE!AH23)</f>
        <v>99.978477980583961</v>
      </c>
      <c r="AI23" s="75">
        <f>IF(ISBLANK($C$3),Start!AI23,MOVE!AI23)</f>
        <v>99.950152547554509</v>
      </c>
      <c r="AJ23" s="75">
        <f>IF(ISBLANK($C$3),Start!AJ23,MOVE!AJ23)</f>
        <v>99.884490532318978</v>
      </c>
      <c r="AK23" s="75">
        <f>IF(ISBLANK($C$3),Start!AK23,MOVE!AK23)</f>
        <v>99.732327389030544</v>
      </c>
      <c r="AL23" s="75">
        <f>IF(ISBLANK($C$3),Start!AL23,MOVE!AL23)</f>
        <v>99.379978898816759</v>
      </c>
      <c r="AM23" s="75">
        <f>IF(ISBLANK($C$3),Start!AM23,MOVE!AM23)</f>
        <v>98.565530809229131</v>
      </c>
      <c r="AN23" s="75">
        <f>IF(ISBLANK($C$3),Start!AN23,MOVE!AN23)</f>
        <v>96.690698452793725</v>
      </c>
      <c r="AO23" s="75">
        <f>IF(ISBLANK($C$3),Start!AO23,MOVE!AO23)</f>
        <v>92.416063186230161</v>
      </c>
      <c r="AP23" s="75">
        <f>IF(ISBLANK($C$3),Start!AP23,MOVE!AP23)</f>
        <v>82.884885361667315</v>
      </c>
      <c r="AQ23" s="94">
        <f>IF(ISBLANK($C$3),Start!AQ23,MOVE!AQ23)</f>
        <v>62.714364296151679</v>
      </c>
      <c r="AR23" s="92">
        <f>IF(ISBLANK($C$3),Start!AR23,MOVE!AR23)</f>
        <v>25.006287432059594</v>
      </c>
      <c r="AS23" s="86">
        <f>IF(ISBLANK($C$3),Start!AS23,MOVE!AS23)</f>
        <v>15.442083747298859</v>
      </c>
      <c r="AT23" s="86">
        <f>IF(ISBLANK($C$3),Start!AT23,MOVE!AT23)</f>
        <v>12.180666365817123</v>
      </c>
      <c r="AU23" s="86">
        <f>IF(ISBLANK($C$3),Start!AU23,MOVE!AU23)</f>
        <v>10.911396399851714</v>
      </c>
      <c r="AV23" s="86">
        <f>IF(ISBLANK($C$3),Start!AV23,MOVE!AV23)</f>
        <v>10.387966507060446</v>
      </c>
      <c r="AW23" s="86">
        <f>IF(ISBLANK($C$3),Start!AW23,MOVE!AW23)</f>
        <v>10.166782967775594</v>
      </c>
      <c r="AX23" s="86">
        <f>IF(ISBLANK($C$3),Start!AX23,MOVE!AX23)</f>
        <v>10.072728065042931</v>
      </c>
      <c r="AY23" s="87">
        <f>IF(ISBLANK($C$3),Start!AY23,MOVE!AY23)</f>
        <v>10.033513415489663</v>
      </c>
      <c r="AZ23" s="72">
        <f>IF(ISBLANK($C$3),Start!AZ23,MOVE!AZ23)</f>
        <v>10.019315379405507</v>
      </c>
      <c r="BA23" s="165">
        <v>5</v>
      </c>
      <c r="BB23" s="179"/>
      <c r="BC23" s="175">
        <v>4</v>
      </c>
      <c r="BD23" s="176">
        <v>120</v>
      </c>
      <c r="BE23" s="122" t="s">
        <v>56</v>
      </c>
      <c r="BF23" s="200" t="str">
        <f t="shared" si="0"/>
        <v>Wait</v>
      </c>
      <c r="BG23" s="168" t="str">
        <f>IF($C$5&lt;$BD23,"Wait",IF($C$5=$BD23,MOVE!$M$10,BG23))</f>
        <v>Wait</v>
      </c>
      <c r="BH23" s="158" t="str">
        <f>IF($C$5&lt;$BD23,"Wait",IF($C$5=$BD23,MOVE!$J$6,BH23))</f>
        <v>Wait</v>
      </c>
      <c r="BI23" s="158" t="str">
        <f>IF($C$5&lt;$BD23,"Wait",IF($C$5=$BD23,MOVE!$J$16,BI23))</f>
        <v>Wait</v>
      </c>
      <c r="BJ23" s="158" t="str">
        <f>IF($C$5&lt;$BD23,"Wait",IF($C$5=$BD23,MOVE!$J$14,BJ23))</f>
        <v>Wait</v>
      </c>
      <c r="BK23" s="262" t="str">
        <f>IF($C$5&lt;$BD23,"Wait",IF($C$5=$BD23,MOVE!$J$15,BK23))</f>
        <v>Wait</v>
      </c>
      <c r="BN23" s="207" t="str">
        <f>IF($C$5&lt;$BD23,"Wait",IF($C$5=$BD23,MOVE!$C$6,BN23))</f>
        <v>Wait</v>
      </c>
      <c r="BO23" s="167" t="str">
        <f>IF($C$5&lt;$BD23,"Wait",IF($C$5=$BD23,MOVE!$F$12,BO23))</f>
        <v>Wait</v>
      </c>
      <c r="BP23" s="158" t="str">
        <f>IF($C$5&lt;$BD23,"Wait",IF($C$5=$BD23,MOVE!$X$6,BP23))</f>
        <v>Wait</v>
      </c>
      <c r="BQ23" s="262" t="str">
        <f>IF($C$5&lt;$BD23,"Wait",IF($C$5=$BD23,MOVE!$AA$12,BQ23))</f>
        <v>Wait</v>
      </c>
    </row>
    <row r="24" spans="2:165" x14ac:dyDescent="0.2">
      <c r="B24" s="34">
        <v>6</v>
      </c>
      <c r="C24" s="72">
        <f>IF(ISBLANK($C$3),Start!C24,MOVE!C24)</f>
        <v>99.999998861163576</v>
      </c>
      <c r="D24" s="74">
        <f>IF(ISBLANK($C$3),Start!D24,MOVE!D24)</f>
        <v>99.999998698066634</v>
      </c>
      <c r="E24" s="75">
        <f>IF(ISBLANK($C$3),Start!E24,MOVE!E24)</f>
        <v>99.999998342298014</v>
      </c>
      <c r="F24" s="75">
        <f>IF(ISBLANK($C$3),Start!F24,MOVE!K24)</f>
        <v>99.999997725915151</v>
      </c>
      <c r="G24" s="75">
        <f>IF(ISBLANK($C$3),Start!G24,MOVE!L24)</f>
        <v>99.999998035998885</v>
      </c>
      <c r="H24" s="75">
        <f>IF(ISBLANK($C$3),Start!H24,MOVE!M24)</f>
        <v>99.999998035939186</v>
      </c>
      <c r="I24" s="75">
        <f>IF(ISBLANK($C$3),Start!I24,MOVE!N24)</f>
        <v>99.99999772581738</v>
      </c>
      <c r="J24" s="75">
        <f>IF(ISBLANK($C$3),Start!J24,MOVE!O24)</f>
        <v>99.999997031874457</v>
      </c>
      <c r="K24" s="75">
        <f>IF(ISBLANK($C$3),Start!K24,MOVE!K24)</f>
        <v>99.999997725915151</v>
      </c>
      <c r="L24" s="75">
        <f>IF(ISBLANK($C$3),Start!L24,MOVE!L24)</f>
        <v>99.999998035998885</v>
      </c>
      <c r="M24" s="75">
        <f>IF(ISBLANK($C$3),Start!M24,MOVE!M24)</f>
        <v>99.999998035939186</v>
      </c>
      <c r="N24" s="75">
        <f>IF(ISBLANK($C$3),Start!N24,MOVE!N24)</f>
        <v>99.99999772581738</v>
      </c>
      <c r="O24" s="75">
        <f>IF(ISBLANK($C$3),Start!O24,MOVE!O24)</f>
        <v>99.999997031874457</v>
      </c>
      <c r="P24" s="75">
        <f>IF(ISBLANK($C$3),Start!P24,MOVE!P24)</f>
        <v>99.999995802203514</v>
      </c>
      <c r="Q24" s="75">
        <f>IF(ISBLANK($C$3),Start!Q24,MOVE!Q24)</f>
        <v>99.999993804240091</v>
      </c>
      <c r="R24" s="75">
        <f>IF(ISBLANK($C$3),Start!R24,MOVE!R24)</f>
        <v>99.999990736407554</v>
      </c>
      <c r="S24" s="75">
        <f>IF(ISBLANK($C$3),Start!S24,MOVE!S24)</f>
        <v>99.999986271468003</v>
      </c>
      <c r="T24" s="75">
        <f>IF(ISBLANK($C$3),Start!T24,MOVE!T24)</f>
        <v>99.999980146201793</v>
      </c>
      <c r="U24" s="75">
        <f>IF(ISBLANK($C$3),Start!U24,MOVE!U24)</f>
        <v>99.999972287143621</v>
      </c>
      <c r="V24" s="75">
        <f>IF(ISBLANK($C$3),Start!V24,MOVE!V24)</f>
        <v>99.999962901188738</v>
      </c>
      <c r="W24" s="75">
        <f>IF(ISBLANK($C$3),Start!W24,MOVE!W24)</f>
        <v>99.999952373654324</v>
      </c>
      <c r="X24" s="75">
        <f>IF(ISBLANK($C$3),Start!X24,MOVE!X24)</f>
        <v>99.999940772197562</v>
      </c>
      <c r="Y24" s="75">
        <f>IF(ISBLANK($C$3),Start!Y24,MOVE!Y24)</f>
        <v>99.999926821239782</v>
      </c>
      <c r="Z24" s="75">
        <f>IF(ISBLANK($C$3),Start!Z24,MOVE!Z24)</f>
        <v>99.99990616023004</v>
      </c>
      <c r="AA24" s="75">
        <f>IF(ISBLANK($C$3),Start!AA24,MOVE!AA24)</f>
        <v>99.99986781642788</v>
      </c>
      <c r="AB24" s="75">
        <f>IF(ISBLANK($C$3),Start!AB24,MOVE!AB24)</f>
        <v>99.999786122161382</v>
      </c>
      <c r="AC24" s="75">
        <f>IF(ISBLANK($C$3),Start!AC24,MOVE!AC24)</f>
        <v>99.999601789983402</v>
      </c>
      <c r="AD24" s="75">
        <f>IF(ISBLANK($C$3),Start!AD24,MOVE!AD24)</f>
        <v>99.999177788191943</v>
      </c>
      <c r="AE24" s="75">
        <f>IF(ISBLANK($C$3),Start!AE24,MOVE!AE24)</f>
        <v>99.998196849539553</v>
      </c>
      <c r="AF24" s="75">
        <f>IF(ISBLANK($C$3),Start!AF24,MOVE!AF24)</f>
        <v>99.995923738566049</v>
      </c>
      <c r="AG24" s="75">
        <f>IF(ISBLANK($C$3),Start!AG24,MOVE!AG24)</f>
        <v>99.990654036193206</v>
      </c>
      <c r="AH24" s="75">
        <f>IF(ISBLANK($C$3),Start!AH24,MOVE!AH24)</f>
        <v>99.978436285299537</v>
      </c>
      <c r="AI24" s="75">
        <f>IF(ISBLANK($C$3),Start!AI24,MOVE!AI24)</f>
        <v>99.950110370468991</v>
      </c>
      <c r="AJ24" s="75">
        <f>IF(ISBLANK($C$3),Start!AJ24,MOVE!AJ24)</f>
        <v>99.884447592919074</v>
      </c>
      <c r="AK24" s="75">
        <f>IF(ISBLANK($C$3),Start!AK24,MOVE!AK24)</f>
        <v>99.732283247564823</v>
      </c>
      <c r="AL24" s="75">
        <f>IF(ISBLANK($C$3),Start!AL24,MOVE!AL24)</f>
        <v>99.379932928400237</v>
      </c>
      <c r="AM24" s="75">
        <f>IF(ISBLANK($C$3),Start!AM24,MOVE!AM24)</f>
        <v>98.565482231819985</v>
      </c>
      <c r="AN24" s="75">
        <f>IF(ISBLANK($C$3),Start!AN24,MOVE!AN24)</f>
        <v>96.690646583176616</v>
      </c>
      <c r="AO24" s="75">
        <f>IF(ISBLANK($C$3),Start!AO24,MOVE!AO24)</f>
        <v>92.416008239778876</v>
      </c>
      <c r="AP24" s="75">
        <f>IF(ISBLANK($C$3),Start!AP24,MOVE!AP24)</f>
        <v>82.884830588686356</v>
      </c>
      <c r="AQ24" s="94">
        <f>IF(ISBLANK($C$3),Start!AQ24,MOVE!AQ24)</f>
        <v>62.714320359431994</v>
      </c>
      <c r="AR24" s="92">
        <f>IF(ISBLANK($C$3),Start!AR24,MOVE!AR24)</f>
        <v>25.006275916335039</v>
      </c>
      <c r="AS24" s="86">
        <f>IF(ISBLANK($C$3),Start!AS24,MOVE!AS24)</f>
        <v>15.442077775340753</v>
      </c>
      <c r="AT24" s="86">
        <f>IF(ISBLANK($C$3),Start!AT24,MOVE!AT24)</f>
        <v>12.180659910441367</v>
      </c>
      <c r="AU24" s="86">
        <f>IF(ISBLANK($C$3),Start!AU24,MOVE!AU24)</f>
        <v>10.911384748053395</v>
      </c>
      <c r="AV24" s="86">
        <f>IF(ISBLANK($C$3),Start!AV24,MOVE!AV24)</f>
        <v>10.387942383603358</v>
      </c>
      <c r="AW24" s="86">
        <f>IF(ISBLANK($C$3),Start!AW24,MOVE!AW24)</f>
        <v>10.166734371569449</v>
      </c>
      <c r="AX24" s="86">
        <f>IF(ISBLANK($C$3),Start!AX24,MOVE!AX24)</f>
        <v>10.072638112008187</v>
      </c>
      <c r="AY24" s="87">
        <f>IF(ISBLANK($C$3),Start!AY24,MOVE!AY24)</f>
        <v>10.0333670614149</v>
      </c>
      <c r="AZ24" s="72">
        <f>IF(ISBLANK($C$3),Start!AZ24,MOVE!AZ24)</f>
        <v>10.019119393693728</v>
      </c>
      <c r="BA24" s="165">
        <v>6</v>
      </c>
      <c r="BB24" s="179"/>
      <c r="BC24" s="175">
        <v>5</v>
      </c>
      <c r="BD24" s="176">
        <v>150</v>
      </c>
      <c r="BE24" s="122" t="s">
        <v>57</v>
      </c>
      <c r="BF24" s="200" t="str">
        <f t="shared" si="0"/>
        <v>Wait</v>
      </c>
      <c r="BG24" s="168" t="str">
        <f>IF($C$5&lt;$BD24,"Wait",IF($C$5=$BD24,MOVE!$M$10,BG24))</f>
        <v>Wait</v>
      </c>
      <c r="BH24" s="158" t="str">
        <f>IF($C$5&lt;$BD24,"Wait",IF($C$5=$BD24,MOVE!$J$6,BH24))</f>
        <v>Wait</v>
      </c>
      <c r="BI24" s="158" t="str">
        <f>IF($C$5&lt;$BD24,"Wait",IF($C$5=$BD24,MOVE!$J$16,BI24))</f>
        <v>Wait</v>
      </c>
      <c r="BJ24" s="158" t="str">
        <f>IF($C$5&lt;$BD24,"Wait",IF($C$5=$BD24,MOVE!$J$14,BJ24))</f>
        <v>Wait</v>
      </c>
      <c r="BK24" s="262" t="str">
        <f>IF($C$5&lt;$BD24,"Wait",IF($C$5=$BD24,MOVE!$J$15,BK24))</f>
        <v>Wait</v>
      </c>
      <c r="BN24" s="207" t="str">
        <f>IF($C$5&lt;$BD24,"Wait",IF($C$5=$BD24,MOVE!$C$6,BN24))</f>
        <v>Wait</v>
      </c>
      <c r="BO24" s="167" t="str">
        <f>IF($C$5&lt;$BD24,"Wait",IF($C$5=$BD24,MOVE!$F$12,BO24))</f>
        <v>Wait</v>
      </c>
      <c r="BP24" s="158" t="str">
        <f>IF($C$5&lt;$BD24,"Wait",IF($C$5=$BD24,MOVE!$X$6,BP24))</f>
        <v>Wait</v>
      </c>
      <c r="BQ24" s="262" t="str">
        <f>IF($C$5&lt;$BD24,"Wait",IF($C$5=$BD24,MOVE!$AA$12,BQ24))</f>
        <v>Wait</v>
      </c>
    </row>
    <row r="25" spans="2:165" x14ac:dyDescent="0.2">
      <c r="B25" s="34">
        <v>7</v>
      </c>
      <c r="C25" s="72">
        <f>IF(ISBLANK($C$3),Start!C25,MOVE!C25)</f>
        <v>99.999997870430363</v>
      </c>
      <c r="D25" s="74">
        <f>IF(ISBLANK($C$3),Start!D25,MOVE!D25)</f>
        <v>99.999997575581034</v>
      </c>
      <c r="E25" s="75">
        <f>IF(ISBLANK($C$3),Start!E25,MOVE!E25)</f>
        <v>99.999996936857983</v>
      </c>
      <c r="F25" s="75">
        <f>IF(ISBLANK($C$3),Start!F25,MOVE!K25)</f>
        <v>99.999995837046555</v>
      </c>
      <c r="G25" s="75">
        <f>IF(ISBLANK($C$3),Start!G25,MOVE!L25)</f>
        <v>99.999996375844162</v>
      </c>
      <c r="H25" s="75">
        <f>IF(ISBLANK($C$3),Start!H25,MOVE!M25)</f>
        <v>99.999996375662121</v>
      </c>
      <c r="I25" s="75">
        <f>IF(ISBLANK($C$3),Start!I25,MOVE!N25)</f>
        <v>99.999995836751509</v>
      </c>
      <c r="J25" s="75">
        <f>IF(ISBLANK($C$3),Start!J25,MOVE!O25)</f>
        <v>99.999994613207875</v>
      </c>
      <c r="K25" s="75">
        <f>IF(ISBLANK($C$3),Start!K25,MOVE!K25)</f>
        <v>99.999995837046555</v>
      </c>
      <c r="L25" s="75">
        <f>IF(ISBLANK($C$3),Start!L25,MOVE!L25)</f>
        <v>99.999996375844162</v>
      </c>
      <c r="M25" s="75">
        <f>IF(ISBLANK($C$3),Start!M25,MOVE!M25)</f>
        <v>99.999996375662121</v>
      </c>
      <c r="N25" s="75">
        <f>IF(ISBLANK($C$3),Start!N25,MOVE!N25)</f>
        <v>99.999995836751509</v>
      </c>
      <c r="O25" s="75">
        <f>IF(ISBLANK($C$3),Start!O25,MOVE!O25)</f>
        <v>99.999994613207875</v>
      </c>
      <c r="P25" s="75">
        <f>IF(ISBLANK($C$3),Start!P25,MOVE!P25)</f>
        <v>99.99999239675185</v>
      </c>
      <c r="Q25" s="75">
        <f>IF(ISBLANK($C$3),Start!Q25,MOVE!Q25)</f>
        <v>99.999988696596304</v>
      </c>
      <c r="R25" s="75">
        <f>IF(ISBLANK($C$3),Start!R25,MOVE!R25)</f>
        <v>99.999982842637635</v>
      </c>
      <c r="S25" s="75">
        <f>IF(ISBLANK($C$3),Start!S25,MOVE!S25)</f>
        <v>99.999974058362767</v>
      </c>
      <c r="T25" s="75">
        <f>IF(ISBLANK($C$3),Start!T25,MOVE!T25)</f>
        <v>99.999961660098052</v>
      </c>
      <c r="U25" s="75">
        <f>IF(ISBLANK($C$3),Start!U25,MOVE!U25)</f>
        <v>99.999945403908981</v>
      </c>
      <c r="V25" s="75">
        <f>IF(ISBLANK($C$3),Start!V25,MOVE!V25)</f>
        <v>99.999925863678953</v>
      </c>
      <c r="W25" s="75">
        <f>IF(ISBLANK($C$3),Start!W25,MOVE!W25)</f>
        <v>99.999904473715802</v>
      </c>
      <c r="X25" s="75">
        <f>IF(ISBLANK($C$3),Start!X25,MOVE!X25)</f>
        <v>99.999882717257734</v>
      </c>
      <c r="Y25" s="75">
        <f>IF(ISBLANK($C$3),Start!Y25,MOVE!Y25)</f>
        <v>99.99986036761652</v>
      </c>
      <c r="Z25" s="75">
        <f>IF(ISBLANK($C$3),Start!Z25,MOVE!Z25)</f>
        <v>99.999833430679473</v>
      </c>
      <c r="AA25" s="75">
        <f>IF(ISBLANK($C$3),Start!AA25,MOVE!AA25)</f>
        <v>99.999790761558344</v>
      </c>
      <c r="AB25" s="75">
        <f>IF(ISBLANK($C$3),Start!AB25,MOVE!AB25)</f>
        <v>99.999706268210574</v>
      </c>
      <c r="AC25" s="75">
        <f>IF(ISBLANK($C$3),Start!AC25,MOVE!AC25)</f>
        <v>99.999520205911182</v>
      </c>
      <c r="AD25" s="75">
        <f>IF(ISBLANK($C$3),Start!AD25,MOVE!AD25)</f>
        <v>99.999095159197566</v>
      </c>
      <c r="AE25" s="75">
        <f>IF(ISBLANK($C$3),Start!AE25,MOVE!AE25)</f>
        <v>99.998113574793891</v>
      </c>
      <c r="AF25" s="75">
        <f>IF(ISBLANK($C$3),Start!AF25,MOVE!AF25)</f>
        <v>99.995840011541489</v>
      </c>
      <c r="AG25" s="75">
        <f>IF(ISBLANK($C$3),Start!AG25,MOVE!AG25)</f>
        <v>99.990569892702013</v>
      </c>
      <c r="AH25" s="75">
        <f>IF(ISBLANK($C$3),Start!AH25,MOVE!AH25)</f>
        <v>99.978351616504071</v>
      </c>
      <c r="AI25" s="75">
        <f>IF(ISBLANK($C$3),Start!AI25,MOVE!AI25)</f>
        <v>99.950024901785142</v>
      </c>
      <c r="AJ25" s="75">
        <f>IF(ISBLANK($C$3),Start!AJ25,MOVE!AJ25)</f>
        <v>99.884360831550211</v>
      </c>
      <c r="AK25" s="75">
        <f>IF(ISBLANK($C$3),Start!AK25,MOVE!AK25)</f>
        <v>99.732194408735111</v>
      </c>
      <c r="AL25" s="75">
        <f>IF(ISBLANK($C$3),Start!AL25,MOVE!AL25)</f>
        <v>99.379840875414175</v>
      </c>
      <c r="AM25" s="75">
        <f>IF(ISBLANK($C$3),Start!AM25,MOVE!AM25)</f>
        <v>98.56538553458131</v>
      </c>
      <c r="AN25" s="75">
        <f>IF(ISBLANK($C$3),Start!AN25,MOVE!AN25)</f>
        <v>96.690543976357731</v>
      </c>
      <c r="AO25" s="75">
        <f>IF(ISBLANK($C$3),Start!AO25,MOVE!AO25)</f>
        <v>92.415900178059289</v>
      </c>
      <c r="AP25" s="75">
        <f>IF(ISBLANK($C$3),Start!AP25,MOVE!AP25)</f>
        <v>82.884723392754381</v>
      </c>
      <c r="AQ25" s="94">
        <f>IF(ISBLANK($C$3),Start!AQ25,MOVE!AQ25)</f>
        <v>62.714234743538263</v>
      </c>
      <c r="AR25" s="92">
        <f>IF(ISBLANK($C$3),Start!AR25,MOVE!AR25)</f>
        <v>25.006253824459165</v>
      </c>
      <c r="AS25" s="86">
        <f>IF(ISBLANK($C$3),Start!AS25,MOVE!AS25)</f>
        <v>15.442067792415418</v>
      </c>
      <c r="AT25" s="86">
        <f>IF(ISBLANK($C$3),Start!AT25,MOVE!AT25)</f>
        <v>12.180652690492105</v>
      </c>
      <c r="AU25" s="86">
        <f>IF(ISBLANK($C$3),Start!AU25,MOVE!AU25)</f>
        <v>10.911376241418678</v>
      </c>
      <c r="AV25" s="86">
        <f>IF(ISBLANK($C$3),Start!AV25,MOVE!AV25)</f>
        <v>10.387928592333996</v>
      </c>
      <c r="AW25" s="86">
        <f>IF(ISBLANK($C$3),Start!AW25,MOVE!AW25)</f>
        <v>10.166710108395568</v>
      </c>
      <c r="AX25" s="86">
        <f>IF(ISBLANK($C$3),Start!AX25,MOVE!AX25)</f>
        <v>10.072597431701277</v>
      </c>
      <c r="AY25" s="87">
        <f>IF(ISBLANK($C$3),Start!AY25,MOVE!AY25)</f>
        <v>10.033306237828121</v>
      </c>
      <c r="AZ25" s="72">
        <f>IF(ISBLANK($C$3),Start!AZ25,MOVE!AZ25)</f>
        <v>10.019042789782905</v>
      </c>
      <c r="BA25" s="165">
        <v>7</v>
      </c>
      <c r="BB25" s="179"/>
      <c r="BC25" s="175">
        <v>6</v>
      </c>
      <c r="BD25" s="176">
        <v>180</v>
      </c>
      <c r="BE25" s="122" t="s">
        <v>58</v>
      </c>
      <c r="BF25" s="200" t="str">
        <f t="shared" si="0"/>
        <v>Wait</v>
      </c>
      <c r="BG25" s="168" t="str">
        <f>IF($C$5&lt;$BD25,"Wait",IF($C$5=$BD25,MOVE!$M$10,BG25))</f>
        <v>Wait</v>
      </c>
      <c r="BH25" s="158" t="str">
        <f>IF($C$5&lt;$BD25,"Wait",IF($C$5=$BD25,MOVE!$J$6,BH25))</f>
        <v>Wait</v>
      </c>
      <c r="BI25" s="158" t="str">
        <f>IF($C$5&lt;$BD25,"Wait",IF($C$5=$BD25,MOVE!$J$16,BI25))</f>
        <v>Wait</v>
      </c>
      <c r="BJ25" s="158" t="str">
        <f>IF($C$5&lt;$BD25,"Wait",IF($C$5=$BD25,MOVE!$J$14,BJ25))</f>
        <v>Wait</v>
      </c>
      <c r="BK25" s="262" t="str">
        <f>IF($C$5&lt;$BD25,"Wait",IF($C$5=$BD25,MOVE!$J$15,BK25))</f>
        <v>Wait</v>
      </c>
      <c r="BN25" s="207" t="str">
        <f>IF($C$5&lt;$BD25,"Wait",IF($C$5=$BD25,MOVE!$C$6,BN25))</f>
        <v>Wait</v>
      </c>
      <c r="BO25" s="167" t="str">
        <f>IF($C$5&lt;$BD25,"Wait",IF($C$5=$BD25,MOVE!$F$12,BO25))</f>
        <v>Wait</v>
      </c>
      <c r="BP25" s="158" t="str">
        <f>IF($C$5&lt;$BD25,"Wait",IF($C$5=$BD25,MOVE!$X$6,BP25))</f>
        <v>Wait</v>
      </c>
      <c r="BQ25" s="262" t="str">
        <f>IF($C$5&lt;$BD25,"Wait",IF($C$5=$BD25,MOVE!$AA$12,BQ25))</f>
        <v>Wait</v>
      </c>
    </row>
    <row r="26" spans="2:165" x14ac:dyDescent="0.2">
      <c r="B26" s="34">
        <v>8</v>
      </c>
      <c r="C26" s="72">
        <f>IF(ISBLANK($C$3),Start!C26,MOVE!C26)</f>
        <v>99.999996004771248</v>
      </c>
      <c r="D26" s="74">
        <f>IF(ISBLANK($C$3),Start!D26,MOVE!D26)</f>
        <v>99.999995468105226</v>
      </c>
      <c r="E26" s="75">
        <f>IF(ISBLANK($C$3),Start!E26,MOVE!E26)</f>
        <v>99.999994319419329</v>
      </c>
      <c r="F26" s="75">
        <f>IF(ISBLANK($C$3),Start!F26,MOVE!K26)</f>
        <v>99.9999923686579</v>
      </c>
      <c r="G26" s="75">
        <f>IF(ISBLANK($C$3),Start!G26,MOVE!L26)</f>
        <v>99.999993278757699</v>
      </c>
      <c r="H26" s="75">
        <f>IF(ISBLANK($C$3),Start!H26,MOVE!M26)</f>
        <v>99.999993278108334</v>
      </c>
      <c r="I26" s="75">
        <f>IF(ISBLANK($C$3),Start!I26,MOVE!N26)</f>
        <v>99.999992367605344</v>
      </c>
      <c r="J26" s="75">
        <f>IF(ISBLANK($C$3),Start!J26,MOVE!O26)</f>
        <v>99.999990268721746</v>
      </c>
      <c r="K26" s="75">
        <f>IF(ISBLANK($C$3),Start!K26,MOVE!K26)</f>
        <v>99.9999923686579</v>
      </c>
      <c r="L26" s="75">
        <f>IF(ISBLANK($C$3),Start!L26,MOVE!L26)</f>
        <v>99.999993278757699</v>
      </c>
      <c r="M26" s="75">
        <f>IF(ISBLANK($C$3),Start!M26,MOVE!M26)</f>
        <v>99.999993278108334</v>
      </c>
      <c r="N26" s="75">
        <f>IF(ISBLANK($C$3),Start!N26,MOVE!N26)</f>
        <v>99.999992367605344</v>
      </c>
      <c r="O26" s="75">
        <f>IF(ISBLANK($C$3),Start!O26,MOVE!O26)</f>
        <v>99.999990268721746</v>
      </c>
      <c r="P26" s="75">
        <f>IF(ISBLANK($C$3),Start!P26,MOVE!P26)</f>
        <v>99.999986375275327</v>
      </c>
      <c r="Q26" s="75">
        <f>IF(ISBLANK($C$3),Start!Q26,MOVE!Q26)</f>
        <v>99.999979678552151</v>
      </c>
      <c r="R26" s="75">
        <f>IF(ISBLANK($C$3),Start!R26,MOVE!R26)</f>
        <v>99.999968718040009</v>
      </c>
      <c r="S26" s="75">
        <f>IF(ISBLANK($C$3),Start!S26,MOVE!S26)</f>
        <v>99.999951665386732</v>
      </c>
      <c r="T26" s="75">
        <f>IF(ISBLANK($C$3),Start!T26,MOVE!T26)</f>
        <v>99.999926713540006</v>
      </c>
      <c r="U26" s="75">
        <f>IF(ISBLANK($C$3),Start!U26,MOVE!U26)</f>
        <v>99.999892934390388</v>
      </c>
      <c r="V26" s="75">
        <f>IF(ISBLANK($C$3),Start!V26,MOVE!V26)</f>
        <v>99.999851490512853</v>
      </c>
      <c r="W26" s="75">
        <f>IF(ISBLANK($C$3),Start!W26,MOVE!W26)</f>
        <v>99.999806330186928</v>
      </c>
      <c r="X26" s="75">
        <f>IF(ISBLANK($C$3),Start!X26,MOVE!X26)</f>
        <v>99.99976266908709</v>
      </c>
      <c r="Y26" s="75">
        <f>IF(ISBLANK($C$3),Start!Y26,MOVE!Y26)</f>
        <v>99.999722794686761</v>
      </c>
      <c r="Z26" s="75">
        <f>IF(ISBLANK($C$3),Start!Z26,MOVE!Z26)</f>
        <v>99.999683301259765</v>
      </c>
      <c r="AA26" s="75">
        <f>IF(ISBLANK($C$3),Start!AA26,MOVE!AA26)</f>
        <v>99.999632357749419</v>
      </c>
      <c r="AB26" s="75">
        <f>IF(ISBLANK($C$3),Start!AB26,MOVE!AB26)</f>
        <v>99.999542743238308</v>
      </c>
      <c r="AC26" s="75">
        <f>IF(ISBLANK($C$3),Start!AC26,MOVE!AC26)</f>
        <v>99.999353649172804</v>
      </c>
      <c r="AD26" s="75">
        <f>IF(ISBLANK($C$3),Start!AD26,MOVE!AD26)</f>
        <v>99.998926846046544</v>
      </c>
      <c r="AE26" s="75">
        <f>IF(ISBLANK($C$3),Start!AE26,MOVE!AE26)</f>
        <v>99.99794421850153</v>
      </c>
      <c r="AF26" s="75">
        <f>IF(ISBLANK($C$3),Start!AF26,MOVE!AF26)</f>
        <v>99.995669947659621</v>
      </c>
      <c r="AG26" s="75">
        <f>IF(ISBLANK($C$3),Start!AG26,MOVE!AG26)</f>
        <v>99.990399183101175</v>
      </c>
      <c r="AH26" s="75">
        <f>IF(ISBLANK($C$3),Start!AH26,MOVE!AH26)</f>
        <v>99.978180079122922</v>
      </c>
      <c r="AI26" s="75">
        <f>IF(ISBLANK($C$3),Start!AI26,MOVE!AI26)</f>
        <v>99.949852073300661</v>
      </c>
      <c r="AJ26" s="75">
        <f>IF(ISBLANK($C$3),Start!AJ26,MOVE!AJ26)</f>
        <v>99.884185868982556</v>
      </c>
      <c r="AK26" s="75">
        <f>IF(ISBLANK($C$3),Start!AK26,MOVE!AK26)</f>
        <v>99.732015946605443</v>
      </c>
      <c r="AL26" s="75">
        <f>IF(ISBLANK($C$3),Start!AL26,MOVE!AL26)</f>
        <v>99.379656901033641</v>
      </c>
      <c r="AM26" s="75">
        <f>IF(ISBLANK($C$3),Start!AM26,MOVE!AM26)</f>
        <v>98.565193478135285</v>
      </c>
      <c r="AN26" s="75">
        <f>IF(ISBLANK($C$3),Start!AN26,MOVE!AN26)</f>
        <v>96.690341557943114</v>
      </c>
      <c r="AO26" s="75">
        <f>IF(ISBLANK($C$3),Start!AO26,MOVE!AO26)</f>
        <v>92.415688368444719</v>
      </c>
      <c r="AP26" s="75">
        <f>IF(ISBLANK($C$3),Start!AP26,MOVE!AP26)</f>
        <v>82.884514396003752</v>
      </c>
      <c r="AQ26" s="94">
        <f>IF(ISBLANK($C$3),Start!AQ26,MOVE!AQ26)</f>
        <v>62.714068487275725</v>
      </c>
      <c r="AR26" s="92">
        <f>IF(ISBLANK($C$3),Start!AR26,MOVE!AR26)</f>
        <v>25.006211223575701</v>
      </c>
      <c r="AS26" s="86">
        <f>IF(ISBLANK($C$3),Start!AS26,MOVE!AS26)</f>
        <v>15.442049596238762</v>
      </c>
      <c r="AT26" s="86">
        <f>IF(ISBLANK($C$3),Start!AT26,MOVE!AT26)</f>
        <v>12.180642098197771</v>
      </c>
      <c r="AU26" s="86">
        <f>IF(ISBLANK($C$3),Start!AU26,MOVE!AU26)</f>
        <v>10.911367988744439</v>
      </c>
      <c r="AV26" s="86">
        <f>IF(ISBLANK($C$3),Start!AV26,MOVE!AV26)</f>
        <v>10.387919561917004</v>
      </c>
      <c r="AW26" s="86">
        <f>IF(ISBLANK($C$3),Start!AW26,MOVE!AW26)</f>
        <v>10.166697546672882</v>
      </c>
      <c r="AX26" s="86">
        <f>IF(ISBLANK($C$3),Start!AX26,MOVE!AX26)</f>
        <v>10.0725789299781</v>
      </c>
      <c r="AY26" s="87">
        <f>IF(ISBLANK($C$3),Start!AY26,MOVE!AY26)</f>
        <v>10.033280741310335</v>
      </c>
      <c r="AZ26" s="72">
        <f>IF(ISBLANK($C$3),Start!AZ26,MOVE!AZ26)</f>
        <v>10.019012173886319</v>
      </c>
      <c r="BA26" s="165">
        <v>8</v>
      </c>
      <c r="BB26" s="179"/>
      <c r="BC26" s="175">
        <v>7</v>
      </c>
      <c r="BD26" s="176">
        <v>210</v>
      </c>
      <c r="BE26" s="122" t="s">
        <v>59</v>
      </c>
      <c r="BF26" s="200" t="str">
        <f t="shared" si="0"/>
        <v>Wait</v>
      </c>
      <c r="BG26" s="168" t="str">
        <f>IF($C$5&lt;$BD26,"Wait",IF($C$5=$BD26,MOVE!$M$10,BG26))</f>
        <v>Wait</v>
      </c>
      <c r="BH26" s="158" t="str">
        <f>IF($C$5&lt;$BD26,"Wait",IF($C$5=$BD26,MOVE!$J$6,BH26))</f>
        <v>Wait</v>
      </c>
      <c r="BI26" s="158" t="str">
        <f>IF($C$5&lt;$BD26,"Wait",IF($C$5=$BD26,MOVE!$J$16,BI26))</f>
        <v>Wait</v>
      </c>
      <c r="BJ26" s="158" t="str">
        <f>IF($C$5&lt;$BD26,"Wait",IF($C$5=$BD26,MOVE!$J$14,BJ26))</f>
        <v>Wait</v>
      </c>
      <c r="BK26" s="262" t="str">
        <f>IF($C$5&lt;$BD26,"Wait",IF($C$5=$BD26,MOVE!$J$15,BK26))</f>
        <v>Wait</v>
      </c>
      <c r="BN26" s="207" t="str">
        <f>IF($C$5&lt;$BD26,"Wait",IF($C$5=$BD26,MOVE!$C$6,BN26))</f>
        <v>Wait</v>
      </c>
      <c r="BO26" s="167" t="str">
        <f>IF($C$5&lt;$BD26,"Wait",IF($C$5=$BD26,MOVE!$F$12,BO26))</f>
        <v>Wait</v>
      </c>
      <c r="BP26" s="158" t="str">
        <f>IF($C$5&lt;$BD26,"Wait",IF($C$5=$BD26,MOVE!$X$6,BP26))</f>
        <v>Wait</v>
      </c>
      <c r="BQ26" s="262" t="str">
        <f>IF($C$5&lt;$BD26,"Wait",IF($C$5=$BD26,MOVE!$AA$12,BQ26))</f>
        <v>Wait</v>
      </c>
    </row>
    <row r="27" spans="2:165" x14ac:dyDescent="0.2">
      <c r="B27" s="34">
        <v>9</v>
      </c>
      <c r="C27" s="72">
        <f>IF(ISBLANK($C$3),Start!C27,MOVE!C27)</f>
        <v>99.999992487456979</v>
      </c>
      <c r="D27" s="74">
        <f>IF(ISBLANK($C$3),Start!D27,MOVE!D27)</f>
        <v>99.999991496154934</v>
      </c>
      <c r="E27" s="75">
        <f>IF(ISBLANK($C$3),Start!E27,MOVE!E27)</f>
        <v>99.999989411343577</v>
      </c>
      <c r="F27" s="75">
        <f>IF(ISBLANK($C$3),Start!F27,MOVE!K27)</f>
        <v>99.999985952846842</v>
      </c>
      <c r="G27" s="75">
        <f>IF(ISBLANK($C$3),Start!G27,MOVE!L27)</f>
        <v>99.99998744086659</v>
      </c>
      <c r="H27" s="75">
        <f>IF(ISBLANK($C$3),Start!H27,MOVE!M27)</f>
        <v>99.999987438520762</v>
      </c>
      <c r="I27" s="75">
        <f>IF(ISBLANK($C$3),Start!I27,MOVE!N27)</f>
        <v>99.999985949040493</v>
      </c>
      <c r="J27" s="75">
        <f>IF(ISBLANK($C$3),Start!J27,MOVE!O27)</f>
        <v>99.999982463665717</v>
      </c>
      <c r="K27" s="75">
        <f>IF(ISBLANK($C$3),Start!K27,MOVE!K27)</f>
        <v>99.999985952846842</v>
      </c>
      <c r="L27" s="75">
        <f>IF(ISBLANK($C$3),Start!L27,MOVE!L27)</f>
        <v>99.99998744086659</v>
      </c>
      <c r="M27" s="75">
        <f>IF(ISBLANK($C$3),Start!M27,MOVE!M27)</f>
        <v>99.999987438520762</v>
      </c>
      <c r="N27" s="75">
        <f>IF(ISBLANK($C$3),Start!N27,MOVE!N27)</f>
        <v>99.999985949040493</v>
      </c>
      <c r="O27" s="75">
        <f>IF(ISBLANK($C$3),Start!O27,MOVE!O27)</f>
        <v>99.999982463665717</v>
      </c>
      <c r="P27" s="75">
        <f>IF(ISBLANK($C$3),Start!P27,MOVE!P27)</f>
        <v>99.999975836678075</v>
      </c>
      <c r="Q27" s="75">
        <f>IF(ISBLANK($C$3),Start!Q27,MOVE!Q27)</f>
        <v>99.999964066134652</v>
      </c>
      <c r="R27" s="75">
        <f>IF(ISBLANK($C$3),Start!R27,MOVE!R27)</f>
        <v>99.999944061207344</v>
      </c>
      <c r="S27" s="75">
        <f>IF(ISBLANK($C$3),Start!S27,MOVE!S27)</f>
        <v>99.999911610896561</v>
      </c>
      <c r="T27" s="75">
        <f>IF(ISBLANK($C$3),Start!T27,MOVE!T27)</f>
        <v>99.999862000559958</v>
      </c>
      <c r="U27" s="75">
        <f>IF(ISBLANK($C$3),Start!U27,MOVE!U27)</f>
        <v>99.999791929273684</v>
      </c>
      <c r="V27" s="75">
        <f>IF(ISBLANK($C$3),Start!V27,MOVE!V27)</f>
        <v>99.999703027478077</v>
      </c>
      <c r="W27" s="75">
        <f>IF(ISBLANK($C$3),Start!W27,MOVE!W27)</f>
        <v>99.999605215406106</v>
      </c>
      <c r="X27" s="75">
        <f>IF(ISBLANK($C$3),Start!X27,MOVE!X27)</f>
        <v>99.999514094881505</v>
      </c>
      <c r="Y27" s="75">
        <f>IF(ISBLANK($C$3),Start!Y27,MOVE!Y27)</f>
        <v>99.999437926440223</v>
      </c>
      <c r="Z27" s="75">
        <f>IF(ISBLANK($C$3),Start!Z27,MOVE!Z27)</f>
        <v>99.999373772975318</v>
      </c>
      <c r="AA27" s="75">
        <f>IF(ISBLANK($C$3),Start!AA27,MOVE!AA27)</f>
        <v>99.999307428881863</v>
      </c>
      <c r="AB27" s="75">
        <f>IF(ISBLANK($C$3),Start!AB27,MOVE!AB27)</f>
        <v>99.999208758550452</v>
      </c>
      <c r="AC27" s="75">
        <f>IF(ISBLANK($C$3),Start!AC27,MOVE!AC27)</f>
        <v>99.999014553608049</v>
      </c>
      <c r="AD27" s="75">
        <f>IF(ISBLANK($C$3),Start!AD27,MOVE!AD27)</f>
        <v>99.998584918741372</v>
      </c>
      <c r="AE27" s="75">
        <f>IF(ISBLANK($C$3),Start!AE27,MOVE!AE27)</f>
        <v>99.997600677238339</v>
      </c>
      <c r="AF27" s="75">
        <f>IF(ISBLANK($C$3),Start!AF27,MOVE!AF27)</f>
        <v>99.995325345386988</v>
      </c>
      <c r="AG27" s="75">
        <f>IF(ISBLANK($C$3),Start!AG27,MOVE!AG27)</f>
        <v>99.990053617841014</v>
      </c>
      <c r="AH27" s="75">
        <f>IF(ISBLANK($C$3),Start!AH27,MOVE!AH27)</f>
        <v>99.977833254258897</v>
      </c>
      <c r="AI27" s="75">
        <f>IF(ISBLANK($C$3),Start!AI27,MOVE!AI27)</f>
        <v>99.949503232291349</v>
      </c>
      <c r="AJ27" s="75">
        <f>IF(ISBLANK($C$3),Start!AJ27,MOVE!AJ27)</f>
        <v>99.883833616531348</v>
      </c>
      <c r="AK27" s="75">
        <f>IF(ISBLANK($C$3),Start!AK27,MOVE!AK27)</f>
        <v>99.731657981481646</v>
      </c>
      <c r="AL27" s="75">
        <f>IF(ISBLANK($C$3),Start!AL27,MOVE!AL27)</f>
        <v>99.379289767738058</v>
      </c>
      <c r="AM27" s="75">
        <f>IF(ISBLANK($C$3),Start!AM27,MOVE!AM27)</f>
        <v>98.564812698843852</v>
      </c>
      <c r="AN27" s="75">
        <f>IF(ISBLANK($C$3),Start!AN27,MOVE!AN27)</f>
        <v>96.689943175844249</v>
      </c>
      <c r="AO27" s="75">
        <f>IF(ISBLANK($C$3),Start!AO27,MOVE!AO27)</f>
        <v>92.415274520916512</v>
      </c>
      <c r="AP27" s="75">
        <f>IF(ISBLANK($C$3),Start!AP27,MOVE!AP27)</f>
        <v>82.8841085499797</v>
      </c>
      <c r="AQ27" s="94">
        <f>IF(ISBLANK($C$3),Start!AQ27,MOVE!AQ27)</f>
        <v>62.713747091880357</v>
      </c>
      <c r="AR27" s="92">
        <f>IF(ISBLANK($C$3),Start!AR27,MOVE!AR27)</f>
        <v>25.006129266760666</v>
      </c>
      <c r="AS27" s="86">
        <f>IF(ISBLANK($C$3),Start!AS27,MOVE!AS27)</f>
        <v>15.442015558385574</v>
      </c>
      <c r="AT27" s="86">
        <f>IF(ISBLANK($C$3),Start!AT27,MOVE!AT27)</f>
        <v>12.180624125420211</v>
      </c>
      <c r="AU27" s="86">
        <f>IF(ISBLANK($C$3),Start!AU27,MOVE!AU27)</f>
        <v>10.911357000866664</v>
      </c>
      <c r="AV27" s="86">
        <f>IF(ISBLANK($C$3),Start!AV27,MOVE!AV27)</f>
        <v>10.387911441036264</v>
      </c>
      <c r="AW27" s="86">
        <f>IF(ISBLANK($C$3),Start!AW27,MOVE!AW27)</f>
        <v>10.166689752281027</v>
      </c>
      <c r="AX27" s="86">
        <f>IF(ISBLANK($C$3),Start!AX27,MOVE!AX27)</f>
        <v>10.072569805382155</v>
      </c>
      <c r="AY27" s="87">
        <f>IF(ISBLANK($C$3),Start!AY27,MOVE!AY27)</f>
        <v>10.033269577330447</v>
      </c>
      <c r="AZ27" s="72">
        <f>IF(ISBLANK($C$3),Start!AZ27,MOVE!AZ27)</f>
        <v>10.018999468948063</v>
      </c>
      <c r="BA27" s="165">
        <v>9</v>
      </c>
      <c r="BB27" s="174">
        <v>1963</v>
      </c>
      <c r="BC27" s="175">
        <v>8</v>
      </c>
      <c r="BD27" s="176">
        <v>240</v>
      </c>
      <c r="BE27" s="122" t="s">
        <v>60</v>
      </c>
      <c r="BF27" s="200" t="str">
        <f t="shared" si="0"/>
        <v>Wait</v>
      </c>
      <c r="BG27" s="168" t="str">
        <f>IF($C$5&lt;$BD27,"Wait",IF($C$5=$BD27,MOVE!$M$10,BG27))</f>
        <v>Wait</v>
      </c>
      <c r="BH27" s="158" t="str">
        <f>IF($C$5&lt;$BD27,"Wait",IF($C$5=$BD27,MOVE!$J$6,BH27))</f>
        <v>Wait</v>
      </c>
      <c r="BI27" s="158" t="str">
        <f>IF($C$5&lt;$BD27,"Wait",IF($C$5=$BD27,MOVE!$J$16,BI27))</f>
        <v>Wait</v>
      </c>
      <c r="BJ27" s="158" t="str">
        <f>IF($C$5&lt;$BD27,"Wait",IF($C$5=$BD27,MOVE!$J$14,BJ27))</f>
        <v>Wait</v>
      </c>
      <c r="BK27" s="262" t="str">
        <f>IF($C$5&lt;$BD27,"Wait",IF($C$5=$BD27,MOVE!$J$15,BK27))</f>
        <v>Wait</v>
      </c>
      <c r="BN27" s="207" t="str">
        <f>IF($C$5&lt;$BD27,"Wait",IF($C$5=$BD27,MOVE!$C$6,BN27))</f>
        <v>Wait</v>
      </c>
      <c r="BO27" s="167" t="str">
        <f>IF($C$5&lt;$BD27,"Wait",IF($C$5=$BD27,MOVE!$F$12,BO27))</f>
        <v>Wait</v>
      </c>
      <c r="BP27" s="158" t="str">
        <f>IF($C$5&lt;$BD27,"Wait",IF($C$5=$BD27,MOVE!$X$6,BP27))</f>
        <v>Wait</v>
      </c>
      <c r="BQ27" s="262" t="str">
        <f>IF($C$5&lt;$BD27,"Wait",IF($C$5=$BD27,MOVE!$AA$12,BQ27))</f>
        <v>Wait</v>
      </c>
    </row>
    <row r="28" spans="2:165" ht="12.75" customHeight="1" x14ac:dyDescent="0.2">
      <c r="B28" s="34">
        <v>10</v>
      </c>
      <c r="C28" s="72">
        <f>IF(ISBLANK($C$3),Start!C28,MOVE!C28)</f>
        <v>99.999985858070019</v>
      </c>
      <c r="D28" s="74">
        <f>IF(ISBLANK($C$3),Start!D28,MOVE!D28)</f>
        <v>99.99998398484658</v>
      </c>
      <c r="E28" s="75">
        <f>IF(ISBLANK($C$3),Start!E28,MOVE!E28)</f>
        <v>99.999980131245096</v>
      </c>
      <c r="F28" s="75">
        <f>IF(ISBLANK($C$3),Start!F28,MOVE!K28)</f>
        <v>99.999973949089608</v>
      </c>
      <c r="G28" s="75">
        <f>IF(ISBLANK($C$3),Start!G28,MOVE!L28)</f>
        <v>99.999976295486064</v>
      </c>
      <c r="H28" s="75">
        <f>IF(ISBLANK($C$3),Start!H28,MOVE!M28)</f>
        <v>99.999976287012188</v>
      </c>
      <c r="I28" s="75">
        <f>IF(ISBLANK($C$3),Start!I28,MOVE!N28)</f>
        <v>99.999973935314614</v>
      </c>
      <c r="J28" s="75">
        <f>IF(ISBLANK($C$3),Start!J28,MOVE!O28)</f>
        <v>99.999968360889127</v>
      </c>
      <c r="K28" s="75">
        <f>IF(ISBLANK($C$3),Start!K28,MOVE!K28)</f>
        <v>99.999973949089608</v>
      </c>
      <c r="L28" s="75">
        <f>IF(ISBLANK($C$3),Start!L28,MOVE!L28)</f>
        <v>99.999976295486064</v>
      </c>
      <c r="M28" s="75">
        <f>IF(ISBLANK($C$3),Start!M28,MOVE!M28)</f>
        <v>99.999976287012188</v>
      </c>
      <c r="N28" s="75">
        <f>IF(ISBLANK($C$3),Start!N28,MOVE!N28)</f>
        <v>99.999973935314614</v>
      </c>
      <c r="O28" s="75">
        <f>IF(ISBLANK($C$3),Start!O28,MOVE!O28)</f>
        <v>99.999968360889127</v>
      </c>
      <c r="P28" s="75">
        <f>IF(ISBLANK($C$3),Start!P28,MOVE!P28)</f>
        <v>99.999957501829272</v>
      </c>
      <c r="Q28" s="75">
        <f>IF(ISBLANK($C$3),Start!Q28,MOVE!Q28)</f>
        <v>99.999937559049613</v>
      </c>
      <c r="R28" s="75">
        <f>IF(ISBLANK($C$3),Start!R28,MOVE!R28)</f>
        <v>99.999902250814799</v>
      </c>
      <c r="S28" s="75">
        <f>IF(ISBLANK($C$3),Start!S28,MOVE!S28)</f>
        <v>99.999842210916015</v>
      </c>
      <c r="T28" s="75">
        <f>IF(ISBLANK($C$3),Start!T28,MOVE!T28)</f>
        <v>99.999745501840934</v>
      </c>
      <c r="U28" s="75">
        <f>IF(ISBLANK($C$3),Start!U28,MOVE!U28)</f>
        <v>99.999601269097226</v>
      </c>
      <c r="V28" s="75">
        <f>IF(ISBLANK($C$3),Start!V28,MOVE!V28)</f>
        <v>99.999409089106038</v>
      </c>
      <c r="W28" s="75">
        <f>IF(ISBLANK($C$3),Start!W28,MOVE!W28)</f>
        <v>99.999192440104238</v>
      </c>
      <c r="X28" s="75">
        <f>IF(ISBLANK($C$3),Start!X28,MOVE!X28)</f>
        <v>99.998998038595175</v>
      </c>
      <c r="Y28" s="75">
        <f>IF(ISBLANK($C$3),Start!Y28,MOVE!Y28)</f>
        <v>99.998847706757928</v>
      </c>
      <c r="Z28" s="75">
        <f>IF(ISBLANK($C$3),Start!Z28,MOVE!Z28)</f>
        <v>99.99873645727331</v>
      </c>
      <c r="AA28" s="75">
        <f>IF(ISBLANK($C$3),Start!AA28,MOVE!AA28)</f>
        <v>99.99864253108008</v>
      </c>
      <c r="AB28" s="75">
        <f>IF(ISBLANK($C$3),Start!AB28,MOVE!AB28)</f>
        <v>99.998528561798025</v>
      </c>
      <c r="AC28" s="75">
        <f>IF(ISBLANK($C$3),Start!AC28,MOVE!AC28)</f>
        <v>99.998326162781964</v>
      </c>
      <c r="AD28" s="75">
        <f>IF(ISBLANK($C$3),Start!AD28,MOVE!AD28)</f>
        <v>99.997892196555966</v>
      </c>
      <c r="AE28" s="75">
        <f>IF(ISBLANK($C$3),Start!AE28,MOVE!AE28)</f>
        <v>99.99690558716118</v>
      </c>
      <c r="AF28" s="75">
        <f>IF(ISBLANK($C$3),Start!AF28,MOVE!AF28)</f>
        <v>99.994628743613404</v>
      </c>
      <c r="AG28" s="75">
        <f>IF(ISBLANK($C$3),Start!AG28,MOVE!AG28)</f>
        <v>99.989355644693575</v>
      </c>
      <c r="AH28" s="75">
        <f>IF(ISBLANK($C$3),Start!AH28,MOVE!AH28)</f>
        <v>99.977133443556355</v>
      </c>
      <c r="AI28" s="75">
        <f>IF(ISBLANK($C$3),Start!AI28,MOVE!AI28)</f>
        <v>99.948800399886167</v>
      </c>
      <c r="AJ28" s="75">
        <f>IF(ISBLANK($C$3),Start!AJ28,MOVE!AJ28)</f>
        <v>99.883125549673693</v>
      </c>
      <c r="AK28" s="75">
        <f>IF(ISBLANK($C$3),Start!AK28,MOVE!AK28)</f>
        <v>99.7309409631129</v>
      </c>
      <c r="AL28" s="75">
        <f>IF(ISBLANK($C$3),Start!AL28,MOVE!AL28)</f>
        <v>99.378558111387377</v>
      </c>
      <c r="AM28" s="75">
        <f>IF(ISBLANK($C$3),Start!AM28,MOVE!AM28)</f>
        <v>98.564058940260452</v>
      </c>
      <c r="AN28" s="75">
        <f>IF(ISBLANK($C$3),Start!AN28,MOVE!AN28)</f>
        <v>96.689160846920743</v>
      </c>
      <c r="AO28" s="75">
        <f>IF(ISBLANK($C$3),Start!AO28,MOVE!AO28)</f>
        <v>92.414468506283953</v>
      </c>
      <c r="AP28" s="75">
        <f>IF(ISBLANK($C$3),Start!AP28,MOVE!AP28)</f>
        <v>82.883323874451037</v>
      </c>
      <c r="AQ28" s="94">
        <f>IF(ISBLANK($C$3),Start!AQ28,MOVE!AQ28)</f>
        <v>62.71312917096833</v>
      </c>
      <c r="AR28" s="92">
        <f>IF(ISBLANK($C$3),Start!AR28,MOVE!AR28)</f>
        <v>25.00597260369133</v>
      </c>
      <c r="AS28" s="86">
        <f>IF(ISBLANK($C$3),Start!AS28,MOVE!AS28)</f>
        <v>15.441952077890749</v>
      </c>
      <c r="AT28" s="86">
        <f>IF(ISBLANK($C$3),Start!AT28,MOVE!AT28)</f>
        <v>12.180592503135468</v>
      </c>
      <c r="AU28" s="86">
        <f>IF(ISBLANK($C$3),Start!AU28,MOVE!AU28)</f>
        <v>10.911339842117698</v>
      </c>
      <c r="AV28" s="86">
        <f>IF(ISBLANK($C$3),Start!AV28,MOVE!AV28)</f>
        <v>10.387901410610869</v>
      </c>
      <c r="AW28" s="86">
        <f>IF(ISBLANK($C$3),Start!AW28,MOVE!AW28)</f>
        <v>10.166682995579428</v>
      </c>
      <c r="AX28" s="86">
        <f>IF(ISBLANK($C$3),Start!AX28,MOVE!AX28)</f>
        <v>10.072564179076318</v>
      </c>
      <c r="AY28" s="87">
        <f>IF(ISBLANK($C$3),Start!AY28,MOVE!AY28)</f>
        <v>10.033264019972128</v>
      </c>
      <c r="AZ28" s="72">
        <f>IF(ISBLANK($C$3),Start!AZ28,MOVE!AZ28)</f>
        <v>10.018993706063171</v>
      </c>
      <c r="BA28" s="165">
        <v>10</v>
      </c>
      <c r="BB28" s="120"/>
      <c r="BC28" s="175">
        <v>9</v>
      </c>
      <c r="BD28" s="176">
        <v>270</v>
      </c>
      <c r="BE28" s="122" t="s">
        <v>61</v>
      </c>
      <c r="BF28" s="200" t="str">
        <f t="shared" si="0"/>
        <v>Wait</v>
      </c>
      <c r="BG28" s="168" t="str">
        <f>IF($C$5&lt;$BD28,"Wait",IF($C$5=$BD28,MOVE!$M$10,BG28))</f>
        <v>Wait</v>
      </c>
      <c r="BH28" s="158" t="str">
        <f>IF($C$5&lt;$BD28,"Wait",IF($C$5=$BD28,MOVE!$J$6,BH28))</f>
        <v>Wait</v>
      </c>
      <c r="BI28" s="158" t="str">
        <f>IF($C$5&lt;$BD28,"Wait",IF($C$5=$BD28,MOVE!$J$16,BI28))</f>
        <v>Wait</v>
      </c>
      <c r="BJ28" s="158" t="str">
        <f>IF($C$5&lt;$BD28,"Wait",IF($C$5=$BD28,MOVE!$J$14,BJ28))</f>
        <v>Wait</v>
      </c>
      <c r="BK28" s="262" t="str">
        <f>IF($C$5&lt;$BD28,"Wait",IF($C$5=$BD28,MOVE!$J$15,BK28))</f>
        <v>Wait</v>
      </c>
      <c r="BN28" s="207" t="str">
        <f>IF($C$5&lt;$BD28,"Wait",IF($C$5=$BD28,MOVE!$C$6,BN28))</f>
        <v>Wait</v>
      </c>
      <c r="BO28" s="167" t="str">
        <f>IF($C$5&lt;$BD28,"Wait",IF($C$5=$BD28,MOVE!$F$12,BO28))</f>
        <v>Wait</v>
      </c>
      <c r="BP28" s="158" t="str">
        <f>IF($C$5&lt;$BD28,"Wait",IF($C$5=$BD28,MOVE!$X$6,BP28))</f>
        <v>Wait</v>
      </c>
      <c r="BQ28" s="262" t="str">
        <f>IF($C$5&lt;$BD28,"Wait",IF($C$5=$BD28,MOVE!$AA$12,BQ28))</f>
        <v>Wait</v>
      </c>
    </row>
    <row r="29" spans="2:165" x14ac:dyDescent="0.2">
      <c r="B29" s="34">
        <v>11</v>
      </c>
      <c r="C29" s="72">
        <f>IF(ISBLANK($C$3),Start!C29,MOVE!C29)</f>
        <v>99.999973397639835</v>
      </c>
      <c r="D29" s="74">
        <f>IF(ISBLANK($C$3),Start!D29,MOVE!D29)</f>
        <v>99.999969754873646</v>
      </c>
      <c r="E29" s="75">
        <f>IF(ISBLANK($C$3),Start!E29,MOVE!E29)</f>
        <v>99.999962434932101</v>
      </c>
      <c r="F29" s="75">
        <f>IF(ISBLANK($C$3),Start!F29,MOVE!K29)</f>
        <v>99.999951163564489</v>
      </c>
      <c r="G29" s="75">
        <f>IF(ISBLANK($C$3),Start!G29,MOVE!L29)</f>
        <v>99.999954724802222</v>
      </c>
      <c r="H29" s="75">
        <f>IF(ISBLANK($C$3),Start!H29,MOVE!M29)</f>
        <v>99.999954694231803</v>
      </c>
      <c r="I29" s="75">
        <f>IF(ISBLANK($C$3),Start!I29,MOVE!N29)</f>
        <v>99.99995111371986</v>
      </c>
      <c r="J29" s="75">
        <f>IF(ISBLANK($C$3),Start!J29,MOVE!O29)</f>
        <v>99.999942566740827</v>
      </c>
      <c r="K29" s="75">
        <f>IF(ISBLANK($C$3),Start!K29,MOVE!K29)</f>
        <v>99.999951163564489</v>
      </c>
      <c r="L29" s="75">
        <f>IF(ISBLANK($C$3),Start!L29,MOVE!L29)</f>
        <v>99.999954724802222</v>
      </c>
      <c r="M29" s="75">
        <f>IF(ISBLANK($C$3),Start!M29,MOVE!M29)</f>
        <v>99.999954694231803</v>
      </c>
      <c r="N29" s="75">
        <f>IF(ISBLANK($C$3),Start!N29,MOVE!N29)</f>
        <v>99.99995111371986</v>
      </c>
      <c r="O29" s="75">
        <f>IF(ISBLANK($C$3),Start!O29,MOVE!O29)</f>
        <v>99.999942566740827</v>
      </c>
      <c r="P29" s="75">
        <f>IF(ISBLANK($C$3),Start!P29,MOVE!P29)</f>
        <v>99.999925561271723</v>
      </c>
      <c r="Q29" s="75">
        <f>IF(ISBLANK($C$3),Start!Q29,MOVE!Q29)</f>
        <v>99.999893287106332</v>
      </c>
      <c r="R29" s="75">
        <f>IF(ISBLANK($C$3),Start!R29,MOVE!R29)</f>
        <v>99.99983365203596</v>
      </c>
      <c r="S29" s="75">
        <f>IF(ISBLANK($C$3),Start!S29,MOVE!S29)</f>
        <v>99.99972684875695</v>
      </c>
      <c r="T29" s="75">
        <f>IF(ISBLANK($C$3),Start!T29,MOVE!T29)</f>
        <v>99.999544023320269</v>
      </c>
      <c r="U29" s="75">
        <f>IF(ISBLANK($C$3),Start!U29,MOVE!U29)</f>
        <v>99.999251983972115</v>
      </c>
      <c r="V29" s="75">
        <f>IF(ISBLANK($C$3),Start!V29,MOVE!V29)</f>
        <v>99.998834650121111</v>
      </c>
      <c r="W29" s="75">
        <f>IF(ISBLANK($C$3),Start!W29,MOVE!W29)</f>
        <v>99.998341566472419</v>
      </c>
      <c r="X29" s="75">
        <f>IF(ISBLANK($C$3),Start!X29,MOVE!X29)</f>
        <v>99.997922004906385</v>
      </c>
      <c r="Y29" s="75">
        <f>IF(ISBLANK($C$3),Start!Y29,MOVE!Y29)</f>
        <v>99.997623864189478</v>
      </c>
      <c r="Z29" s="75">
        <f>IF(ISBLANK($C$3),Start!Z29,MOVE!Z29)</f>
        <v>99.997426511259732</v>
      </c>
      <c r="AA29" s="75">
        <f>IF(ISBLANK($C$3),Start!AA29,MOVE!AA29)</f>
        <v>99.997285855347883</v>
      </c>
      <c r="AB29" s="75">
        <f>IF(ISBLANK($C$3),Start!AB29,MOVE!AB29)</f>
        <v>99.997147607803726</v>
      </c>
      <c r="AC29" s="75">
        <f>IF(ISBLANK($C$3),Start!AC29,MOVE!AC29)</f>
        <v>99.996932913264217</v>
      </c>
      <c r="AD29" s="75">
        <f>IF(ISBLANK($C$3),Start!AD29,MOVE!AD29)</f>
        <v>99.996492753704644</v>
      </c>
      <c r="AE29" s="75">
        <f>IF(ISBLANK($C$3),Start!AE29,MOVE!AE29)</f>
        <v>99.995502893465954</v>
      </c>
      <c r="AF29" s="75">
        <f>IF(ISBLANK($C$3),Start!AF29,MOVE!AF29)</f>
        <v>99.99322402665419</v>
      </c>
      <c r="AG29" s="75">
        <f>IF(ISBLANK($C$3),Start!AG29,MOVE!AG29)</f>
        <v>99.987949081823729</v>
      </c>
      <c r="AH29" s="75">
        <f>IF(ISBLANK($C$3),Start!AH29,MOVE!AH29)</f>
        <v>99.975724338757431</v>
      </c>
      <c r="AI29" s="75">
        <f>IF(ISBLANK($C$3),Start!AI29,MOVE!AI29)</f>
        <v>99.947387002534612</v>
      </c>
      <c r="AJ29" s="75">
        <f>IF(ISBLANK($C$3),Start!AJ29,MOVE!AJ29)</f>
        <v>99.881704550161459</v>
      </c>
      <c r="AK29" s="75">
        <f>IF(ISBLANK($C$3),Start!AK29,MOVE!AK29)</f>
        <v>99.729506706192112</v>
      </c>
      <c r="AL29" s="75">
        <f>IF(ISBLANK($C$3),Start!AL29,MOVE!AL29)</f>
        <v>99.377101803667543</v>
      </c>
      <c r="AM29" s="75">
        <f>IF(ISBLANK($C$3),Start!AM29,MOVE!AM29)</f>
        <v>98.562568969387186</v>
      </c>
      <c r="AN29" s="75">
        <f>IF(ISBLANK($C$3),Start!AN29,MOVE!AN29)</f>
        <v>96.687627716371267</v>
      </c>
      <c r="AO29" s="75">
        <f>IF(ISBLANK($C$3),Start!AO29,MOVE!AO29)</f>
        <v>92.412903781794157</v>
      </c>
      <c r="AP29" s="75">
        <f>IF(ISBLANK($C$3),Start!AP29,MOVE!AP29)</f>
        <v>82.881813900771832</v>
      </c>
      <c r="AQ29" s="94">
        <f>IF(ISBLANK($C$3),Start!AQ29,MOVE!AQ29)</f>
        <v>62.711948712648116</v>
      </c>
      <c r="AR29" s="92">
        <f>IF(ISBLANK($C$3),Start!AR29,MOVE!AR29)</f>
        <v>25.005676242600593</v>
      </c>
      <c r="AS29" s="86">
        <f>IF(ISBLANK($C$3),Start!AS29,MOVE!AS29)</f>
        <v>15.441835997967425</v>
      </c>
      <c r="AT29" s="86">
        <f>IF(ISBLANK($C$3),Start!AT29,MOVE!AT29)</f>
        <v>12.180537904723314</v>
      </c>
      <c r="AU29" s="86">
        <f>IF(ISBLANK($C$3),Start!AU29,MOVE!AU29)</f>
        <v>10.911312457851842</v>
      </c>
      <c r="AV29" s="86">
        <f>IF(ISBLANK($C$3),Start!AV29,MOVE!AV29)</f>
        <v>10.387887223750827</v>
      </c>
      <c r="AW29" s="86">
        <f>IF(ISBLANK($C$3),Start!AW29,MOVE!AW29)</f>
        <v>10.166675225352423</v>
      </c>
      <c r="AX29" s="86">
        <f>IF(ISBLANK($C$3),Start!AX29,MOVE!AX29)</f>
        <v>10.072559373004381</v>
      </c>
      <c r="AY29" s="87">
        <f>IF(ISBLANK($C$3),Start!AY29,MOVE!AY29)</f>
        <v>10.033260443013885</v>
      </c>
      <c r="AZ29" s="72">
        <f>IF(ISBLANK($C$3),Start!AZ29,MOVE!AZ29)</f>
        <v>10.018990535847303</v>
      </c>
      <c r="BA29" s="165">
        <v>11</v>
      </c>
      <c r="BB29" s="120"/>
      <c r="BC29" s="175">
        <v>10</v>
      </c>
      <c r="BD29" s="176">
        <v>300</v>
      </c>
      <c r="BE29" s="122" t="s">
        <v>62</v>
      </c>
      <c r="BF29" s="200" t="str">
        <f t="shared" si="0"/>
        <v>Wait</v>
      </c>
      <c r="BG29" s="168" t="str">
        <f>IF($C$5&lt;$BD29,"Wait",IF($C$5=$BD29,MOVE!$M$10,BG29))</f>
        <v>Wait</v>
      </c>
      <c r="BH29" s="158" t="str">
        <f>IF($C$5&lt;$BD29,"Wait",IF($C$5=$BD29,MOVE!$J$6,BH29))</f>
        <v>Wait</v>
      </c>
      <c r="BI29" s="158" t="str">
        <f>IF($C$5&lt;$BD29,"Wait",IF($C$5=$BD29,MOVE!$J$16,BI29))</f>
        <v>Wait</v>
      </c>
      <c r="BJ29" s="158" t="str">
        <f>IF($C$5&lt;$BD29,"Wait",IF($C$5=$BD29,MOVE!$J$14,BJ29))</f>
        <v>Wait</v>
      </c>
      <c r="BK29" s="262" t="str">
        <f>IF($C$5&lt;$BD29,"Wait",IF($C$5=$BD29,MOVE!$J$15,BK29))</f>
        <v>Wait</v>
      </c>
      <c r="BN29" s="207" t="str">
        <f>IF($C$5&lt;$BD29,"Wait",IF($C$5=$BD29,MOVE!$C$6,BN29))</f>
        <v>Wait</v>
      </c>
      <c r="BO29" s="167" t="str">
        <f>IF($C$5&lt;$BD29,"Wait",IF($C$5=$BD29,MOVE!$F$12,BO29))</f>
        <v>Wait</v>
      </c>
      <c r="BP29" s="158" t="str">
        <f>IF($C$5&lt;$BD29,"Wait",IF($C$5=$BD29,MOVE!$X$6,BP29))</f>
        <v>Wait</v>
      </c>
      <c r="BQ29" s="262" t="str">
        <f>IF($C$5&lt;$BD29,"Wait",IF($C$5=$BD29,MOVE!$AA$12,BQ29))</f>
        <v>Wait</v>
      </c>
    </row>
    <row r="30" spans="2:165" x14ac:dyDescent="0.2">
      <c r="B30" s="34">
        <v>12</v>
      </c>
      <c r="C30" s="72">
        <f>IF(ISBLANK($C$3),Start!C30,MOVE!C30)</f>
        <v>99.999950119711002</v>
      </c>
      <c r="D30" s="74">
        <f>IF(ISBLANK($C$3),Start!D30,MOVE!D30)</f>
        <v>99.999942819354075</v>
      </c>
      <c r="E30" s="75">
        <f>IF(ISBLANK($C$3),Start!E30,MOVE!E30)</f>
        <v>99.999928444821691</v>
      </c>
      <c r="F30" s="75">
        <f>IF(ISBLANK($C$3),Start!F30,MOVE!K30)</f>
        <v>99.999907223307218</v>
      </c>
      <c r="G30" s="75">
        <f>IF(ISBLANK($C$3),Start!G30,MOVE!L30)</f>
        <v>99.999912436533407</v>
      </c>
      <c r="H30" s="75">
        <f>IF(ISBLANK($C$3),Start!H30,MOVE!M30)</f>
        <v>99.999912326462038</v>
      </c>
      <c r="I30" s="75">
        <f>IF(ISBLANK($C$3),Start!I30,MOVE!N30)</f>
        <v>99.999907042943235</v>
      </c>
      <c r="J30" s="75">
        <f>IF(ISBLANK($C$3),Start!J30,MOVE!O30)</f>
        <v>99.999894514551897</v>
      </c>
      <c r="K30" s="75">
        <f>IF(ISBLANK($C$3),Start!K30,MOVE!K30)</f>
        <v>99.999907223307218</v>
      </c>
      <c r="L30" s="75">
        <f>IF(ISBLANK($C$3),Start!L30,MOVE!L30)</f>
        <v>99.999912436533407</v>
      </c>
      <c r="M30" s="75">
        <f>IF(ISBLANK($C$3),Start!M30,MOVE!M30)</f>
        <v>99.999912326462038</v>
      </c>
      <c r="N30" s="75">
        <f>IF(ISBLANK($C$3),Start!N30,MOVE!N30)</f>
        <v>99.999907042943235</v>
      </c>
      <c r="O30" s="75">
        <f>IF(ISBLANK($C$3),Start!O30,MOVE!O30)</f>
        <v>99.999894514551897</v>
      </c>
      <c r="P30" s="75">
        <f>IF(ISBLANK($C$3),Start!P30,MOVE!P30)</f>
        <v>99.999869257579761</v>
      </c>
      <c r="Q30" s="75">
        <f>IF(ISBLANK($C$3),Start!Q30,MOVE!Q30)</f>
        <v>99.999819914348421</v>
      </c>
      <c r="R30" s="75">
        <f>IF(ISBLANK($C$3),Start!R30,MOVE!R30)</f>
        <v>99.99972483790124</v>
      </c>
      <c r="S30" s="75">
        <f>IF(ISBLANK($C$3),Start!S30,MOVE!S30)</f>
        <v>99.999545059710243</v>
      </c>
      <c r="T30" s="75">
        <f>IF(ISBLANK($C$3),Start!T30,MOVE!T30)</f>
        <v>99.999215564919268</v>
      </c>
      <c r="U30" s="75">
        <f>IF(ISBLANK($C$3),Start!U30,MOVE!U30)</f>
        <v>99.998642808155495</v>
      </c>
      <c r="V30" s="75">
        <f>IF(ISBLANK($C$3),Start!V30,MOVE!V30)</f>
        <v>99.997738734584331</v>
      </c>
      <c r="W30" s="75">
        <f>IF(ISBLANK($C$3),Start!W30,MOVE!W30)</f>
        <v>99.996569892064088</v>
      </c>
      <c r="X30" s="75">
        <f>IF(ISBLANK($C$3),Start!X30,MOVE!X30)</f>
        <v>99.995663576760322</v>
      </c>
      <c r="Y30" s="75">
        <f>IF(ISBLANK($C$3),Start!Y30,MOVE!Y30)</f>
        <v>99.995084715808801</v>
      </c>
      <c r="Z30" s="75">
        <f>IF(ISBLANK($C$3),Start!Z30,MOVE!Z30)</f>
        <v>99.994740729129418</v>
      </c>
      <c r="AA30" s="75">
        <f>IF(ISBLANK($C$3),Start!AA30,MOVE!AA30)</f>
        <v>99.994527190445325</v>
      </c>
      <c r="AB30" s="75">
        <f>IF(ISBLANK($C$3),Start!AB30,MOVE!AB30)</f>
        <v>99.994353654087817</v>
      </c>
      <c r="AC30" s="75">
        <f>IF(ISBLANK($C$3),Start!AC30,MOVE!AC30)</f>
        <v>99.994122078864308</v>
      </c>
      <c r="AD30" s="75">
        <f>IF(ISBLANK($C$3),Start!AD30,MOVE!AD30)</f>
        <v>99.99367380534288</v>
      </c>
      <c r="AE30" s="75">
        <f>IF(ISBLANK($C$3),Start!AE30,MOVE!AE30)</f>
        <v>99.992679841727778</v>
      </c>
      <c r="AF30" s="75">
        <f>IF(ISBLANK($C$3),Start!AF30,MOVE!AF30)</f>
        <v>99.990398470360105</v>
      </c>
      <c r="AG30" s="75">
        <f>IF(ISBLANK($C$3),Start!AG30,MOVE!AG30)</f>
        <v>99.985121213316006</v>
      </c>
      <c r="AH30" s="75">
        <f>IF(ISBLANK($C$3),Start!AH30,MOVE!AH30)</f>
        <v>99.972893196452162</v>
      </c>
      <c r="AI30" s="75">
        <f>IF(ISBLANK($C$3),Start!AI30,MOVE!AI30)</f>
        <v>99.94455020325465</v>
      </c>
      <c r="AJ30" s="75">
        <f>IF(ISBLANK($C$3),Start!AJ30,MOVE!AJ30)</f>
        <v>99.878857554403993</v>
      </c>
      <c r="AK30" s="75">
        <f>IF(ISBLANK($C$3),Start!AK30,MOVE!AK30)</f>
        <v>99.726641668087154</v>
      </c>
      <c r="AL30" s="75">
        <f>IF(ISBLANK($C$3),Start!AL30,MOVE!AL30)</f>
        <v>99.374206437988803</v>
      </c>
      <c r="AM30" s="75">
        <f>IF(ISBLANK($C$3),Start!AM30,MOVE!AM30)</f>
        <v>98.559627304642731</v>
      </c>
      <c r="AN30" s="75">
        <f>IF(ISBLANK($C$3),Start!AN30,MOVE!AN30)</f>
        <v>96.684628879008585</v>
      </c>
      <c r="AO30" s="75">
        <f>IF(ISBLANK($C$3),Start!AO30,MOVE!AO30)</f>
        <v>92.409875977943415</v>
      </c>
      <c r="AP30" s="75">
        <f>IF(ISBLANK($C$3),Start!AP30,MOVE!AP30)</f>
        <v>82.878922878688584</v>
      </c>
      <c r="AQ30" s="94">
        <f>IF(ISBLANK($C$3),Start!AQ30,MOVE!AQ30)</f>
        <v>62.709710148853183</v>
      </c>
      <c r="AR30" s="92">
        <f>IF(ISBLANK($C$3),Start!AR30,MOVE!AR30)</f>
        <v>25.005125900480206</v>
      </c>
      <c r="AS30" s="86">
        <f>IF(ISBLANK($C$3),Start!AS30,MOVE!AS30)</f>
        <v>15.441632078702119</v>
      </c>
      <c r="AT30" s="86">
        <f>IF(ISBLANK($C$3),Start!AT30,MOVE!AT30)</f>
        <v>12.180448722529748</v>
      </c>
      <c r="AU30" s="86">
        <f>IF(ISBLANK($C$3),Start!AU30,MOVE!AU30)</f>
        <v>10.911270943194248</v>
      </c>
      <c r="AV30" s="86">
        <f>IF(ISBLANK($C$3),Start!AV30,MOVE!AV30)</f>
        <v>10.387867352091563</v>
      </c>
      <c r="AW30" s="86">
        <f>IF(ISBLANK($C$3),Start!AW30,MOVE!AW30)</f>
        <v>10.166665434429378</v>
      </c>
      <c r="AX30" s="86">
        <f>IF(ISBLANK($C$3),Start!AX30,MOVE!AX30)</f>
        <v>10.072554242790172</v>
      </c>
      <c r="AY30" s="87">
        <f>IF(ISBLANK($C$3),Start!AY30,MOVE!AY30)</f>
        <v>10.033257375522586</v>
      </c>
      <c r="AZ30" s="72">
        <f>IF(ISBLANK($C$3),Start!AZ30,MOVE!AZ30)</f>
        <v>10.018988239133337</v>
      </c>
      <c r="BA30" s="165">
        <v>12</v>
      </c>
      <c r="BB30" s="120"/>
      <c r="BC30" s="175">
        <v>11</v>
      </c>
      <c r="BD30" s="176">
        <v>330</v>
      </c>
      <c r="BE30" s="122" t="s">
        <v>63</v>
      </c>
      <c r="BF30" s="200" t="str">
        <f t="shared" si="0"/>
        <v>Wait</v>
      </c>
      <c r="BG30" s="168" t="str">
        <f>IF($C$5&lt;$BD30,"Wait",IF($C$5=$BD30,MOVE!$M$10,BG30))</f>
        <v>Wait</v>
      </c>
      <c r="BH30" s="158" t="str">
        <f>IF($C$5&lt;$BD30,"Wait",IF($C$5=$BD30,MOVE!$J$6,BH30))</f>
        <v>Wait</v>
      </c>
      <c r="BI30" s="158" t="str">
        <f>IF($C$5&lt;$BD30,"Wait",IF($C$5=$BD30,MOVE!$J$16,BI30))</f>
        <v>Wait</v>
      </c>
      <c r="BJ30" s="158" t="str">
        <f>IF($C$5&lt;$BD30,"Wait",IF($C$5=$BD30,MOVE!$J$14,BJ30))</f>
        <v>Wait</v>
      </c>
      <c r="BK30" s="262" t="str">
        <f>IF($C$5&lt;$BD30,"Wait",IF($C$5=$BD30,MOVE!$J$15,BK30))</f>
        <v>Wait</v>
      </c>
      <c r="BN30" s="207" t="str">
        <f>IF($C$5&lt;$BD30,"Wait",IF($C$5=$BD30,MOVE!$C$6,BN30))</f>
        <v>Wait</v>
      </c>
      <c r="BO30" s="167" t="str">
        <f>IF($C$5&lt;$BD30,"Wait",IF($C$5=$BD30,MOVE!$F$12,BO30))</f>
        <v>Wait</v>
      </c>
      <c r="BP30" s="158" t="str">
        <f>IF($C$5&lt;$BD30,"Wait",IF($C$5=$BD30,MOVE!$X$6,BP30))</f>
        <v>Wait</v>
      </c>
      <c r="BQ30" s="262" t="str">
        <f>IF($C$5&lt;$BD30,"Wait",IF($C$5=$BD30,MOVE!$AA$12,BQ30))</f>
        <v>Wait</v>
      </c>
    </row>
    <row r="31" spans="2:165" x14ac:dyDescent="0.2">
      <c r="B31" s="34">
        <v>13</v>
      </c>
      <c r="C31" s="72">
        <f>IF(ISBLANK($C$3),Start!C31,MOVE!C31)</f>
        <v>99.99990707166917</v>
      </c>
      <c r="D31" s="74">
        <f>IF(ISBLANK($C$3),Start!D31,MOVE!D31)</f>
        <v>99.999892059776627</v>
      </c>
      <c r="E31" s="75">
        <f>IF(ISBLANK($C$3),Start!E31,MOVE!E31)</f>
        <v>99.999862867485945</v>
      </c>
      <c r="F31" s="75">
        <f>IF(ISBLANK($C$3),Start!F31,MOVE!K31)</f>
        <v>99.999821219782731</v>
      </c>
      <c r="G31" s="75">
        <f>IF(ISBLANK($C$3),Start!G31,MOVE!L31)</f>
        <v>99.999828657093033</v>
      </c>
      <c r="H31" s="75">
        <f>IF(ISBLANK($C$3),Start!H31,MOVE!M31)</f>
        <v>99.999828261919959</v>
      </c>
      <c r="I31" s="75">
        <f>IF(ISBLANK($C$3),Start!I31,MOVE!N31)</f>
        <v>99.999820566906592</v>
      </c>
      <c r="J31" s="75">
        <f>IF(ISBLANK($C$3),Start!J31,MOVE!O31)</f>
        <v>99.999802963906546</v>
      </c>
      <c r="K31" s="75">
        <f>IF(ISBLANK($C$3),Start!K31,MOVE!K31)</f>
        <v>99.999821219782731</v>
      </c>
      <c r="L31" s="75">
        <f>IF(ISBLANK($C$3),Start!L31,MOVE!L31)</f>
        <v>99.999828657093033</v>
      </c>
      <c r="M31" s="75">
        <f>IF(ISBLANK($C$3),Start!M31,MOVE!M31)</f>
        <v>99.999828261919959</v>
      </c>
      <c r="N31" s="75">
        <f>IF(ISBLANK($C$3),Start!N31,MOVE!N31)</f>
        <v>99.999820566906592</v>
      </c>
      <c r="O31" s="75">
        <f>IF(ISBLANK($C$3),Start!O31,MOVE!O31)</f>
        <v>99.999802963906546</v>
      </c>
      <c r="P31" s="75">
        <f>IF(ISBLANK($C$3),Start!P31,MOVE!P31)</f>
        <v>99.999767613645858</v>
      </c>
      <c r="Q31" s="75">
        <f>IF(ISBLANK($C$3),Start!Q31,MOVE!Q31)</f>
        <v>99.999697206855743</v>
      </c>
      <c r="R31" s="75">
        <f>IF(ISBLANK($C$3),Start!R31,MOVE!R31)</f>
        <v>99.999556552669347</v>
      </c>
      <c r="S31" s="75">
        <f>IF(ISBLANK($C$3),Start!S31,MOVE!S31)</f>
        <v>99.999276541496442</v>
      </c>
      <c r="T31" s="75">
        <f>IF(ISBLANK($C$3),Start!T31,MOVE!T31)</f>
        <v>99.998725848954493</v>
      </c>
      <c r="U31" s="75">
        <f>IF(ISBLANK($C$3),Start!U31,MOVE!U31)</f>
        <v>99.997669994596436</v>
      </c>
      <c r="V31" s="75">
        <f>IF(ISBLANK($C$3),Start!V31,MOVE!V31)</f>
        <v>99.995756604155574</v>
      </c>
      <c r="W31" s="75">
        <f>IF(ISBLANK($C$3),Start!W31,MOVE!W31)</f>
        <v>99.992797163720965</v>
      </c>
      <c r="X31" s="75">
        <f>IF(ISBLANK($C$3),Start!X31,MOVE!X31)</f>
        <v>99.990881508775345</v>
      </c>
      <c r="Y31" s="75">
        <f>IF(ISBLANK($C$3),Start!Y31,MOVE!Y31)</f>
        <v>99.989819554842839</v>
      </c>
      <c r="Z31" s="75">
        <f>IF(ISBLANK($C$3),Start!Z31,MOVE!Z31)</f>
        <v>99.989254458330038</v>
      </c>
      <c r="AA31" s="75">
        <f>IF(ISBLANK($C$3),Start!AA31,MOVE!AA31)</f>
        <v>99.988940901845069</v>
      </c>
      <c r="AB31" s="75">
        <f>IF(ISBLANK($C$3),Start!AB31,MOVE!AB31)</f>
        <v>99.988722162890681</v>
      </c>
      <c r="AC31" s="75">
        <f>IF(ISBLANK($C$3),Start!AC31,MOVE!AC31)</f>
        <v>99.988470062526261</v>
      </c>
      <c r="AD31" s="75">
        <f>IF(ISBLANK($C$3),Start!AD31,MOVE!AD31)</f>
        <v>99.988012315479509</v>
      </c>
      <c r="AE31" s="75">
        <f>IF(ISBLANK($C$3),Start!AE31,MOVE!AE31)</f>
        <v>99.987013703706651</v>
      </c>
      <c r="AF31" s="75">
        <f>IF(ISBLANK($C$3),Start!AF31,MOVE!AF31)</f>
        <v>99.984729530902044</v>
      </c>
      <c r="AG31" s="75">
        <f>IF(ISBLANK($C$3),Start!AG31,MOVE!AG31)</f>
        <v>99.979449652806366</v>
      </c>
      <c r="AH31" s="75">
        <f>IF(ISBLANK($C$3),Start!AH31,MOVE!AH31)</f>
        <v>99.967217848936556</v>
      </c>
      <c r="AI31" s="75">
        <f>IF(ISBLANK($C$3),Start!AI31,MOVE!AI31)</f>
        <v>99.938868234883472</v>
      </c>
      <c r="AJ31" s="75">
        <f>IF(ISBLANK($C$3),Start!AJ31,MOVE!AJ31)</f>
        <v>99.873163593668039</v>
      </c>
      <c r="AK31" s="75">
        <f>IF(ISBLANK($C$3),Start!AK31,MOVE!AK31)</f>
        <v>99.720926508111205</v>
      </c>
      <c r="AL31" s="75">
        <f>IF(ISBLANK($C$3),Start!AL31,MOVE!AL31)</f>
        <v>99.368456055290949</v>
      </c>
      <c r="AM31" s="75">
        <f>IF(ISBLANK($C$3),Start!AM31,MOVE!AM31)</f>
        <v>98.55382527780317</v>
      </c>
      <c r="AN31" s="75">
        <f>IF(ISBLANK($C$3),Start!AN31,MOVE!AN31)</f>
        <v>96.678772479394922</v>
      </c>
      <c r="AO31" s="75">
        <f>IF(ISBLANK($C$3),Start!AO31,MOVE!AO31)</f>
        <v>92.404035692313855</v>
      </c>
      <c r="AP31" s="75">
        <f>IF(ISBLANK($C$3),Start!AP31,MOVE!AP31)</f>
        <v>82.87341736210017</v>
      </c>
      <c r="AQ31" s="94">
        <f>IF(ISBLANK($C$3),Start!AQ31,MOVE!AQ31)</f>
        <v>62.705498591779666</v>
      </c>
      <c r="AR31" s="92">
        <f>IF(ISBLANK($C$3),Start!AR31,MOVE!AR31)</f>
        <v>25.004146290598769</v>
      </c>
      <c r="AS31" s="86">
        <f>IF(ISBLANK($C$3),Start!AS31,MOVE!AS31)</f>
        <v>15.441302107974762</v>
      </c>
      <c r="AT31" s="86">
        <f>IF(ISBLANK($C$3),Start!AT31,MOVE!AT31)</f>
        <v>12.18031739102431</v>
      </c>
      <c r="AU31" s="86">
        <f>IF(ISBLANK($C$3),Start!AU31,MOVE!AU31)</f>
        <v>10.911214333856346</v>
      </c>
      <c r="AV31" s="86">
        <f>IF(ISBLANK($C$3),Start!AV31,MOVE!AV31)</f>
        <v>10.38784188904266</v>
      </c>
      <c r="AW31" s="86">
        <f>IF(ISBLANK($C$3),Start!AW31,MOVE!AW31)</f>
        <v>10.166653617555919</v>
      </c>
      <c r="AX31" s="86">
        <f>IF(ISBLANK($C$3),Start!AX31,MOVE!AX31)</f>
        <v>10.072548515688858</v>
      </c>
      <c r="AY31" s="87">
        <f>IF(ISBLANK($C$3),Start!AY31,MOVE!AY31)</f>
        <v>10.033254315586763</v>
      </c>
      <c r="AZ31" s="72">
        <f>IF(ISBLANK($C$3),Start!AZ31,MOVE!AZ31)</f>
        <v>10.018986183093533</v>
      </c>
      <c r="BA31" s="165">
        <v>13</v>
      </c>
      <c r="BB31" s="120"/>
      <c r="BC31" s="175">
        <v>12</v>
      </c>
      <c r="BD31" s="176">
        <v>360</v>
      </c>
      <c r="BE31" s="122" t="s">
        <v>52</v>
      </c>
      <c r="BF31" s="200" t="str">
        <f t="shared" si="0"/>
        <v>Wait</v>
      </c>
      <c r="BG31" s="168" t="str">
        <f>IF($C$5&lt;$BD31,"Wait",IF($C$5=$BD31,MOVE!$M$10,BG31))</f>
        <v>Wait</v>
      </c>
      <c r="BH31" s="158" t="str">
        <f>IF($C$5&lt;$BD31,"Wait",IF($C$5=$BD31,MOVE!$J$6,BH31))</f>
        <v>Wait</v>
      </c>
      <c r="BI31" s="158" t="str">
        <f>IF($C$5&lt;$BD31,"Wait",IF($C$5=$BD31,MOVE!$J$16,BI31))</f>
        <v>Wait</v>
      </c>
      <c r="BJ31" s="158" t="str">
        <f>IF($C$5&lt;$BD31,"Wait",IF($C$5=$BD31,MOVE!$J$14,BJ31))</f>
        <v>Wait</v>
      </c>
      <c r="BK31" s="262" t="str">
        <f>IF($C$5&lt;$BD31,"Wait",IF($C$5=$BD31,MOVE!$J$15,BK31))</f>
        <v>Wait</v>
      </c>
      <c r="BN31" s="207" t="str">
        <f>IF($C$5&lt;$BD31,"Wait",IF($C$5=$BD31,MOVE!$C$6,BN31))</f>
        <v>Wait</v>
      </c>
      <c r="BO31" s="167" t="str">
        <f>IF($C$5&lt;$BD31,"Wait",IF($C$5=$BD31,MOVE!$F$12,BO31))</f>
        <v>Wait</v>
      </c>
      <c r="BP31" s="158" t="str">
        <f>IF($C$5&lt;$BD31,"Wait",IF($C$5=$BD31,MOVE!$X$6,BP31))</f>
        <v>Wait</v>
      </c>
      <c r="BQ31" s="262" t="str">
        <f>IF($C$5&lt;$BD31,"Wait",IF($C$5=$BD31,MOVE!$AA$12,BQ31))</f>
        <v>Wait</v>
      </c>
    </row>
    <row r="32" spans="2:165" x14ac:dyDescent="0.2">
      <c r="B32" s="34">
        <v>14</v>
      </c>
      <c r="C32" s="72">
        <f>IF(ISBLANK($C$3),Start!C32,MOVE!C32)</f>
        <v>99.999828632154319</v>
      </c>
      <c r="D32" s="74">
        <f>IF(ISBLANK($C$3),Start!D32,MOVE!D32)</f>
        <v>99.999797257375192</v>
      </c>
      <c r="E32" s="75">
        <f>IF(ISBLANK($C$3),Start!E32,MOVE!E32)</f>
        <v>99.999736320696073</v>
      </c>
      <c r="F32" s="75">
        <f>IF(ISBLANK($C$3),Start!F32,MOVE!K32)</f>
        <v>99.999650924758683</v>
      </c>
      <c r="G32" s="75">
        <f>IF(ISBLANK($C$3),Start!G32,MOVE!L32)</f>
        <v>99.999661500895513</v>
      </c>
      <c r="H32" s="75">
        <f>IF(ISBLANK($C$3),Start!H32,MOVE!M32)</f>
        <v>99.999660088522873</v>
      </c>
      <c r="I32" s="75">
        <f>IF(ISBLANK($C$3),Start!I32,MOVE!N32)</f>
        <v>99.999648559361376</v>
      </c>
      <c r="J32" s="75">
        <f>IF(ISBLANK($C$3),Start!J32,MOVE!O32)</f>
        <v>99.999624508256488</v>
      </c>
      <c r="K32" s="75">
        <f>IF(ISBLANK($C$3),Start!K32,MOVE!K32)</f>
        <v>99.999650924758683</v>
      </c>
      <c r="L32" s="75">
        <f>IF(ISBLANK($C$3),Start!L32,MOVE!L32)</f>
        <v>99.999661500895513</v>
      </c>
      <c r="M32" s="75">
        <f>IF(ISBLANK($C$3),Start!M32,MOVE!M32)</f>
        <v>99.999660088522873</v>
      </c>
      <c r="N32" s="75">
        <f>IF(ISBLANK($C$3),Start!N32,MOVE!N32)</f>
        <v>99.999648559361376</v>
      </c>
      <c r="O32" s="75">
        <f>IF(ISBLANK($C$3),Start!O32,MOVE!O32)</f>
        <v>99.999624508256488</v>
      </c>
      <c r="P32" s="75">
        <f>IF(ISBLANK($C$3),Start!P32,MOVE!P32)</f>
        <v>99.999577948910286</v>
      </c>
      <c r="Q32" s="75">
        <f>IF(ISBLANK($C$3),Start!Q32,MOVE!Q32)</f>
        <v>99.999485185662422</v>
      </c>
      <c r="R32" s="75">
        <f>IF(ISBLANK($C$3),Start!R32,MOVE!R32)</f>
        <v>99.999295652455913</v>
      </c>
      <c r="S32" s="75">
        <f>IF(ISBLANK($C$3),Start!S32,MOVE!S32)</f>
        <v>99.998903552369981</v>
      </c>
      <c r="T32" s="75">
        <f>IF(ISBLANK($C$3),Start!T32,MOVE!T32)</f>
        <v>99.99808648091286</v>
      </c>
      <c r="U32" s="75">
        <f>IF(ISBLANK($C$3),Start!U32,MOVE!U32)</f>
        <v>99.996367364697093</v>
      </c>
      <c r="V32" s="75">
        <f>IF(ISBLANK($C$3),Start!V32,MOVE!V32)</f>
        <v>99.992674460842125</v>
      </c>
      <c r="W32" s="106">
        <f>IF(ISBLANK($C$3),Start!W32,MOVE!W32)</f>
        <v>99.984359889846374</v>
      </c>
      <c r="X32" s="107">
        <f>IF(ISBLANK($C$3),Start!X32,MOVE!X32)</f>
        <v>99.980664755777497</v>
      </c>
      <c r="Y32" s="107">
        <f>IF(ISBLANK($C$3),Start!Y32,MOVE!Y32)</f>
        <v>99.978939614714207</v>
      </c>
      <c r="Z32" s="107">
        <f>IF(ISBLANK($C$3),Start!Z32,MOVE!Z32)</f>
        <v>99.978108358215806</v>
      </c>
      <c r="AA32" s="107">
        <f>IF(ISBLANK($C$3),Start!AA32,MOVE!AA32)</f>
        <v>99.977683177217045</v>
      </c>
      <c r="AB32" s="107">
        <f>IF(ISBLANK($C$3),Start!AB32,MOVE!AB32)</f>
        <v>99.977416379007053</v>
      </c>
      <c r="AC32" s="107">
        <f>IF(ISBLANK($C$3),Start!AC32,MOVE!AC32)</f>
        <v>99.977143198065079</v>
      </c>
      <c r="AD32" s="107">
        <f>IF(ISBLANK($C$3),Start!AD32,MOVE!AD32)</f>
        <v>99.976675976197527</v>
      </c>
      <c r="AE32" s="107">
        <f>IF(ISBLANK($C$3),Start!AE32,MOVE!AE32)</f>
        <v>99.975672808944296</v>
      </c>
      <c r="AF32" s="107">
        <f>IF(ISBLANK($C$3),Start!AF32,MOVE!AF32)</f>
        <v>99.973385924504342</v>
      </c>
      <c r="AG32" s="107">
        <f>IF(ISBLANK($C$3),Start!AG32,MOVE!AG32)</f>
        <v>99.968103528065441</v>
      </c>
      <c r="AH32" s="107">
        <f>IF(ISBLANK($C$3),Start!AH32,MOVE!AH32)</f>
        <v>99.95586813889885</v>
      </c>
      <c r="AI32" s="107">
        <f>IF(ISBLANK($C$3),Start!AI32,MOVE!AI32)</f>
        <v>99.927512423435829</v>
      </c>
      <c r="AJ32" s="107">
        <f>IF(ISBLANK($C$3),Start!AJ32,MOVE!AJ32)</f>
        <v>99.861797184022635</v>
      </c>
      <c r="AK32" s="107">
        <f>IF(ISBLANK($C$3),Start!AK32,MOVE!AK32)</f>
        <v>99.709542602982424</v>
      </c>
      <c r="AL32" s="107">
        <f>IF(ISBLANK($C$3),Start!AL32,MOVE!AL32)</f>
        <v>99.357046657116939</v>
      </c>
      <c r="AM32" s="107">
        <f>IF(ISBLANK($C$3),Start!AM32,MOVE!AM32)</f>
        <v>98.542389690787118</v>
      </c>
      <c r="AN32" s="107">
        <f>IF(ISBLANK($C$3),Start!AN32,MOVE!AN32)</f>
        <v>96.667349333555322</v>
      </c>
      <c r="AO32" s="107">
        <f>IF(ISBLANK($C$3),Start!AO32,MOVE!AO32)</f>
        <v>92.392805561552706</v>
      </c>
      <c r="AP32" s="107">
        <f>IF(ISBLANK($C$3),Start!AP32,MOVE!AP32)</f>
        <v>82.862994315241039</v>
      </c>
      <c r="AQ32" s="108">
        <f>IF(ISBLANK($C$3),Start!AQ32,MOVE!AQ32)</f>
        <v>62.697620979555118</v>
      </c>
      <c r="AR32" s="92">
        <f>IF(ISBLANK($C$3),Start!AR32,MOVE!AR32)</f>
        <v>25.002622998619202</v>
      </c>
      <c r="AS32" s="86">
        <f>IF(ISBLANK($C$3),Start!AS32,MOVE!AS32)</f>
        <v>15.440861355804705</v>
      </c>
      <c r="AT32" s="86">
        <f>IF(ISBLANK($C$3),Start!AT32,MOVE!AT32)</f>
        <v>12.1801582446738</v>
      </c>
      <c r="AU32" s="86">
        <f>IF(ISBLANK($C$3),Start!AU32,MOVE!AU32)</f>
        <v>10.911149536106711</v>
      </c>
      <c r="AV32" s="86">
        <f>IF(ISBLANK($C$3),Start!AV32,MOVE!AV32)</f>
        <v>10.387813721842054</v>
      </c>
      <c r="AW32" s="86">
        <f>IF(ISBLANK($C$3),Start!AW32,MOVE!AW32)</f>
        <v>10.166640864805139</v>
      </c>
      <c r="AX32" s="86">
        <f>IF(ISBLANK($C$3),Start!AX32,MOVE!AX32)</f>
        <v>10.072542500361338</v>
      </c>
      <c r="AY32" s="87">
        <f>IF(ISBLANK($C$3),Start!AY32,MOVE!AY32)</f>
        <v>10.033251228393231</v>
      </c>
      <c r="AZ32" s="72">
        <f>IF(ISBLANK($C$3),Start!AZ32,MOVE!AZ32)</f>
        <v>10.018984198030102</v>
      </c>
      <c r="BA32" s="165">
        <v>14</v>
      </c>
      <c r="BB32" s="120"/>
      <c r="BC32" s="175">
        <v>13</v>
      </c>
      <c r="BD32" s="176">
        <v>390</v>
      </c>
      <c r="BE32" s="122" t="s">
        <v>53</v>
      </c>
      <c r="BF32" s="200" t="str">
        <f t="shared" si="0"/>
        <v>Wait</v>
      </c>
      <c r="BG32" s="168" t="str">
        <f>IF($C$5&lt;$BD32,"Wait",IF($C$5=$BD32,MOVE!$M$10,BG32))</f>
        <v>Wait</v>
      </c>
      <c r="BH32" s="158" t="str">
        <f>IF($C$5&lt;$BD32,"Wait",IF($C$5=$BD32,MOVE!$J$6,BH32))</f>
        <v>Wait</v>
      </c>
      <c r="BI32" s="158" t="str">
        <f>IF($C$5&lt;$BD32,"Wait",IF($C$5=$BD32,MOVE!$J$16,BI32))</f>
        <v>Wait</v>
      </c>
      <c r="BJ32" s="158" t="str">
        <f>IF($C$5&lt;$BD32,"Wait",IF($C$5=$BD32,MOVE!$J$14,BJ32))</f>
        <v>Wait</v>
      </c>
      <c r="BK32" s="262" t="str">
        <f>IF($C$5&lt;$BD32,"Wait",IF($C$5=$BD32,MOVE!$J$15,BK32))</f>
        <v>Wait</v>
      </c>
      <c r="BN32" s="207" t="str">
        <f>IF($C$5&lt;$BD32,"Wait",IF($C$5=$BD32,MOVE!$C$6,BN32))</f>
        <v>Wait</v>
      </c>
      <c r="BO32" s="167" t="str">
        <f>IF($C$5&lt;$BD32,"Wait",IF($C$5=$BD32,MOVE!$F$12,BO32))</f>
        <v>Wait</v>
      </c>
      <c r="BP32" s="158" t="str">
        <f>IF($C$5&lt;$BD32,"Wait",IF($C$5=$BD32,MOVE!$X$6,BP32))</f>
        <v>Wait</v>
      </c>
      <c r="BQ32" s="262" t="str">
        <f>IF($C$5&lt;$BD32,"Wait",IF($C$5=$BD32,MOVE!$AA$12,BQ32))</f>
        <v>Wait</v>
      </c>
    </row>
    <row r="33" spans="2:69" x14ac:dyDescent="0.2">
      <c r="B33" s="34">
        <v>15</v>
      </c>
      <c r="C33" s="72">
        <f>IF(ISBLANK($C$3),Start!C33,MOVE!C33)</f>
        <v>99.99968853296626</v>
      </c>
      <c r="D33" s="74">
        <f>IF(ISBLANK($C$3),Start!D33,MOVE!D33)</f>
        <v>99.999622742673253</v>
      </c>
      <c r="E33" s="75">
        <f>IF(ISBLANK($C$3),Start!E33,MOVE!E33)</f>
        <v>99.999493439927562</v>
      </c>
      <c r="F33" s="75">
        <f>IF(ISBLANK($C$3),Start!F33,MOVE!K33)</f>
        <v>99.999311529286544</v>
      </c>
      <c r="G33" s="75">
        <f>IF(ISBLANK($C$3),Start!G33,MOVE!L33)</f>
        <v>99.999326914605277</v>
      </c>
      <c r="H33" s="75">
        <f>IF(ISBLANK($C$3),Start!H33,MOVE!M33)</f>
        <v>99.999321902945596</v>
      </c>
      <c r="I33" s="75">
        <f>IF(ISBLANK($C$3),Start!I33,MOVE!N33)</f>
        <v>99.99930294375585</v>
      </c>
      <c r="J33" s="75">
        <f>IF(ISBLANK($C$3),Start!J33,MOVE!O33)</f>
        <v>99.99926988619022</v>
      </c>
      <c r="K33" s="75">
        <f>IF(ISBLANK($C$3),Start!K33,MOVE!K33)</f>
        <v>99.999311529286544</v>
      </c>
      <c r="L33" s="75">
        <f>IF(ISBLANK($C$3),Start!L33,MOVE!L33)</f>
        <v>99.999326914605277</v>
      </c>
      <c r="M33" s="75">
        <f>IF(ISBLANK($C$3),Start!M33,MOVE!M33)</f>
        <v>99.999321902945596</v>
      </c>
      <c r="N33" s="75">
        <f>IF(ISBLANK($C$3),Start!N33,MOVE!N33)</f>
        <v>99.99930294375585</v>
      </c>
      <c r="O33" s="75">
        <f>IF(ISBLANK($C$3),Start!O33,MOVE!O33)</f>
        <v>99.99926988619022</v>
      </c>
      <c r="P33" s="75">
        <f>IF(ISBLANK($C$3),Start!P33,MOVE!P33)</f>
        <v>99.99921159945248</v>
      </c>
      <c r="Q33" s="75">
        <f>IF(ISBLANK($C$3),Start!Q33,MOVE!Q33)</f>
        <v>99.999099074928111</v>
      </c>
      <c r="R33" s="75">
        <f>IF(ISBLANK($C$3),Start!R33,MOVE!R33)</f>
        <v>99.998869104653721</v>
      </c>
      <c r="S33" s="75">
        <f>IF(ISBLANK($C$3),Start!S33,MOVE!S33)</f>
        <v>99.9983873490891</v>
      </c>
      <c r="T33" s="75">
        <f>IF(ISBLANK($C$3),Start!T33,MOVE!T33)</f>
        <v>99.997367341129006</v>
      </c>
      <c r="U33" s="75">
        <f>IF(ISBLANK($C$3),Start!U33,MOVE!U33)</f>
        <v>99.995193114317644</v>
      </c>
      <c r="V33" s="75">
        <f>IF(ISBLANK($C$3),Start!V33,MOVE!V33)</f>
        <v>99.990528399679221</v>
      </c>
      <c r="W33" s="109">
        <f>IF(ISBLANK($C$3),Start!W33,MOVE!W33)</f>
        <v>99.980465322385498</v>
      </c>
      <c r="X33" s="83">
        <f>IF(ISBLANK($C$3),Start!X33,MOVE!X33)</f>
        <v>99.975798386870736</v>
      </c>
      <c r="Y33" s="83">
        <f>IF(ISBLANK($C$3),Start!Y33,MOVE!Y33)</f>
        <v>99.973618269731233</v>
      </c>
      <c r="Z33" s="83">
        <f>IF(ISBLANK($C$3),Start!Z33,MOVE!Z33)</f>
        <v>99.972584488181283</v>
      </c>
      <c r="AA33" s="83">
        <f>IF(ISBLANK($C$3),Start!AA33,MOVE!AA33)</f>
        <v>99.972070526831089</v>
      </c>
      <c r="AB33" s="83">
        <f>IF(ISBLANK($C$3),Start!AB33,MOVE!AB33)</f>
        <v>99.971764896062595</v>
      </c>
      <c r="AC33" s="83">
        <f>IF(ISBLANK($C$3),Start!AC33,MOVE!AC33)</f>
        <v>99.971474629876241</v>
      </c>
      <c r="AD33" s="83">
        <f>IF(ISBLANK($C$3),Start!AD33,MOVE!AD33)</f>
        <v>99.970999718577687</v>
      </c>
      <c r="AE33" s="83">
        <f>IF(ISBLANK($C$3),Start!AE33,MOVE!AE33)</f>
        <v>99.969992787256416</v>
      </c>
      <c r="AF33" s="83">
        <f>IF(ISBLANK($C$3),Start!AF33,MOVE!AF33)</f>
        <v>99.967703501083875</v>
      </c>
      <c r="AG33" s="83">
        <f>IF(ISBLANK($C$3),Start!AG33,MOVE!AG33)</f>
        <v>99.962418610553414</v>
      </c>
      <c r="AH33" s="83">
        <f>IF(ISBLANK($C$3),Start!AH33,MOVE!AH33)</f>
        <v>99.950179382458444</v>
      </c>
      <c r="AI33" s="83">
        <f>IF(ISBLANK($C$3),Start!AI33,MOVE!AI33)</f>
        <v>99.921816840208635</v>
      </c>
      <c r="AJ33" s="83">
        <f>IF(ISBLANK($C$3),Start!AJ33,MOVE!AJ33)</f>
        <v>99.856089230180615</v>
      </c>
      <c r="AK33" s="83">
        <f>IF(ISBLANK($C$3),Start!AK33,MOVE!AK33)</f>
        <v>99.7038128526317</v>
      </c>
      <c r="AL33" s="83">
        <f>IF(ISBLANK($C$3),Start!AL33,MOVE!AL33)</f>
        <v>99.351280807775865</v>
      </c>
      <c r="AM33" s="83">
        <f>IF(ISBLANK($C$3),Start!AM33,MOVE!AM33)</f>
        <v>98.53657100060785</v>
      </c>
      <c r="AN33" s="83">
        <f>IF(ISBLANK($C$3),Start!AN33,MOVE!AN33)</f>
        <v>96.661474813034644</v>
      </c>
      <c r="AO33" s="83">
        <f>IF(ISBLANK($C$3),Start!AO33,MOVE!AO33)</f>
        <v>92.386945805920149</v>
      </c>
      <c r="AP33" s="83">
        <f>IF(ISBLANK($C$3),Start!AP33,MOVE!AP33)</f>
        <v>82.857469240724313</v>
      </c>
      <c r="AQ33" s="110">
        <f>IF(ISBLANK($C$3),Start!AQ33,MOVE!AQ33)</f>
        <v>62.693393730075513</v>
      </c>
      <c r="AR33" s="92">
        <f>IF(ISBLANK($C$3),Start!AR33,MOVE!AR33)</f>
        <v>25.001639281983014</v>
      </c>
      <c r="AS33" s="86">
        <f>IF(ISBLANK($C$3),Start!AS33,MOVE!AS33)</f>
        <v>15.440529620050084</v>
      </c>
      <c r="AT33" s="86">
        <f>IF(ISBLANK($C$3),Start!AT33,MOVE!AT33)</f>
        <v>12.180025932158344</v>
      </c>
      <c r="AU33" s="86">
        <f>IF(ISBLANK($C$3),Start!AU33,MOVE!AU33)</f>
        <v>10.911092330708072</v>
      </c>
      <c r="AV33" s="86">
        <f>IF(ISBLANK($C$3),Start!AV33,MOVE!AV33)</f>
        <v>10.387787912028456</v>
      </c>
      <c r="AW33" s="86">
        <f>IF(ISBLANK($C$3),Start!AW33,MOVE!AW33)</f>
        <v>10.166628888183814</v>
      </c>
      <c r="AX33" s="86">
        <f>IF(ISBLANK($C$3),Start!AX33,MOVE!AX33)</f>
        <v>10.072536758170772</v>
      </c>
      <c r="AY33" s="87">
        <f>IF(ISBLANK($C$3),Start!AY33,MOVE!AY33)</f>
        <v>10.033248256329539</v>
      </c>
      <c r="AZ33" s="72">
        <f>IF(ISBLANK($C$3),Start!AZ33,MOVE!AZ33)</f>
        <v>10.01898228442659</v>
      </c>
      <c r="BA33" s="165">
        <v>15</v>
      </c>
      <c r="BB33" s="120"/>
      <c r="BC33" s="175">
        <v>14</v>
      </c>
      <c r="BD33" s="176">
        <v>420</v>
      </c>
      <c r="BE33" s="122" t="s">
        <v>54</v>
      </c>
      <c r="BF33" s="200" t="str">
        <f t="shared" si="0"/>
        <v>Wait</v>
      </c>
      <c r="BG33" s="168" t="str">
        <f>IF($C$5&lt;$BD33,"Wait",IF($C$5=$BD33,MOVE!$M$10,BG33))</f>
        <v>Wait</v>
      </c>
      <c r="BH33" s="158" t="str">
        <f>IF($C$5&lt;$BD33,"Wait",IF($C$5=$BD33,MOVE!$J$6,BH33))</f>
        <v>Wait</v>
      </c>
      <c r="BI33" s="158" t="str">
        <f>IF($C$5&lt;$BD33,"Wait",IF($C$5=$BD33,MOVE!$J$16,BI33))</f>
        <v>Wait</v>
      </c>
      <c r="BJ33" s="158" t="str">
        <f>IF($C$5&lt;$BD33,"Wait",IF($C$5=$BD33,MOVE!$J$14,BJ33))</f>
        <v>Wait</v>
      </c>
      <c r="BK33" s="262" t="str">
        <f>IF($C$5&lt;$BD33,"Wait",IF($C$5=$BD33,MOVE!$J$15,BK33))</f>
        <v>Wait</v>
      </c>
      <c r="BN33" s="207" t="str">
        <f>IF($C$5&lt;$BD33,"Wait",IF($C$5=$BD33,MOVE!$C$6,BN33))</f>
        <v>Wait</v>
      </c>
      <c r="BO33" s="167" t="str">
        <f>IF($C$5&lt;$BD33,"Wait",IF($C$5=$BD33,MOVE!$F$12,BO33))</f>
        <v>Wait</v>
      </c>
      <c r="BP33" s="158" t="str">
        <f>IF($C$5&lt;$BD33,"Wait",IF($C$5=$BD33,MOVE!$X$6,BP33))</f>
        <v>Wait</v>
      </c>
      <c r="BQ33" s="262" t="str">
        <f>IF($C$5&lt;$BD33,"Wait",IF($C$5=$BD33,MOVE!$AA$12,BQ33))</f>
        <v>Wait</v>
      </c>
    </row>
    <row r="34" spans="2:69" x14ac:dyDescent="0.2">
      <c r="B34" s="34">
        <v>16</v>
      </c>
      <c r="C34" s="72">
        <f>IF(ISBLANK($C$3),Start!C34,MOVE!C34)</f>
        <v>99.999444586471967</v>
      </c>
      <c r="D34" s="74">
        <f>IF(ISBLANK($C$3),Start!D34,MOVE!D34)</f>
        <v>99.999308255935816</v>
      </c>
      <c r="E34" s="75">
        <f>IF(ISBLANK($C$3),Start!E34,MOVE!E34)</f>
        <v>99.999033239956503</v>
      </c>
      <c r="F34" s="75">
        <f>IF(ISBLANK($C$3),Start!F34,MOVE!K34)</f>
        <v>99.998635100643952</v>
      </c>
      <c r="G34" s="75">
        <f>IF(ISBLANK($C$3),Start!G34,MOVE!L34)</f>
        <v>99.99865742470341</v>
      </c>
      <c r="H34" s="75">
        <f>IF(ISBLANK($C$3),Start!H34,MOVE!M34)</f>
        <v>99.998639852477481</v>
      </c>
      <c r="I34" s="75">
        <f>IF(ISBLANK($C$3),Start!I34,MOVE!N34)</f>
        <v>99.998603835245888</v>
      </c>
      <c r="J34" s="75">
        <f>IF(ISBLANK($C$3),Start!J34,MOVE!O34)</f>
        <v>99.998555739486576</v>
      </c>
      <c r="K34" s="75">
        <f>IF(ISBLANK($C$3),Start!K34,MOVE!K34)</f>
        <v>99.998635100643952</v>
      </c>
      <c r="L34" s="75">
        <f>IF(ISBLANK($C$3),Start!L34,MOVE!L34)</f>
        <v>99.99865742470341</v>
      </c>
      <c r="M34" s="75">
        <f>IF(ISBLANK($C$3),Start!M34,MOVE!M34)</f>
        <v>99.998639852477481</v>
      </c>
      <c r="N34" s="75">
        <f>IF(ISBLANK($C$3),Start!N34,MOVE!N34)</f>
        <v>99.998603835245888</v>
      </c>
      <c r="O34" s="75">
        <f>IF(ISBLANK($C$3),Start!O34,MOVE!O34)</f>
        <v>99.998555739486576</v>
      </c>
      <c r="P34" s="75">
        <f>IF(ISBLANK($C$3),Start!P34,MOVE!P34)</f>
        <v>99.99848448264845</v>
      </c>
      <c r="Q34" s="75">
        <f>IF(ISBLANK($C$3),Start!Q34,MOVE!Q34)</f>
        <v>99.998357286575924</v>
      </c>
      <c r="R34" s="75">
        <f>IF(ISBLANK($C$3),Start!R34,MOVE!R34)</f>
        <v>99.998103226966975</v>
      </c>
      <c r="S34" s="75">
        <f>IF(ISBLANK($C$3),Start!S34,MOVE!S34)</f>
        <v>99.997572864426203</v>
      </c>
      <c r="T34" s="75">
        <f>IF(ISBLANK($C$3),Start!T34,MOVE!T34)</f>
        <v>99.996450058214847</v>
      </c>
      <c r="U34" s="75">
        <f>IF(ISBLANK($C$3),Start!U34,MOVE!U34)</f>
        <v>99.994065653955957</v>
      </c>
      <c r="V34" s="75">
        <f>IF(ISBLANK($C$3),Start!V34,MOVE!V34)</f>
        <v>99.989013423769791</v>
      </c>
      <c r="W34" s="109">
        <f>IF(ISBLANK($C$3),Start!W34,MOVE!W34)</f>
        <v>99.978389256738211</v>
      </c>
      <c r="X34" s="83">
        <f>IF(ISBLANK($C$3),Start!X34,MOVE!X34)</f>
        <v>99.973334905792825</v>
      </c>
      <c r="Y34" s="83">
        <f>IF(ISBLANK($C$3),Start!Y34,MOVE!Y34)</f>
        <v>99.97094493454</v>
      </c>
      <c r="Z34" s="83">
        <f>IF(ISBLANK($C$3),Start!Z34,MOVE!Z34)</f>
        <v>99.969809113784493</v>
      </c>
      <c r="AA34" s="83">
        <f>IF(ISBLANK($C$3),Start!AA34,MOVE!AA34)</f>
        <v>99.969248089803358</v>
      </c>
      <c r="AB34" s="150">
        <f>IF(ISBLANK($C$3),Start!AB34,MOVE!AB34)</f>
        <v>99.968921285679031</v>
      </c>
      <c r="AC34" s="150">
        <f>IF(ISBLANK($C$3),Start!AC34,MOVE!AC34)</f>
        <v>99.968621538749417</v>
      </c>
      <c r="AD34" s="150">
        <f>IF(ISBLANK($C$3),Start!AD34,MOVE!AD34)</f>
        <v>99.968142257812033</v>
      </c>
      <c r="AE34" s="150">
        <f>IF(ISBLANK($C$3),Start!AE34,MOVE!AE34)</f>
        <v>99.967133034655575</v>
      </c>
      <c r="AF34" s="83">
        <f>IF(ISBLANK($C$3),Start!AF34,MOVE!AF34)</f>
        <v>99.964842031688221</v>
      </c>
      <c r="AG34" s="83">
        <f>IF(ISBLANK($C$3),Start!AG34,MOVE!AG34)</f>
        <v>99.959555037597653</v>
      </c>
      <c r="AH34" s="83">
        <f>IF(ISBLANK($C$3),Start!AH34,MOVE!AH34)</f>
        <v>99.947312349424209</v>
      </c>
      <c r="AI34" s="83">
        <f>IF(ISBLANK($C$3),Start!AI34,MOVE!AI34)</f>
        <v>99.918943601128262</v>
      </c>
      <c r="AJ34" s="83">
        <f>IF(ISBLANK($C$3),Start!AJ34,MOVE!AJ34)</f>
        <v>99.853204817143023</v>
      </c>
      <c r="AK34" s="83">
        <f>IF(ISBLANK($C$3),Start!AK34,MOVE!AK34)</f>
        <v>99.700908858324723</v>
      </c>
      <c r="AL34" s="83">
        <f>IF(ISBLANK($C$3),Start!AL34,MOVE!AL34)</f>
        <v>99.348344219398513</v>
      </c>
      <c r="AM34" s="83">
        <f>IF(ISBLANK($C$3),Start!AM34,MOVE!AM34)</f>
        <v>98.533584999849452</v>
      </c>
      <c r="AN34" s="83">
        <f>IF(ISBLANK($C$3),Start!AN34,MOVE!AN34)</f>
        <v>96.658427821295533</v>
      </c>
      <c r="AO34" s="83">
        <f>IF(ISBLANK($C$3),Start!AO34,MOVE!AO34)</f>
        <v>92.383866277072727</v>
      </c>
      <c r="AP34" s="83">
        <f>IF(ISBLANK($C$3),Start!AP34,MOVE!AP34)</f>
        <v>82.854526200944008</v>
      </c>
      <c r="AQ34" s="110">
        <f>IF(ISBLANK($C$3),Start!AQ34,MOVE!AQ34)</f>
        <v>62.691113329922352</v>
      </c>
      <c r="AR34" s="92">
        <f>IF(ISBLANK($C$3),Start!AR34,MOVE!AR34)</f>
        <v>25.00107810023357</v>
      </c>
      <c r="AS34" s="86">
        <f>IF(ISBLANK($C$3),Start!AS34,MOVE!AS34)</f>
        <v>15.440321034479595</v>
      </c>
      <c r="AT34" s="86">
        <f>IF(ISBLANK($C$3),Start!AT34,MOVE!AT34)</f>
        <v>12.179934149712388</v>
      </c>
      <c r="AU34" s="86">
        <f>IF(ISBLANK($C$3),Start!AU34,MOVE!AU34)</f>
        <v>10.911049238277966</v>
      </c>
      <c r="AV34" s="86">
        <f>IF(ISBLANK($C$3),Start!AV34,MOVE!AV34)</f>
        <v>10.387767132061784</v>
      </c>
      <c r="AW34" s="86">
        <f>IF(ISBLANK($C$3),Start!AW34,MOVE!AW34)</f>
        <v>10.166618697872122</v>
      </c>
      <c r="AX34" s="86">
        <f>IF(ISBLANK($C$3),Start!AX34,MOVE!AX34)</f>
        <v>10.0725316288058</v>
      </c>
      <c r="AY34" s="87">
        <f>IF(ISBLANK($C$3),Start!AY34,MOVE!AY34)</f>
        <v>10.033245479789247</v>
      </c>
      <c r="AZ34" s="72">
        <f>IF(ISBLANK($C$3),Start!AZ34,MOVE!AZ34)</f>
        <v>10.018980434711292</v>
      </c>
      <c r="BA34" s="165">
        <v>16</v>
      </c>
      <c r="BB34" s="178"/>
      <c r="BC34" s="175">
        <v>15</v>
      </c>
      <c r="BD34" s="176">
        <v>450</v>
      </c>
      <c r="BE34" s="177" t="s">
        <v>55</v>
      </c>
      <c r="BF34" s="200" t="str">
        <f t="shared" si="0"/>
        <v>Wait</v>
      </c>
      <c r="BG34" s="168" t="str">
        <f>IF($C$5&lt;$BD34,"Wait",IF($C$5=$BD34,MOVE!$M$10,BG34))</f>
        <v>Wait</v>
      </c>
      <c r="BH34" s="157" t="str">
        <f>IF($C$5&lt;$BD34,"Wait",IF($C$5=$BD34,MOVE!$J$6,BH34))</f>
        <v>Wait</v>
      </c>
      <c r="BI34" s="157" t="str">
        <f>IF($C$5&lt;$BD34,"Wait",IF($C$5=$BD34,MOVE!$J$16,BI34))</f>
        <v>Wait</v>
      </c>
      <c r="BJ34" s="158" t="str">
        <f>IF($C$5&lt;$BD34,"Wait",IF($C$5=$BD34,MOVE!$J$14,BJ34))</f>
        <v>Wait</v>
      </c>
      <c r="BK34" s="262" t="str">
        <f>IF($C$5&lt;$BD34,"Wait",IF($C$5=$BD34,MOVE!$J$15,BK34))</f>
        <v>Wait</v>
      </c>
      <c r="BN34" s="207" t="str">
        <f>IF($C$5&lt;$BD34,"Wait",IF($C$5=$BD34,MOVE!$C$6,BN34))</f>
        <v>Wait</v>
      </c>
      <c r="BO34" s="167" t="str">
        <f>IF($C$5&lt;$BD34,"Wait",IF($C$5=$BD34,MOVE!$F$12,BO34))</f>
        <v>Wait</v>
      </c>
      <c r="BP34" s="158" t="str">
        <f>IF($C$5&lt;$BD34,"Wait",IF($C$5=$BD34,MOVE!$X$6,BP34))</f>
        <v>Wait</v>
      </c>
      <c r="BQ34" s="262" t="str">
        <f>IF($C$5&lt;$BD34,"Wait",IF($C$5=$BD34,MOVE!$AA$12,BQ34))</f>
        <v>Wait</v>
      </c>
    </row>
    <row r="35" spans="2:69" x14ac:dyDescent="0.2">
      <c r="B35" s="34">
        <v>17</v>
      </c>
      <c r="C35" s="72">
        <f>IF(ISBLANK($C$3),Start!C35,MOVE!C35)</f>
        <v>99.999032443577079</v>
      </c>
      <c r="D35" s="74">
        <f>IF(ISBLANK($C$3),Start!D35,MOVE!D35)</f>
        <v>99.9987581931004</v>
      </c>
      <c r="E35" s="75">
        <f>IF(ISBLANK($C$3),Start!E35,MOVE!E35)</f>
        <v>99.998181473963299</v>
      </c>
      <c r="F35" s="75">
        <f>IF(ISBLANK($C$3),Start!F35,MOVE!K35)</f>
        <v>99.997298133957401</v>
      </c>
      <c r="G35" s="75">
        <f>IF(ISBLANK($C$3),Start!G35,MOVE!L35)</f>
        <v>99.997321808863148</v>
      </c>
      <c r="H35" s="75">
        <f>IF(ISBLANK($C$3),Start!H35,MOVE!M35)</f>
        <v>99.997261448401389</v>
      </c>
      <c r="I35" s="75">
        <f>IF(ISBLANK($C$3),Start!I35,MOVE!N35)</f>
        <v>99.997183629018807</v>
      </c>
      <c r="J35" s="75">
        <f>IF(ISBLANK($C$3),Start!J35,MOVE!O35)</f>
        <v>99.997106774796421</v>
      </c>
      <c r="K35" s="75">
        <f>IF(ISBLANK($C$3),Start!K35,MOVE!K35)</f>
        <v>99.997298133957401</v>
      </c>
      <c r="L35" s="75">
        <f>IF(ISBLANK($C$3),Start!L35,MOVE!L35)</f>
        <v>99.997321808863148</v>
      </c>
      <c r="M35" s="75">
        <f>IF(ISBLANK($C$3),Start!M35,MOVE!M35)</f>
        <v>99.997261448401389</v>
      </c>
      <c r="N35" s="75">
        <f>IF(ISBLANK($C$3),Start!N35,MOVE!N35)</f>
        <v>99.997183629018807</v>
      </c>
      <c r="O35" s="75">
        <f>IF(ISBLANK($C$3),Start!O35,MOVE!O35)</f>
        <v>99.997106774796421</v>
      </c>
      <c r="P35" s="75">
        <f>IF(ISBLANK($C$3),Start!P35,MOVE!P35)</f>
        <v>99.997018438171267</v>
      </c>
      <c r="Q35" s="75">
        <f>IF(ISBLANK($C$3),Start!Q35,MOVE!Q35)</f>
        <v>99.996881851276328</v>
      </c>
      <c r="R35" s="75">
        <f>IF(ISBLANK($C$3),Start!R35,MOVE!R35)</f>
        <v>99.996622845847554</v>
      </c>
      <c r="S35" s="75">
        <f>IF(ISBLANK($C$3),Start!S35,MOVE!S35)</f>
        <v>99.996089929717812</v>
      </c>
      <c r="T35" s="75">
        <f>IF(ISBLANK($C$3),Start!T35,MOVE!T35)</f>
        <v>99.994965795604983</v>
      </c>
      <c r="U35" s="75">
        <f>IF(ISBLANK($C$3),Start!U35,MOVE!U35)</f>
        <v>99.992580664699503</v>
      </c>
      <c r="V35" s="75">
        <f>IF(ISBLANK($C$3),Start!V35,MOVE!V35)</f>
        <v>99.987527999763188</v>
      </c>
      <c r="W35" s="109">
        <f>IF(ISBLANK($C$3),Start!W35,MOVE!W35)</f>
        <v>99.97690358915321</v>
      </c>
      <c r="X35" s="83">
        <f>IF(ISBLANK($C$3),Start!X35,MOVE!X35)</f>
        <v>99.971849032177417</v>
      </c>
      <c r="Y35" s="83">
        <f>IF(ISBLANK($C$3),Start!Y35,MOVE!Y35)</f>
        <v>99.96945891134267</v>
      </c>
      <c r="Z35" s="83">
        <f>IF(ISBLANK($C$3),Start!Z35,MOVE!Z35)</f>
        <v>99.968322983286015</v>
      </c>
      <c r="AA35" s="83">
        <f>IF(ISBLANK($C$3),Start!AA35,MOVE!AA35)</f>
        <v>99.967761870183793</v>
      </c>
      <c r="AB35" s="150">
        <f>IF(ISBLANK($C$3),Start!AB35,MOVE!AB35)</f>
        <v>99.967434966020775</v>
      </c>
      <c r="AC35" s="150">
        <f>IF(ISBLANK($C$3),Start!AC35,MOVE!AC35)</f>
        <v>99.967135068748689</v>
      </c>
      <c r="AD35" s="150">
        <f>IF(ISBLANK($C$3),Start!AD35,MOVE!AD35)</f>
        <v>99.96665552439562</v>
      </c>
      <c r="AE35" s="150">
        <f>IF(ISBLANK($C$3),Start!AE35,MOVE!AE35)</f>
        <v>99.965645815218565</v>
      </c>
      <c r="AF35" s="83">
        <f>IF(ISBLANK($C$3),Start!AF35,MOVE!AF35)</f>
        <v>99.963353906940142</v>
      </c>
      <c r="AG35" s="83">
        <f>IF(ISBLANK($C$3),Start!AG35,MOVE!AG35)</f>
        <v>99.95806523566165</v>
      </c>
      <c r="AH35" s="83">
        <f>IF(ISBLANK($C$3),Start!AH35,MOVE!AH35)</f>
        <v>99.945819476708039</v>
      </c>
      <c r="AI35" s="83">
        <f>IF(ISBLANK($C$3),Start!AI35,MOVE!AI35)</f>
        <v>99.917445198021852</v>
      </c>
      <c r="AJ35" s="83">
        <f>IF(ISBLANK($C$3),Start!AJ35,MOVE!AJ35)</f>
        <v>99.851696674175628</v>
      </c>
      <c r="AK35" s="83">
        <f>IF(ISBLANK($C$3),Start!AK35,MOVE!AK35)</f>
        <v>99.699384095286376</v>
      </c>
      <c r="AL35" s="83">
        <f>IF(ISBLANK($C$3),Start!AL35,MOVE!AL35)</f>
        <v>99.34679242226656</v>
      </c>
      <c r="AM35" s="83">
        <f>IF(ISBLANK($C$3),Start!AM35,MOVE!AM35)</f>
        <v>98.531992642521246</v>
      </c>
      <c r="AN35" s="83">
        <f>IF(ISBLANK($C$3),Start!AN35,MOVE!AN35)</f>
        <v>96.656783786157618</v>
      </c>
      <c r="AO35" s="83">
        <f>IF(ISBLANK($C$3),Start!AO35,MOVE!AO35)</f>
        <v>92.382182644438004</v>
      </c>
      <c r="AP35" s="83">
        <f>IF(ISBLANK($C$3),Start!AP35,MOVE!AP35)</f>
        <v>82.852896727447686</v>
      </c>
      <c r="AQ35" s="110">
        <f>IF(ISBLANK($C$3),Start!AQ35,MOVE!AQ35)</f>
        <v>62.689836728921264</v>
      </c>
      <c r="AR35" s="92">
        <f>IF(ISBLANK($C$3),Start!AR35,MOVE!AR35)</f>
        <v>25.000756926514345</v>
      </c>
      <c r="AS35" s="86">
        <f>IF(ISBLANK($C$3),Start!AS35,MOVE!AS35)</f>
        <v>15.440194275727865</v>
      </c>
      <c r="AT35" s="86">
        <f>IF(ISBLANK($C$3),Start!AT35,MOVE!AT35)</f>
        <v>12.179873603928437</v>
      </c>
      <c r="AU35" s="86">
        <f>IF(ISBLANK($C$3),Start!AU35,MOVE!AU35)</f>
        <v>10.911018260708046</v>
      </c>
      <c r="AV35" s="86">
        <f>IF(ISBLANK($C$3),Start!AV35,MOVE!AV35)</f>
        <v>10.387750907589934</v>
      </c>
      <c r="AW35" s="86">
        <f>IF(ISBLANK($C$3),Start!AW35,MOVE!AW35)</f>
        <v>10.166610090715333</v>
      </c>
      <c r="AX35" s="86">
        <f>IF(ISBLANK($C$3),Start!AX35,MOVE!AX35)</f>
        <v>10.072526951895863</v>
      </c>
      <c r="AY35" s="87">
        <f>IF(ISBLANK($C$3),Start!AY35,MOVE!AY35)</f>
        <v>10.033242751518598</v>
      </c>
      <c r="AZ35" s="72">
        <f>IF(ISBLANK($C$3),Start!AZ35,MOVE!AZ35)</f>
        <v>10.018978509297593</v>
      </c>
      <c r="BA35" s="165">
        <v>17</v>
      </c>
      <c r="BB35" s="178"/>
      <c r="BC35" s="175">
        <v>16</v>
      </c>
      <c r="BD35" s="176">
        <v>480</v>
      </c>
      <c r="BE35" s="177" t="s">
        <v>56</v>
      </c>
      <c r="BF35" s="200" t="str">
        <f t="shared" si="0"/>
        <v>Wait</v>
      </c>
      <c r="BG35" s="168" t="str">
        <f>IF($C$5&lt;$BD35,"Wait",IF($C$5=$BD35,MOVE!$M$10,BG35))</f>
        <v>Wait</v>
      </c>
      <c r="BH35" s="157" t="str">
        <f>IF($C$5&lt;$BD35,"Wait",IF($C$5=$BD35,MOVE!$J$6,BH35))</f>
        <v>Wait</v>
      </c>
      <c r="BI35" s="157" t="str">
        <f>IF($C$5&lt;$BD35,"Wait",IF($C$5=$BD35,MOVE!$J$16,BI35))</f>
        <v>Wait</v>
      </c>
      <c r="BJ35" s="158" t="str">
        <f>IF($C$5&lt;$BD35,"Wait",IF($C$5=$BD35,MOVE!$J$14,BJ35))</f>
        <v>Wait</v>
      </c>
      <c r="BK35" s="262" t="str">
        <f>IF($C$5&lt;$BD35,"Wait",IF($C$5=$BD35,MOVE!$J$15,BK35))</f>
        <v>Wait</v>
      </c>
      <c r="BN35" s="207" t="str">
        <f>IF($C$5&lt;$BD35,"Wait",IF($C$5=$BD35,MOVE!$C$6,BN35))</f>
        <v>Wait</v>
      </c>
      <c r="BO35" s="167" t="str">
        <f>IF($C$5&lt;$BD35,"Wait",IF($C$5=$BD35,MOVE!$F$12,BO35))</f>
        <v>Wait</v>
      </c>
      <c r="BP35" s="158" t="str">
        <f>IF($C$5&lt;$BD35,"Wait",IF($C$5=$BD35,MOVE!$X$6,BP35))</f>
        <v>Wait</v>
      </c>
      <c r="BQ35" s="262" t="str">
        <f>IF($C$5&lt;$BD35,"Wait",IF($C$5=$BD35,MOVE!$AA$12,BQ35))</f>
        <v>Wait</v>
      </c>
    </row>
    <row r="36" spans="2:69" x14ac:dyDescent="0.2">
      <c r="B36" s="34">
        <v>18</v>
      </c>
      <c r="C36" s="72">
        <f>IF(ISBLANK($C$3),Start!C36,MOVE!C36)</f>
        <v>99.998357668144791</v>
      </c>
      <c r="D36" s="74">
        <f>IF(ISBLANK($C$3),Start!D36,MOVE!D36)</f>
        <v>99.99783419496481</v>
      </c>
      <c r="E36" s="75">
        <f>IF(ISBLANK($C$3),Start!E36,MOVE!E36)</f>
        <v>99.996667213990364</v>
      </c>
      <c r="F36" s="75">
        <f>IF(ISBLANK($C$3),Start!F36,MOVE!K36)</f>
        <v>99.994712714233614</v>
      </c>
      <c r="G36" s="75">
        <f>IF(ISBLANK($C$3),Start!G36,MOVE!L36)</f>
        <v>99.994666538048179</v>
      </c>
      <c r="H36" s="75">
        <f>IF(ISBLANK($C$3),Start!H36,MOVE!M36)</f>
        <v>99.994466770555775</v>
      </c>
      <c r="I36" s="75">
        <f>IF(ISBLANK($C$3),Start!I36,MOVE!N36)</f>
        <v>99.99428940408599</v>
      </c>
      <c r="J36" s="75">
        <f>IF(ISBLANK($C$3),Start!J36,MOVE!O36)</f>
        <v>99.994156935703629</v>
      </c>
      <c r="K36" s="75">
        <f>IF(ISBLANK($C$3),Start!K36,MOVE!K36)</f>
        <v>99.994712714233614</v>
      </c>
      <c r="L36" s="75">
        <f>IF(ISBLANK($C$3),Start!L36,MOVE!L36)</f>
        <v>99.994666538048179</v>
      </c>
      <c r="M36" s="75">
        <f>IF(ISBLANK($C$3),Start!M36,MOVE!M36)</f>
        <v>99.994466770555775</v>
      </c>
      <c r="N36" s="75">
        <f>IF(ISBLANK($C$3),Start!N36,MOVE!N36)</f>
        <v>99.99428940408599</v>
      </c>
      <c r="O36" s="75">
        <f>IF(ISBLANK($C$3),Start!O36,MOVE!O36)</f>
        <v>99.994156935703629</v>
      </c>
      <c r="P36" s="75">
        <f>IF(ISBLANK($C$3),Start!P36,MOVE!P36)</f>
        <v>99.994042735815057</v>
      </c>
      <c r="Q36" s="75">
        <f>IF(ISBLANK($C$3),Start!Q36,MOVE!Q36)</f>
        <v>99.993900493979112</v>
      </c>
      <c r="R36" s="75">
        <f>IF(ISBLANK($C$3),Start!R36,MOVE!R36)</f>
        <v>99.993655209382709</v>
      </c>
      <c r="S36" s="75">
        <f>IF(ISBLANK($C$3),Start!S36,MOVE!S36)</f>
        <v>99.993165661126824</v>
      </c>
      <c r="T36" s="75">
        <f>IF(ISBLANK($C$3),Start!T36,MOVE!T36)</f>
        <v>99.992141644276359</v>
      </c>
      <c r="U36" s="75">
        <f>IF(ISBLANK($C$3),Start!U36,MOVE!U36)</f>
        <v>99.989965243828564</v>
      </c>
      <c r="V36" s="75">
        <f>IF(ISBLANK($C$3),Start!V36,MOVE!V36)</f>
        <v>99.985299239327006</v>
      </c>
      <c r="W36" s="109">
        <f>IF(ISBLANK($C$3),Start!W36,MOVE!W36)</f>
        <v>99.975235460914689</v>
      </c>
      <c r="X36" s="83">
        <f>IF(ISBLANK($C$3),Start!X36,MOVE!X36)</f>
        <v>99.970567921707726</v>
      </c>
      <c r="Y36" s="83">
        <f>IF(ISBLANK($C$3),Start!Y36,MOVE!Y36)</f>
        <v>99.968387367634506</v>
      </c>
      <c r="Z36" s="83">
        <f>IF(ISBLANK($C$3),Start!Z36,MOVE!Z36)</f>
        <v>99.967353271452083</v>
      </c>
      <c r="AA36" s="83">
        <f>IF(ISBLANK($C$3),Start!AA36,MOVE!AA36)</f>
        <v>99.966839043785654</v>
      </c>
      <c r="AB36" s="150">
        <f>IF(ISBLANK($C$3),Start!AB36,MOVE!AB36)</f>
        <v>99.966533105952365</v>
      </c>
      <c r="AC36" s="150">
        <f>IF(ISBLANK($C$3),Start!AC36,MOVE!AC36)</f>
        <v>99.966242369916117</v>
      </c>
      <c r="AD36" s="150">
        <f>IF(ISBLANK($C$3),Start!AD36,MOVE!AD36)</f>
        <v>99.965766629459068</v>
      </c>
      <c r="AE36" s="150">
        <f>IF(ISBLANK($C$3),Start!AE36,MOVE!AE36)</f>
        <v>99.964758165241776</v>
      </c>
      <c r="AF36" s="83">
        <f>IF(ISBLANK($C$3),Start!AF36,MOVE!AF36)</f>
        <v>99.962466023390775</v>
      </c>
      <c r="AG36" s="83">
        <f>IF(ISBLANK($C$3),Start!AG36,MOVE!AG36)</f>
        <v>99.957175845132554</v>
      </c>
      <c r="AH36" s="83">
        <f>IF(ISBLANK($C$3),Start!AH36,MOVE!AH36)</f>
        <v>99.944926942770422</v>
      </c>
      <c r="AI36" s="83">
        <f>IF(ISBLANK($C$3),Start!AI36,MOVE!AI36)</f>
        <v>99.916546990951431</v>
      </c>
      <c r="AJ36" s="83">
        <f>IF(ISBLANK($C$3),Start!AJ36,MOVE!AJ36)</f>
        <v>99.850788743150417</v>
      </c>
      <c r="AK36" s="83">
        <f>IF(ISBLANK($C$3),Start!AK36,MOVE!AK36)</f>
        <v>99.698460128006346</v>
      </c>
      <c r="AL36" s="83">
        <f>IF(ISBLANK($C$3),Start!AL36,MOVE!AL36)</f>
        <v>99.345843227898555</v>
      </c>
      <c r="AM36" s="83">
        <f>IF(ISBLANK($C$3),Start!AM36,MOVE!AM36)</f>
        <v>98.531006559631166</v>
      </c>
      <c r="AN36" s="83">
        <f>IF(ISBLANK($C$3),Start!AN36,MOVE!AN36)</f>
        <v>96.655750744285228</v>
      </c>
      <c r="AO36" s="83">
        <f>IF(ISBLANK($C$3),Start!AO36,MOVE!AO36)</f>
        <v>92.381108626516479</v>
      </c>
      <c r="AP36" s="83">
        <f>IF(ISBLANK($C$3),Start!AP36,MOVE!AP36)</f>
        <v>82.851843232284367</v>
      </c>
      <c r="AQ36" s="110">
        <f>IF(ISBLANK($C$3),Start!AQ36,MOVE!AQ36)</f>
        <v>62.689002725827045</v>
      </c>
      <c r="AR36" s="92">
        <f>IF(ISBLANK($C$3),Start!AR36,MOVE!AR36)</f>
        <v>25.000544588385033</v>
      </c>
      <c r="AS36" s="86">
        <f>IF(ISBLANK($C$3),Start!AS36,MOVE!AS36)</f>
        <v>15.440106867465975</v>
      </c>
      <c r="AT36" s="86">
        <f>IF(ISBLANK($C$3),Start!AT36,MOVE!AT36)</f>
        <v>12.17982869176026</v>
      </c>
      <c r="AU36" s="86">
        <f>IF(ISBLANK($C$3),Start!AU36,MOVE!AU36)</f>
        <v>10.910993120732138</v>
      </c>
      <c r="AV36" s="86">
        <f>IF(ISBLANK($C$3),Start!AV36,MOVE!AV36)</f>
        <v>10.387736426414429</v>
      </c>
      <c r="AW36" s="86">
        <f>IF(ISBLANK($C$3),Start!AW36,MOVE!AW36)</f>
        <v>10.16660164979306</v>
      </c>
      <c r="AX36" s="86">
        <f>IF(ISBLANK($C$3),Start!AX36,MOVE!AX36)</f>
        <v>10.07252193031929</v>
      </c>
      <c r="AY36" s="87">
        <f>IF(ISBLANK($C$3),Start!AY36,MOVE!AY36)</f>
        <v>10.033239566208735</v>
      </c>
      <c r="AZ36" s="72">
        <f>IF(ISBLANK($C$3),Start!AZ36,MOVE!AZ36)</f>
        <v>10.018976123344297</v>
      </c>
      <c r="BA36" s="165">
        <v>18</v>
      </c>
      <c r="BB36" s="178"/>
      <c r="BC36" s="175">
        <v>17</v>
      </c>
      <c r="BD36" s="176">
        <v>510</v>
      </c>
      <c r="BE36" s="177" t="s">
        <v>57</v>
      </c>
      <c r="BF36" s="200" t="str">
        <f t="shared" si="0"/>
        <v>Wait</v>
      </c>
      <c r="BG36" s="168" t="str">
        <f>IF($C$5&lt;$BD36,"Wait",IF($C$5=$BD36,MOVE!$M$10,BG36))</f>
        <v>Wait</v>
      </c>
      <c r="BH36" s="157" t="str">
        <f>IF($C$5&lt;$BD36,"Wait",IF($C$5=$BD36,MOVE!$J$6,BH36))</f>
        <v>Wait</v>
      </c>
      <c r="BI36" s="157" t="str">
        <f>IF($C$5&lt;$BD36,"Wait",IF($C$5=$BD36,MOVE!$J$16,BI36))</f>
        <v>Wait</v>
      </c>
      <c r="BJ36" s="158" t="str">
        <f>IF($C$5&lt;$BD36,"Wait",IF($C$5=$BD36,MOVE!$J$14,BJ36))</f>
        <v>Wait</v>
      </c>
      <c r="BK36" s="262" t="str">
        <f>IF($C$5&lt;$BD36,"Wait",IF($C$5=$BD36,MOVE!$J$15,BK36))</f>
        <v>Wait</v>
      </c>
      <c r="BN36" s="207" t="str">
        <f>IF($C$5&lt;$BD36,"Wait",IF($C$5=$BD36,MOVE!$C$6,BN36))</f>
        <v>Wait</v>
      </c>
      <c r="BO36" s="167" t="str">
        <f>IF($C$5&lt;$BD36,"Wait",IF($C$5=$BD36,MOVE!$F$12,BO36))</f>
        <v>Wait</v>
      </c>
      <c r="BP36" s="158" t="str">
        <f>IF($C$5&lt;$BD36,"Wait",IF($C$5=$BD36,MOVE!$X$6,BP36))</f>
        <v>Wait</v>
      </c>
      <c r="BQ36" s="262" t="str">
        <f>IF($C$5&lt;$BD36,"Wait",IF($C$5=$BD36,MOVE!$AA$12,BQ36))</f>
        <v>Wait</v>
      </c>
    </row>
    <row r="37" spans="2:69" x14ac:dyDescent="0.2">
      <c r="B37" s="34" t="s">
        <v>51</v>
      </c>
      <c r="C37" s="72">
        <f>IF(ISBLANK($C$3),Start!C37,MOVE!C37)</f>
        <v>99.997276664943726</v>
      </c>
      <c r="D37" s="74">
        <f>IF(ISBLANK($C$3),Start!D37,MOVE!D37)</f>
        <v>99.996359060222204</v>
      </c>
      <c r="E37" s="75">
        <f>IF(ISBLANK($C$3),Start!E37,MOVE!E37)</f>
        <v>99.994156919634904</v>
      </c>
      <c r="F37" s="75">
        <f>IF(ISBLANK($C$3),Start!F37,MOVE!K37)</f>
        <v>99.989963191125938</v>
      </c>
      <c r="G37" s="75">
        <f>IF(ISBLANK($C$3),Start!G37,MOVE!L37)</f>
        <v>99.989377268047761</v>
      </c>
      <c r="H37" s="75">
        <f>IF(ISBLANK($C$3),Start!H37,MOVE!M37)</f>
        <v>99.988763013678025</v>
      </c>
      <c r="I37" s="75">
        <f>IF(ISBLANK($C$3),Start!I37,MOVE!N37)</f>
        <v>99.988374642677883</v>
      </c>
      <c r="J37" s="75">
        <f>IF(ISBLANK($C$3),Start!J37,MOVE!O37)</f>
        <v>99.988145996403745</v>
      </c>
      <c r="K37" s="75">
        <f>IF(ISBLANK($C$3),Start!K37,MOVE!K37)</f>
        <v>99.989963191125938</v>
      </c>
      <c r="L37" s="75">
        <f>IF(ISBLANK($C$3),Start!L37,MOVE!L37)</f>
        <v>99.989377268047761</v>
      </c>
      <c r="M37" s="75">
        <f>IF(ISBLANK($C$3),Start!M37,MOVE!M37)</f>
        <v>99.988763013678025</v>
      </c>
      <c r="N37" s="75">
        <f>IF(ISBLANK($C$3),Start!N37,MOVE!N37)</f>
        <v>99.988374642677883</v>
      </c>
      <c r="O37" s="75">
        <f>IF(ISBLANK($C$3),Start!O37,MOVE!O37)</f>
        <v>99.988145996403745</v>
      </c>
      <c r="P37" s="75">
        <f>IF(ISBLANK($C$3),Start!P37,MOVE!P37)</f>
        <v>99.98799367217741</v>
      </c>
      <c r="Q37" s="75">
        <f>IF(ISBLANK($C$3),Start!Q37,MOVE!Q37)</f>
        <v>99.987847520133712</v>
      </c>
      <c r="R37" s="75">
        <f>IF(ISBLANK($C$3),Start!R37,MOVE!R37)</f>
        <v>99.987631358698593</v>
      </c>
      <c r="S37" s="75">
        <f>IF(ISBLANK($C$3),Start!S37,MOVE!S37)</f>
        <v>99.987226004585523</v>
      </c>
      <c r="T37" s="75">
        <f>IF(ISBLANK($C$3),Start!T37,MOVE!T37)</f>
        <v>99.986402233507746</v>
      </c>
      <c r="U37" s="75">
        <f>IF(ISBLANK($C$3),Start!U37,MOVE!U37)</f>
        <v>99.984679550760333</v>
      </c>
      <c r="V37" s="75">
        <f>IF(ISBLANK($C$3),Start!V37,MOVE!V37)</f>
        <v>99.980984570318299</v>
      </c>
      <c r="W37" s="109">
        <f>IF(ISBLANK($C$3),Start!W37,MOVE!W37)</f>
        <v>99.972668916138161</v>
      </c>
      <c r="X37" s="83">
        <f>IF(ISBLANK($C$3),Start!X37,MOVE!X37)</f>
        <v>99.968972843418442</v>
      </c>
      <c r="Y37" s="83">
        <f>IF(ISBLANK($C$3),Start!Y37,MOVE!Y37)</f>
        <v>99.967247029481584</v>
      </c>
      <c r="Z37" s="83">
        <f>IF(ISBLANK($C$3),Start!Z37,MOVE!Z37)</f>
        <v>99.966415280454285</v>
      </c>
      <c r="AA37" s="83">
        <f>IF(ISBLANK($C$3),Start!AA37,MOVE!AA37)</f>
        <v>99.965989661369775</v>
      </c>
      <c r="AB37" s="150">
        <f>IF(ISBLANK($C$3),Start!AB37,MOVE!AB37)</f>
        <v>99.965722327168223</v>
      </c>
      <c r="AC37" s="150">
        <f>IF(ISBLANK($C$3),Start!AC37,MOVE!AC37)</f>
        <v>99.965448296202666</v>
      </c>
      <c r="AD37" s="150">
        <f>IF(ISBLANK($C$3),Start!AD37,MOVE!AD37)</f>
        <v>99.964979554100793</v>
      </c>
      <c r="AE37" s="150">
        <f>IF(ISBLANK($C$3),Start!AE37,MOVE!AE37)</f>
        <v>99.963973567076295</v>
      </c>
      <c r="AF37" s="83">
        <f>IF(ISBLANK($C$3),Start!AF37,MOVE!AF37)</f>
        <v>99.96168143167931</v>
      </c>
      <c r="AG37" s="83">
        <f>IF(ISBLANK($C$3),Start!AG37,MOVE!AG37)</f>
        <v>99.956389330635773</v>
      </c>
      <c r="AH37" s="83">
        <f>IF(ISBLANK($C$3),Start!AH37,MOVE!AH37)</f>
        <v>99.944136234121444</v>
      </c>
      <c r="AI37" s="83">
        <f>IF(ISBLANK($C$3),Start!AI37,MOVE!AI37)</f>
        <v>99.915748758306577</v>
      </c>
      <c r="AJ37" s="83">
        <f>IF(ISBLANK($C$3),Start!AJ37,MOVE!AJ37)</f>
        <v>99.849977846207651</v>
      </c>
      <c r="AK37" s="83">
        <f>IF(ISBLANK($C$3),Start!AK37,MOVE!AK37)</f>
        <v>99.697628809650524</v>
      </c>
      <c r="AL37" s="83">
        <f>IF(ISBLANK($C$3),Start!AL37,MOVE!AL37)</f>
        <v>99.344980524904571</v>
      </c>
      <c r="AM37" s="83">
        <f>IF(ISBLANK($C$3),Start!AM37,MOVE!AM37)</f>
        <v>98.53009887785349</v>
      </c>
      <c r="AN37" s="83">
        <f>IF(ISBLANK($C$3),Start!AN37,MOVE!AN37)</f>
        <v>96.654786215685903</v>
      </c>
      <c r="AO37" s="83">
        <f>IF(ISBLANK($C$3),Start!AO37,MOVE!AO37)</f>
        <v>92.380091795618398</v>
      </c>
      <c r="AP37" s="83">
        <f>IF(ISBLANK($C$3),Start!AP37,MOVE!AP37)</f>
        <v>82.850834132068513</v>
      </c>
      <c r="AQ37" s="110">
        <f>IF(ISBLANK($C$3),Start!AQ37,MOVE!AQ37)</f>
        <v>62.688197144073285</v>
      </c>
      <c r="AR37" s="92">
        <f>IF(ISBLANK($C$3),Start!AR37,MOVE!AR37)</f>
        <v>25.000338003937848</v>
      </c>
      <c r="AS37" s="86">
        <f>IF(ISBLANK($C$3),Start!AS37,MOVE!AS37)</f>
        <v>15.440019372516675</v>
      </c>
      <c r="AT37" s="86">
        <f>IF(ISBLANK($C$3),Start!AT37,MOVE!AT37)</f>
        <v>12.179781139074366</v>
      </c>
      <c r="AU37" s="86">
        <f>IF(ISBLANK($C$3),Start!AU37,MOVE!AU37)</f>
        <v>10.910964484181283</v>
      </c>
      <c r="AV37" s="86">
        <f>IF(ISBLANK($C$3),Start!AV37,MOVE!AV37)</f>
        <v>10.387718619146709</v>
      </c>
      <c r="AW37" s="86">
        <f>IF(ISBLANK($C$3),Start!AW37,MOVE!AW37)</f>
        <v>10.166590502189642</v>
      </c>
      <c r="AX37" s="86">
        <f>IF(ISBLANK($C$3),Start!AX37,MOVE!AX37)</f>
        <v>10.072514871263294</v>
      </c>
      <c r="AY37" s="87">
        <f>IF(ISBLANK($C$3),Start!AY37,MOVE!AY37)</f>
        <v>10.03323485310235</v>
      </c>
      <c r="AZ37" s="72">
        <f>IF(ISBLANK($C$3),Start!AZ37,MOVE!AZ37)</f>
        <v>10.018972476253133</v>
      </c>
      <c r="BA37" s="165">
        <v>19</v>
      </c>
      <c r="BB37" s="178"/>
      <c r="BC37" s="175">
        <v>18</v>
      </c>
      <c r="BD37" s="176">
        <v>540</v>
      </c>
      <c r="BE37" s="177" t="s">
        <v>58</v>
      </c>
      <c r="BF37" s="200" t="str">
        <f t="shared" si="0"/>
        <v>Wait</v>
      </c>
      <c r="BG37" s="168" t="str">
        <f>IF($C$5&lt;$BD37,"Wait",IF($C$5=$BD37,MOVE!$M$10,BG37))</f>
        <v>Wait</v>
      </c>
      <c r="BH37" s="157" t="str">
        <f>IF($C$5&lt;$BD37,"Wait",IF($C$5=$BD37,MOVE!$J$6,BH37))</f>
        <v>Wait</v>
      </c>
      <c r="BI37" s="157" t="str">
        <f>IF($C$5&lt;$BD37,"Wait",IF($C$5=$BD37,MOVE!$J$16,BI37))</f>
        <v>Wait</v>
      </c>
      <c r="BJ37" s="158" t="str">
        <f>IF($C$5&lt;$BD37,"Wait",IF($C$5=$BD37,MOVE!$J$14,BJ37))</f>
        <v>Wait</v>
      </c>
      <c r="BK37" s="262" t="str">
        <f>IF($C$5&lt;$BD37,"Wait",IF($C$5=$BD37,MOVE!$J$15,BK37))</f>
        <v>Wait</v>
      </c>
      <c r="BN37" s="207" t="str">
        <f>IF($C$5&lt;$BD37,"Wait",IF($C$5=$BD37,MOVE!$C$6,BN37))</f>
        <v>Wait</v>
      </c>
      <c r="BO37" s="167" t="str">
        <f>IF($C$5&lt;$BD37,"Wait",IF($C$5=$BD37,MOVE!$F$12,BO37))</f>
        <v>Wait</v>
      </c>
      <c r="BP37" s="158" t="str">
        <f>IF($C$5&lt;$BD37,"Wait",IF($C$5=$BD37,MOVE!$X$6,BP37))</f>
        <v>Wait</v>
      </c>
      <c r="BQ37" s="262" t="str">
        <f>IF($C$5&lt;$BD37,"Wait",IF($C$5=$BD37,MOVE!$AA$12,BQ37))</f>
        <v>Wait</v>
      </c>
    </row>
    <row r="38" spans="2:69" x14ac:dyDescent="0.2">
      <c r="B38" s="34">
        <v>20</v>
      </c>
      <c r="C38" s="72">
        <f>IF(ISBLANK($C$3),Start!C38,MOVE!C38)</f>
        <v>99.995522077663225</v>
      </c>
      <c r="D38" s="74">
        <f>IF(ISBLANK($C$3),Start!D38,MOVE!D38)</f>
        <v>99.994115118822975</v>
      </c>
      <c r="E38" s="75">
        <f>IF(ISBLANK($C$3),Start!E38,MOVE!E38)</f>
        <v>99.990479540190307</v>
      </c>
      <c r="F38" s="75">
        <f>IF(ISBLANK($C$3),Start!F38,MOVE!K38)</f>
        <v>99.982363231909858</v>
      </c>
      <c r="G38" s="75">
        <f>IF(ISBLANK($C$3),Start!G38,MOVE!L38)</f>
        <v>99.978576898748457</v>
      </c>
      <c r="H38" s="75">
        <f>IF(ISBLANK($C$3),Start!H38,MOVE!M38)</f>
        <v>99.976990279803672</v>
      </c>
      <c r="I38" s="75">
        <f>IF(ISBLANK($C$3),Start!I38,MOVE!N38)</f>
        <v>99.976263307762636</v>
      </c>
      <c r="J38" s="75">
        <f>IF(ISBLANK($C$3),Start!J38,MOVE!O38)</f>
        <v>99.975906656070563</v>
      </c>
      <c r="K38" s="75">
        <f>IF(ISBLANK($C$3),Start!K38,MOVE!K38)</f>
        <v>99.982363231909858</v>
      </c>
      <c r="L38" s="106">
        <f>IF(ISBLANK($C$3),Start!L38,MOVE!L38)</f>
        <v>99.978576898748457</v>
      </c>
      <c r="M38" s="107">
        <f>IF(ISBLANK($C$3),Start!M38,MOVE!M38)</f>
        <v>99.976990279803672</v>
      </c>
      <c r="N38" s="107">
        <f>IF(ISBLANK($C$3),Start!N38,MOVE!N38)</f>
        <v>99.976263307762636</v>
      </c>
      <c r="O38" s="107">
        <f>IF(ISBLANK($C$3),Start!O38,MOVE!O38)</f>
        <v>99.975906656070563</v>
      </c>
      <c r="P38" s="138">
        <f>IF(ISBLANK($C$3),Start!P38,MOVE!P38)</f>
        <v>99.975708688775569</v>
      </c>
      <c r="Q38" s="138">
        <f>IF(ISBLANK($C$3),Start!Q38,MOVE!Q38)</f>
        <v>99.975559685699366</v>
      </c>
      <c r="R38" s="138">
        <f>IF(ISBLANK($C$3),Start!R38,MOVE!R38)</f>
        <v>99.9753808824629</v>
      </c>
      <c r="S38" s="138">
        <f>IF(ISBLANK($C$3),Start!S38,MOVE!S38)</f>
        <v>99.975082245029981</v>
      </c>
      <c r="T38" s="107">
        <f>IF(ISBLANK($C$3),Start!T38,MOVE!T38)</f>
        <v>99.974522312958598</v>
      </c>
      <c r="U38" s="107">
        <f>IF(ISBLANK($C$3),Start!U38,MOVE!U38)</f>
        <v>99.973461679802767</v>
      </c>
      <c r="V38" s="107">
        <f>IF(ISBLANK($C$3),Start!V38,MOVE!V38)</f>
        <v>99.971545604589707</v>
      </c>
      <c r="W38" s="83">
        <f>IF(ISBLANK($C$3),Start!W38,MOVE!W38)</f>
        <v>99.968584516478913</v>
      </c>
      <c r="X38" s="83">
        <f>IF(ISBLANK($C$3),Start!X38,MOVE!X38)</f>
        <v>99.966667742713966</v>
      </c>
      <c r="Y38" s="83">
        <f>IF(ISBLANK($C$3),Start!Y38,MOVE!Y38)</f>
        <v>99.96560500770785</v>
      </c>
      <c r="Z38" s="83">
        <f>IF(ISBLANK($C$3),Start!Z38,MOVE!Z38)</f>
        <v>99.965039307218461</v>
      </c>
      <c r="AA38" s="83">
        <f>IF(ISBLANK($C$3),Start!AA38,MOVE!AA38)</f>
        <v>99.964725153370736</v>
      </c>
      <c r="AB38" s="83">
        <f>IF(ISBLANK($C$3),Start!AB38,MOVE!AB38)</f>
        <v>99.964505607260293</v>
      </c>
      <c r="AC38" s="83">
        <f>IF(ISBLANK($C$3),Start!AC38,MOVE!AC38)</f>
        <v>99.96425215967507</v>
      </c>
      <c r="AD38" s="83">
        <f>IF(ISBLANK($C$3),Start!AD38,MOVE!AD38)</f>
        <v>99.96379196080629</v>
      </c>
      <c r="AE38" s="83">
        <f>IF(ISBLANK($C$3),Start!AE38,MOVE!AE38)</f>
        <v>99.962788785081955</v>
      </c>
      <c r="AF38" s="83">
        <f>IF(ISBLANK($C$3),Start!AF38,MOVE!AF38)</f>
        <v>99.960496128138999</v>
      </c>
      <c r="AG38" s="83">
        <f>IF(ISBLANK($C$3),Start!AG38,MOVE!AG38)</f>
        <v>99.955200639270231</v>
      </c>
      <c r="AH38" s="83">
        <f>IF(ISBLANK($C$3),Start!AH38,MOVE!AH38)</f>
        <v>99.94294053659037</v>
      </c>
      <c r="AI38" s="83">
        <f>IF(ISBLANK($C$3),Start!AI38,MOVE!AI38)</f>
        <v>99.914540606387163</v>
      </c>
      <c r="AJ38" s="83">
        <f>IF(ISBLANK($C$3),Start!AJ38,MOVE!AJ38)</f>
        <v>99.848748775831979</v>
      </c>
      <c r="AK38" s="83">
        <f>IF(ISBLANK($C$3),Start!AK38,MOVE!AK38)</f>
        <v>99.696366059367165</v>
      </c>
      <c r="AL38" s="83">
        <f>IF(ISBLANK($C$3),Start!AL38,MOVE!AL38)</f>
        <v>99.343666121322045</v>
      </c>
      <c r="AM38" s="83">
        <f>IF(ISBLANK($C$3),Start!AM38,MOVE!AM38)</f>
        <v>98.528710606024021</v>
      </c>
      <c r="AN38" s="83">
        <f>IF(ISBLANK($C$3),Start!AN38,MOVE!AN38)</f>
        <v>96.653304580040611</v>
      </c>
      <c r="AO38" s="83">
        <f>IF(ISBLANK($C$3),Start!AO38,MOVE!AO38)</f>
        <v>92.378523153812012</v>
      </c>
      <c r="AP38" s="83">
        <f>IF(ISBLANK($C$3),Start!AP38,MOVE!AP38)</f>
        <v>82.849271823398027</v>
      </c>
      <c r="AQ38" s="110">
        <f>IF(ISBLANK($C$3),Start!AQ38,MOVE!AQ38)</f>
        <v>62.686946679503428</v>
      </c>
      <c r="AR38" s="92">
        <f>IF(ISBLANK($C$3),Start!AR38,MOVE!AR38)</f>
        <v>25.000016590793059</v>
      </c>
      <c r="AS38" s="86">
        <f>IF(ISBLANK($C$3),Start!AS38,MOVE!AS38)</f>
        <v>15.4398818635719</v>
      </c>
      <c r="AT38" s="86">
        <f>IF(ISBLANK($C$3),Start!AT38,MOVE!AT38)</f>
        <v>12.17970481260137</v>
      </c>
      <c r="AU38" s="86">
        <f>IF(ISBLANK($C$3),Start!AU38,MOVE!AU38)</f>
        <v>10.91091726208764</v>
      </c>
      <c r="AV38" s="86">
        <f>IF(ISBLANK($C$3),Start!AV38,MOVE!AV38)</f>
        <v>10.387688482679602</v>
      </c>
      <c r="AW38" s="86">
        <f>IF(ISBLANK($C$3),Start!AW38,MOVE!AW38)</f>
        <v>10.166571242763695</v>
      </c>
      <c r="AX38" s="86">
        <f>IF(ISBLANK($C$3),Start!AX38,MOVE!AX38)</f>
        <v>10.072502506125877</v>
      </c>
      <c r="AY38" s="87">
        <f>IF(ISBLANK($C$3),Start!AY38,MOVE!AY38)</f>
        <v>10.033226538203168</v>
      </c>
      <c r="AZ38" s="72">
        <f>IF(ISBLANK($C$3),Start!AZ38,MOVE!AZ38)</f>
        <v>10.018966027647872</v>
      </c>
      <c r="BA38" s="165">
        <v>20</v>
      </c>
      <c r="BB38" s="178"/>
      <c r="BC38" s="175">
        <v>19</v>
      </c>
      <c r="BD38" s="176">
        <v>570</v>
      </c>
      <c r="BE38" s="177" t="s">
        <v>59</v>
      </c>
      <c r="BF38" s="200" t="str">
        <f t="shared" si="0"/>
        <v>Wait</v>
      </c>
      <c r="BG38" s="169" t="str">
        <f>IF($C$5&lt;$BD38,"Wait",IF($C$5=$BD38,MOVE!$M$10,BG38))</f>
        <v>Wait</v>
      </c>
      <c r="BH38" s="159" t="str">
        <f>IF($C$5&lt;$BD38,"Wait",IF($C$5=$BD38,MOVE!$J$6,BH38))</f>
        <v>Wait</v>
      </c>
      <c r="BI38" s="159" t="str">
        <f>IF($C$5&lt;$BD38,"Wait",IF($C$5=$BD38,MOVE!$J$16,BI38))</f>
        <v>Wait</v>
      </c>
      <c r="BJ38" s="158" t="str">
        <f>IF($C$5&lt;$BD38,"Wait",IF($C$5=$BD38,MOVE!$J$14,BJ38))</f>
        <v>Wait</v>
      </c>
      <c r="BK38" s="262" t="str">
        <f>IF($C$5&lt;$BD38,"Wait",IF($C$5=$BD38,MOVE!$J$15,BK38))</f>
        <v>Wait</v>
      </c>
      <c r="BN38" s="207" t="str">
        <f>IF($C$5&lt;$BD38,"Wait",IF($C$5=$BD38,MOVE!$C$6,BN38))</f>
        <v>Wait</v>
      </c>
      <c r="BO38" s="167" t="str">
        <f>IF($C$5&lt;$BD38,"Wait",IF($C$5=$BD38,MOVE!$F$12,BO38))</f>
        <v>Wait</v>
      </c>
      <c r="BP38" s="158" t="str">
        <f>IF($C$5&lt;$BD38,"Wait",IF($C$5=$BD38,MOVE!$X$6,BP38))</f>
        <v>Wait</v>
      </c>
      <c r="BQ38" s="262" t="str">
        <f>IF($C$5&lt;$BD38,"Wait",IF($C$5=$BD38,MOVE!$AA$12,BQ38))</f>
        <v>Wait</v>
      </c>
    </row>
    <row r="39" spans="2:69" x14ac:dyDescent="0.2">
      <c r="B39" s="34">
        <v>21</v>
      </c>
      <c r="C39" s="72">
        <f>IF(ISBLANK($C$3),Start!C39,MOVE!C39)</f>
        <v>99.992434332443551</v>
      </c>
      <c r="D39" s="74">
        <f>IF(ISBLANK($C$3),Start!D39,MOVE!D39)</f>
        <v>99.990654551971076</v>
      </c>
      <c r="E39" s="75">
        <f>IF(ISBLANK($C$3),Start!E39,MOVE!E39)</f>
        <v>99.986021781195291</v>
      </c>
      <c r="F39" s="75">
        <f>IF(ISBLANK($C$3),Start!F39,MOVE!K39)</f>
        <v>99.975713271201982</v>
      </c>
      <c r="G39" s="75">
        <f>IF(ISBLANK($C$3),Start!G39,MOVE!L39)</f>
        <v>99.971387075909277</v>
      </c>
      <c r="H39" s="75">
        <f>IF(ISBLANK($C$3),Start!H39,MOVE!M39)</f>
        <v>99.969385953053191</v>
      </c>
      <c r="I39" s="75">
        <f>IF(ISBLANK($C$3),Start!I39,MOVE!N39)</f>
        <v>99.968448243368556</v>
      </c>
      <c r="J39" s="75">
        <f>IF(ISBLANK($C$3),Start!J39,MOVE!O39)</f>
        <v>99.967996194902625</v>
      </c>
      <c r="K39" s="75">
        <f>IF(ISBLANK($C$3),Start!K39,MOVE!K39)</f>
        <v>99.975713271201982</v>
      </c>
      <c r="L39" s="109">
        <f>IF(ISBLANK($C$3),Start!L39,MOVE!L39)</f>
        <v>99.971387075909277</v>
      </c>
      <c r="M39" s="83">
        <f>IF(ISBLANK($C$3),Start!M39,MOVE!M39)</f>
        <v>99.969385953053191</v>
      </c>
      <c r="N39" s="83">
        <f>IF(ISBLANK($C$3),Start!N39,MOVE!N39)</f>
        <v>99.968448243368556</v>
      </c>
      <c r="O39" s="83">
        <f>IF(ISBLANK($C$3),Start!O39,MOVE!O39)</f>
        <v>99.967996194902625</v>
      </c>
      <c r="P39" s="150">
        <f>IF(ISBLANK($C$3),Start!P39,MOVE!P39)</f>
        <v>99.96776181704341</v>
      </c>
      <c r="Q39" s="150">
        <f>IF(ISBLANK($C$3),Start!Q39,MOVE!Q39)</f>
        <v>99.967612307563499</v>
      </c>
      <c r="R39" s="150">
        <f>IF(ISBLANK($C$3),Start!R39,MOVE!R39)</f>
        <v>99.967469001139406</v>
      </c>
      <c r="S39" s="150">
        <f>IF(ISBLANK($C$3),Start!S39,MOVE!S39)</f>
        <v>99.967265851325962</v>
      </c>
      <c r="T39" s="83">
        <f>IF(ISBLANK($C$3),Start!T39,MOVE!T39)</f>
        <v>99.966924879186365</v>
      </c>
      <c r="U39" s="83">
        <f>IF(ISBLANK($C$3),Start!U39,MOVE!U39)</f>
        <v>99.966346302955017</v>
      </c>
      <c r="V39" s="83">
        <f>IF(ISBLANK($C$3),Start!V39,MOVE!V39)</f>
        <v>99.965439078997875</v>
      </c>
      <c r="W39" s="83">
        <f>IF(ISBLANK($C$3),Start!W39,MOVE!W39)</f>
        <v>99.964268366168298</v>
      </c>
      <c r="X39" s="83">
        <f>IF(ISBLANK($C$3),Start!X39,MOVE!X39)</f>
        <v>99.963360844582255</v>
      </c>
      <c r="Y39" s="83">
        <f>IF(ISBLANK($C$3),Start!Y39,MOVE!Y39)</f>
        <v>99.962781134776264</v>
      </c>
      <c r="Z39" s="83">
        <f>IF(ISBLANK($C$3),Start!Z39,MOVE!Z39)</f>
        <v>99.962436437386231</v>
      </c>
      <c r="AA39" s="83">
        <f>IF(ISBLANK($C$3),Start!AA39,MOVE!AA39)</f>
        <v>99.962222100747965</v>
      </c>
      <c r="AB39" s="83">
        <f>IF(ISBLANK($C$3),Start!AB39,MOVE!AB39)</f>
        <v>99.962047371271694</v>
      </c>
      <c r="AC39" s="83">
        <f>IF(ISBLANK($C$3),Start!AC39,MOVE!AC39)</f>
        <v>99.961813705640239</v>
      </c>
      <c r="AD39" s="83">
        <f>IF(ISBLANK($C$3),Start!AD39,MOVE!AD39)</f>
        <v>99.961361558136346</v>
      </c>
      <c r="AE39" s="83">
        <f>IF(ISBLANK($C$3),Start!AE39,MOVE!AE39)</f>
        <v>99.960360337245092</v>
      </c>
      <c r="AF39" s="83">
        <f>IF(ISBLANK($C$3),Start!AF39,MOVE!AF39)</f>
        <v>99.958065448295997</v>
      </c>
      <c r="AG39" s="83">
        <f>IF(ISBLANK($C$3),Start!AG39,MOVE!AG39)</f>
        <v>99.95276332036434</v>
      </c>
      <c r="AH39" s="83">
        <f>IF(ISBLANK($C$3),Start!AH39,MOVE!AH39)</f>
        <v>99.940490278775812</v>
      </c>
      <c r="AI39" s="83">
        <f>IF(ISBLANK($C$3),Start!AI39,MOVE!AI39)</f>
        <v>99.912067410934171</v>
      </c>
      <c r="AJ39" s="83">
        <f>IF(ISBLANK($C$3),Start!AJ39,MOVE!AJ39)</f>
        <v>99.846236725373913</v>
      </c>
      <c r="AK39" s="83">
        <f>IF(ISBLANK($C$3),Start!AK39,MOVE!AK39)</f>
        <v>99.693790782958359</v>
      </c>
      <c r="AL39" s="83">
        <f>IF(ISBLANK($C$3),Start!AL39,MOVE!AL39)</f>
        <v>99.340992882457869</v>
      </c>
      <c r="AM39" s="83">
        <f>IF(ISBLANK($C$3),Start!AM39,MOVE!AM39)</f>
        <v>98.525896051535028</v>
      </c>
      <c r="AN39" s="83">
        <f>IF(ISBLANK($C$3),Start!AN39,MOVE!AN39)</f>
        <v>96.650310396969871</v>
      </c>
      <c r="AO39" s="83">
        <f>IF(ISBLANK($C$3),Start!AO39,MOVE!AO39)</f>
        <v>92.375362119979783</v>
      </c>
      <c r="AP39" s="83">
        <f>IF(ISBLANK($C$3),Start!AP39,MOVE!AP39)</f>
        <v>82.846130156179768</v>
      </c>
      <c r="AQ39" s="110">
        <f>IF(ISBLANK($C$3),Start!AQ39,MOVE!AQ39)</f>
        <v>62.684435216639855</v>
      </c>
      <c r="AR39" s="92">
        <f>IF(ISBLANK($C$3),Start!AR39,MOVE!AR39)</f>
        <v>24.999371303960913</v>
      </c>
      <c r="AS39" s="86">
        <f>IF(ISBLANK($C$3),Start!AS39,MOVE!AS39)</f>
        <v>15.439605927368286</v>
      </c>
      <c r="AT39" s="86">
        <f>IF(ISBLANK($C$3),Start!AT39,MOVE!AT39)</f>
        <v>12.179551795515099</v>
      </c>
      <c r="AU39" s="86">
        <f>IF(ISBLANK($C$3),Start!AU39,MOVE!AU39)</f>
        <v>10.910822855005875</v>
      </c>
      <c r="AV39" s="86">
        <f>IF(ISBLANK($C$3),Start!AV39,MOVE!AV39)</f>
        <v>10.387628587258755</v>
      </c>
      <c r="AW39" s="86">
        <f>IF(ISBLANK($C$3),Start!AW39,MOVE!AW39)</f>
        <v>10.166533334578885</v>
      </c>
      <c r="AX39" s="86">
        <f>IF(ISBLANK($C$3),Start!AX39,MOVE!AX39)</f>
        <v>10.072478500002847</v>
      </c>
      <c r="AY39" s="87">
        <f>IF(ISBLANK($C$3),Start!AY39,MOVE!AY39)</f>
        <v>10.03321066325887</v>
      </c>
      <c r="AZ39" s="72">
        <f>IF(ISBLANK($C$3),Start!AZ39,MOVE!AZ39)</f>
        <v>10.018953884123622</v>
      </c>
      <c r="BA39" s="165">
        <v>21</v>
      </c>
      <c r="BB39" s="174">
        <v>1964</v>
      </c>
      <c r="BC39" s="175">
        <v>20</v>
      </c>
      <c r="BD39" s="176">
        <v>600</v>
      </c>
      <c r="BE39" s="177" t="s">
        <v>60</v>
      </c>
      <c r="BF39" s="200" t="str">
        <f t="shared" si="0"/>
        <v>Wait</v>
      </c>
      <c r="BG39" s="168" t="str">
        <f>IF($C$5&lt;$BD39,"Wait",IF($C$5=$BD39,MOVE!$M$10,BG39))</f>
        <v>Wait</v>
      </c>
      <c r="BH39" s="157" t="str">
        <f>IF($C$5&lt;$BD39,"Wait",IF($C$5=$BD39,MOVE!$J$6,BH39))</f>
        <v>Wait</v>
      </c>
      <c r="BI39" s="160" t="str">
        <f>IF($C$5&lt;$BD39,"Wait",IF($C$5=$BD39,MOVE!$J$16,BI39))</f>
        <v>Wait</v>
      </c>
      <c r="BJ39" s="158" t="str">
        <f>IF($C$5&lt;$BD39,"Wait",IF($C$5=$BD39,MOVE!$J$14,BJ39))</f>
        <v>Wait</v>
      </c>
      <c r="BK39" s="262" t="str">
        <f>IF($C$5&lt;$BD39,"Wait",IF($C$5=$BD39,MOVE!$J$15,BK39))</f>
        <v>Wait</v>
      </c>
      <c r="BN39" s="207" t="str">
        <f>IF($C$5&lt;$BD39,"Wait",IF($C$5=$BD39,MOVE!$C$6,BN39))</f>
        <v>Wait</v>
      </c>
      <c r="BO39" s="167" t="str">
        <f>IF($C$5&lt;$BD39,"Wait",IF($C$5=$BD39,MOVE!$F$12,BO39))</f>
        <v>Wait</v>
      </c>
      <c r="BP39" s="158" t="str">
        <f>IF($C$5&lt;$BD39,"Wait",IF($C$5=$BD39,MOVE!$X$6,BP39))</f>
        <v>Wait</v>
      </c>
      <c r="BQ39" s="262" t="str">
        <f>IF($C$5&lt;$BD39,"Wait",IF($C$5=$BD39,MOVE!$AA$12,BQ39))</f>
        <v>Wait</v>
      </c>
    </row>
    <row r="40" spans="2:69" x14ac:dyDescent="0.2">
      <c r="B40" s="34">
        <v>22</v>
      </c>
      <c r="C40" s="72">
        <f>IF(ISBLANK($C$3),Start!C40,MOVE!C40)</f>
        <v>99.986220769825991</v>
      </c>
      <c r="D40" s="74">
        <f>IF(ISBLANK($C$3),Start!D40,MOVE!D40)</f>
        <v>99.984255221713639</v>
      </c>
      <c r="E40" s="75">
        <f>IF(ISBLANK($C$3),Start!E40,MOVE!E40)</f>
        <v>99.979144695711682</v>
      </c>
      <c r="F40" s="75">
        <f>IF(ISBLANK($C$3),Start!F40,MOVE!K40)</f>
        <v>99.967903810871746</v>
      </c>
      <c r="G40" s="75">
        <f>IF(ISBLANK($C$3),Start!G40,MOVE!L40)</f>
        <v>99.963507440460148</v>
      </c>
      <c r="H40" s="75">
        <f>IF(ISBLANK($C$3),Start!H40,MOVE!M40)</f>
        <v>99.961366890903946</v>
      </c>
      <c r="I40" s="75">
        <f>IF(ISBLANK($C$3),Start!I40,MOVE!N40)</f>
        <v>99.960330182076092</v>
      </c>
      <c r="J40" s="75">
        <f>IF(ISBLANK($C$3),Start!J40,MOVE!O40)</f>
        <v>99.959824122261097</v>
      </c>
      <c r="K40" s="75">
        <f>IF(ISBLANK($C$3),Start!K40,MOVE!K40)</f>
        <v>99.967903810871746</v>
      </c>
      <c r="L40" s="109">
        <f>IF(ISBLANK($C$3),Start!L40,MOVE!L40)</f>
        <v>99.963507440460148</v>
      </c>
      <c r="M40" s="83">
        <f>IF(ISBLANK($C$3),Start!M40,MOVE!M40)</f>
        <v>99.961366890903946</v>
      </c>
      <c r="N40" s="83">
        <f>IF(ISBLANK($C$3),Start!N40,MOVE!N40)</f>
        <v>99.960330182076092</v>
      </c>
      <c r="O40" s="83">
        <f>IF(ISBLANK($C$3),Start!O40,MOVE!O40)</f>
        <v>99.959824122261097</v>
      </c>
      <c r="P40" s="150">
        <f>IF(ISBLANK($C$3),Start!P40,MOVE!P40)</f>
        <v>99.959567467616381</v>
      </c>
      <c r="Q40" s="150">
        <f>IF(ISBLANK($C$3),Start!Q40,MOVE!Q40)</f>
        <v>99.959419605471652</v>
      </c>
      <c r="R40" s="150">
        <f>IF(ISBLANK($C$3),Start!R40,MOVE!R40)</f>
        <v>99.959304106363632</v>
      </c>
      <c r="S40" s="150">
        <f>IF(ISBLANK($C$3),Start!S40,MOVE!S40)</f>
        <v>99.959170199376317</v>
      </c>
      <c r="T40" s="83">
        <f>IF(ISBLANK($C$3),Start!T40,MOVE!T40)</f>
        <v>99.958974101951526</v>
      </c>
      <c r="U40" s="83">
        <f>IF(ISBLANK($C$3),Start!U40,MOVE!U40)</f>
        <v>99.958675415807051</v>
      </c>
      <c r="V40" s="83">
        <f>IF(ISBLANK($C$3),Start!V40,MOVE!V40)</f>
        <v>99.958254591136182</v>
      </c>
      <c r="W40" s="83">
        <f>IF(ISBLANK($C$3),Start!W40,MOVE!W40)</f>
        <v>99.957759526253824</v>
      </c>
      <c r="X40" s="83">
        <f>IF(ISBLANK($C$3),Start!X40,MOVE!X40)</f>
        <v>99.957338724020872</v>
      </c>
      <c r="Y40" s="83">
        <f>IF(ISBLANK($C$3),Start!Y40,MOVE!Y40)</f>
        <v>99.957039683620351</v>
      </c>
      <c r="Z40" s="83">
        <f>IF(ISBLANK($C$3),Start!Z40,MOVE!Z40)</f>
        <v>99.956841489469184</v>
      </c>
      <c r="AA40" s="83">
        <f>IF(ISBLANK($C$3),Start!AA40,MOVE!AA40)</f>
        <v>99.956699746347667</v>
      </c>
      <c r="AB40" s="83">
        <f>IF(ISBLANK($C$3),Start!AB40,MOVE!AB40)</f>
        <v>99.956559714056709</v>
      </c>
      <c r="AC40" s="83">
        <f>IF(ISBLANK($C$3),Start!AC40,MOVE!AC40)</f>
        <v>99.956341758598526</v>
      </c>
      <c r="AD40" s="83">
        <f>IF(ISBLANK($C$3),Start!AD40,MOVE!AD40)</f>
        <v>99.955895450621142</v>
      </c>
      <c r="AE40" s="83">
        <f>IF(ISBLANK($C$3),Start!AE40,MOVE!AE40)</f>
        <v>99.95489397835793</v>
      </c>
      <c r="AF40" s="83">
        <f>IF(ISBLANK($C$3),Start!AF40,MOVE!AF40)</f>
        <v>99.952593382451042</v>
      </c>
      <c r="AG40" s="83">
        <f>IF(ISBLANK($C$3),Start!AG40,MOVE!AG40)</f>
        <v>99.947278344818173</v>
      </c>
      <c r="AH40" s="83">
        <f>IF(ISBLANK($C$3),Start!AH40,MOVE!AH40)</f>
        <v>99.934980908946315</v>
      </c>
      <c r="AI40" s="83">
        <f>IF(ISBLANK($C$3),Start!AI40,MOVE!AI40)</f>
        <v>99.906514558804773</v>
      </c>
      <c r="AJ40" s="83">
        <f>IF(ISBLANK($C$3),Start!AJ40,MOVE!AJ40)</f>
        <v>99.840609221132397</v>
      </c>
      <c r="AK40" s="83">
        <f>IF(ISBLANK($C$3),Start!AK40,MOVE!AK40)</f>
        <v>99.688039984904975</v>
      </c>
      <c r="AL40" s="83">
        <f>IF(ISBLANK($C$3),Start!AL40,MOVE!AL40)</f>
        <v>99.335048329712052</v>
      </c>
      <c r="AM40" s="83">
        <f>IF(ISBLANK($C$3),Start!AM40,MOVE!AM40)</f>
        <v>98.519668634416263</v>
      </c>
      <c r="AN40" s="83">
        <f>IF(ISBLANK($C$3),Start!AN40,MOVE!AN40)</f>
        <v>96.643720892190743</v>
      </c>
      <c r="AO40" s="83">
        <f>IF(ISBLANK($C$3),Start!AO40,MOVE!AO40)</f>
        <v>92.368439695798301</v>
      </c>
      <c r="AP40" s="83">
        <f>IF(ISBLANK($C$3),Start!AP40,MOVE!AP40)</f>
        <v>82.839276591002886</v>
      </c>
      <c r="AQ40" s="83">
        <f>IF(ISBLANK($C$3),Start!AQ40,MOVE!AQ40)</f>
        <v>62.678969774570874</v>
      </c>
      <c r="AR40" s="92">
        <f>IF(ISBLANK($C$3),Start!AR40,MOVE!AR40)</f>
        <v>24.997968623257098</v>
      </c>
      <c r="AS40" s="86">
        <f>IF(ISBLANK($C$3),Start!AS40,MOVE!AS40)</f>
        <v>15.439008204325388</v>
      </c>
      <c r="AT40" s="86">
        <f>IF(ISBLANK($C$3),Start!AT40,MOVE!AT40)</f>
        <v>12.179222843468262</v>
      </c>
      <c r="AU40" s="86">
        <f>IF(ISBLANK($C$3),Start!AU40,MOVE!AU40)</f>
        <v>10.910622377727149</v>
      </c>
      <c r="AV40" s="86">
        <f>IF(ISBLANK($C$3),Start!AV40,MOVE!AV40)</f>
        <v>10.387503478704843</v>
      </c>
      <c r="AW40" s="86">
        <f>IF(ISBLANK($C$3),Start!AW40,MOVE!AW40)</f>
        <v>10.166455733882975</v>
      </c>
      <c r="AX40" s="86">
        <f>IF(ISBLANK($C$3),Start!AX40,MOVE!AX40)</f>
        <v>10.072430503657721</v>
      </c>
      <c r="AY40" s="87">
        <f>IF(ISBLANK($C$3),Start!AY40,MOVE!AY40)</f>
        <v>10.033179731468906</v>
      </c>
      <c r="AZ40" s="72">
        <f>IF(ISBLANK($C$3),Start!AZ40,MOVE!AZ40)</f>
        <v>10.018930698829529</v>
      </c>
      <c r="BA40" s="165">
        <v>22</v>
      </c>
      <c r="BB40" s="178"/>
      <c r="BC40" s="175">
        <v>21</v>
      </c>
      <c r="BD40" s="176">
        <v>630</v>
      </c>
      <c r="BE40" s="177" t="s">
        <v>61</v>
      </c>
      <c r="BF40" s="200" t="str">
        <f t="shared" si="0"/>
        <v>Wait</v>
      </c>
      <c r="BG40" s="168" t="str">
        <f>IF($C$5&lt;$BD40,"Wait",IF($C$5=$BD40,MOVE!$M$10,BG40))</f>
        <v>Wait</v>
      </c>
      <c r="BH40" s="157" t="str">
        <f>IF($C$5&lt;$BD40,"Wait",IF($C$5=$BD40,MOVE!$J$6,BH40))</f>
        <v>Wait</v>
      </c>
      <c r="BI40" s="160" t="str">
        <f>IF($C$5&lt;$BD40,"Wait",IF($C$5=$BD40,MOVE!$J$16,BI40))</f>
        <v>Wait</v>
      </c>
      <c r="BJ40" s="158" t="str">
        <f>IF($C$5&lt;$BD40,"Wait",IF($C$5=$BD40,MOVE!$J$14,BJ40))</f>
        <v>Wait</v>
      </c>
      <c r="BK40" s="262" t="str">
        <f>IF($C$5&lt;$BD40,"Wait",IF($C$5=$BD40,MOVE!$J$15,BK40))</f>
        <v>Wait</v>
      </c>
      <c r="BN40" s="207" t="str">
        <f>IF($C$5&lt;$BD40,"Wait",IF($C$5=$BD40,MOVE!$C$6,BN40))</f>
        <v>Wait</v>
      </c>
      <c r="BO40" s="167" t="str">
        <f>IF($C$5&lt;$BD40,"Wait",IF($C$5=$BD40,MOVE!$F$12,BO40))</f>
        <v>Wait</v>
      </c>
      <c r="BP40" s="158" t="str">
        <f>IF($C$5&lt;$BD40,"Wait",IF($C$5=$BD40,MOVE!$X$6,BP40))</f>
        <v>Wait</v>
      </c>
      <c r="BQ40" s="262" t="str">
        <f>IF($C$5&lt;$BD40,"Wait",IF($C$5=$BD40,MOVE!$AA$12,BQ40))</f>
        <v>Wait</v>
      </c>
    </row>
    <row r="41" spans="2:69" x14ac:dyDescent="0.2">
      <c r="B41" s="34">
        <v>23</v>
      </c>
      <c r="C41" s="72">
        <f>IF(ISBLANK($C$3),Start!C41,MOVE!C41)</f>
        <v>99.972523166316336</v>
      </c>
      <c r="D41" s="74">
        <f>IF(ISBLANK($C$3),Start!D41,MOVE!D41)</f>
        <v>99.970587754361873</v>
      </c>
      <c r="E41" s="75">
        <f>IF(ISBLANK($C$3),Start!E41,MOVE!E41)</f>
        <v>99.965470764298004</v>
      </c>
      <c r="F41" s="75">
        <f>IF(ISBLANK($C$3),Start!F41,MOVE!K41)</f>
        <v>99.954106075683072</v>
      </c>
      <c r="G41" s="75">
        <f>IF(ISBLANK($C$3),Start!G41,MOVE!L41)</f>
        <v>99.949710702448243</v>
      </c>
      <c r="H41" s="75">
        <f>IF(ISBLANK($C$3),Start!H41,MOVE!M41)</f>
        <v>99.947527352154097</v>
      </c>
      <c r="I41" s="75">
        <f>IF(ISBLANK($C$3),Start!I41,MOVE!N41)</f>
        <v>99.946449625498374</v>
      </c>
      <c r="J41" s="75">
        <f>IF(ISBLANK($C$3),Start!J41,MOVE!O41)</f>
        <v>99.945917221978036</v>
      </c>
      <c r="K41" s="75">
        <f>IF(ISBLANK($C$3),Start!K41,MOVE!K41)</f>
        <v>99.954106075683072</v>
      </c>
      <c r="L41" s="109">
        <f>IF(ISBLANK($C$3),Start!L41,MOVE!L41)</f>
        <v>99.949710702448243</v>
      </c>
      <c r="M41" s="83">
        <f>IF(ISBLANK($C$3),Start!M41,MOVE!M41)</f>
        <v>99.947527352154097</v>
      </c>
      <c r="N41" s="83">
        <f>IF(ISBLANK($C$3),Start!N41,MOVE!N41)</f>
        <v>99.946449625498374</v>
      </c>
      <c r="O41" s="83">
        <f>IF(ISBLANK($C$3),Start!O41,MOVE!O41)</f>
        <v>99.945917221978036</v>
      </c>
      <c r="P41" s="150">
        <f>IF(ISBLANK($C$3),Start!P41,MOVE!P41)</f>
        <v>99.945649122098459</v>
      </c>
      <c r="Q41" s="150">
        <f>IF(ISBLANK($C$3),Start!Q41,MOVE!Q41)</f>
        <v>99.945503802759561</v>
      </c>
      <c r="R41" s="150">
        <f>IF(ISBLANK($C$3),Start!R41,MOVE!R41)</f>
        <v>99.945407418272708</v>
      </c>
      <c r="S41" s="150">
        <f>IF(ISBLANK($C$3),Start!S41,MOVE!S41)</f>
        <v>99.945317581981385</v>
      </c>
      <c r="T41" s="83">
        <f>IF(ISBLANK($C$3),Start!T41,MOVE!T41)</f>
        <v>99.945206252591092</v>
      </c>
      <c r="U41" s="83">
        <f>IF(ISBLANK($C$3),Start!U41,MOVE!U41)</f>
        <v>99.945054733805364</v>
      </c>
      <c r="V41" s="83">
        <f>IF(ISBLANK($C$3),Start!V41,MOVE!V41)</f>
        <v>99.944858793566823</v>
      </c>
      <c r="W41" s="83">
        <f>IF(ISBLANK($C$3),Start!W41,MOVE!W41)</f>
        <v>99.944640069848532</v>
      </c>
      <c r="X41" s="83">
        <f>IF(ISBLANK($C$3),Start!X41,MOVE!X41)</f>
        <v>99.944444382367976</v>
      </c>
      <c r="Y41" s="83">
        <f>IF(ISBLANK($C$3),Start!Y41,MOVE!Y41)</f>
        <v>99.944293065153261</v>
      </c>
      <c r="Z41" s="83">
        <f>IF(ISBLANK($C$3),Start!Z41,MOVE!Z41)</f>
        <v>99.944180764786424</v>
      </c>
      <c r="AA41" s="83">
        <f>IF(ISBLANK($C$3),Start!AA41,MOVE!AA41)</f>
        <v>99.944085290784429</v>
      </c>
      <c r="AB41" s="83">
        <f>IF(ISBLANK($C$3),Start!AB41,MOVE!AB41)</f>
        <v>99.94396858612167</v>
      </c>
      <c r="AC41" s="83">
        <f>IF(ISBLANK($C$3),Start!AC41,MOVE!AC41)</f>
        <v>99.94376102084496</v>
      </c>
      <c r="AD41" s="83">
        <f>IF(ISBLANK($C$3),Start!AD41,MOVE!AD41)</f>
        <v>99.943317153943568</v>
      </c>
      <c r="AE41" s="83">
        <f>IF(ISBLANK($C$3),Start!AE41,MOVE!AE41)</f>
        <v>99.942311652466856</v>
      </c>
      <c r="AF41" s="83">
        <f>IF(ISBLANK($C$3),Start!AF41,MOVE!AF41)</f>
        <v>99.93999917223087</v>
      </c>
      <c r="AG41" s="83">
        <f>IF(ISBLANK($C$3),Start!AG41,MOVE!AG41)</f>
        <v>99.934659869067644</v>
      </c>
      <c r="AH41" s="83">
        <f>IF(ISBLANK($C$3),Start!AH41,MOVE!AH41)</f>
        <v>99.922316925816091</v>
      </c>
      <c r="AI41" s="83">
        <f>IF(ISBLANK($C$3),Start!AI41,MOVE!AI41)</f>
        <v>99.893768529115903</v>
      </c>
      <c r="AJ41" s="83">
        <f>IF(ISBLANK($C$3),Start!AJ41,MOVE!AJ41)</f>
        <v>99.82772009286461</v>
      </c>
      <c r="AK41" s="83">
        <f>IF(ISBLANK($C$3),Start!AK41,MOVE!AK41)</f>
        <v>99.67491063050872</v>
      </c>
      <c r="AL41" s="83">
        <f>IF(ISBLANK($C$3),Start!AL41,MOVE!AL41)</f>
        <v>99.321535644929725</v>
      </c>
      <c r="AM41" s="83">
        <f>IF(ISBLANK($C$3),Start!AM41,MOVE!AM41)</f>
        <v>98.505589188251534</v>
      </c>
      <c r="AN41" s="83">
        <f>IF(ISBLANK($C$3),Start!AN41,MOVE!AN41)</f>
        <v>96.628911258696363</v>
      </c>
      <c r="AO41" s="83">
        <f>IF(ISBLANK($C$3),Start!AO41,MOVE!AO41)</f>
        <v>92.352970203822977</v>
      </c>
      <c r="AP41" s="83">
        <f>IF(ISBLANK($C$3),Start!AP41,MOVE!AP41)</f>
        <v>82.824031150149054</v>
      </c>
      <c r="AQ41" s="83">
        <f>IF(ISBLANK($C$3),Start!AQ41,MOVE!AQ41)</f>
        <v>62.666848434064605</v>
      </c>
      <c r="AR41" s="92">
        <f>IF(ISBLANK($C$3),Start!AR41,MOVE!AR41)</f>
        <v>24.994862056291897</v>
      </c>
      <c r="AS41" s="86">
        <f>IF(ISBLANK($C$3),Start!AS41,MOVE!AS41)</f>
        <v>15.437690376970277</v>
      </c>
      <c r="AT41" s="86">
        <f>IF(ISBLANK($C$3),Start!AT41,MOVE!AT41)</f>
        <v>12.178504789224158</v>
      </c>
      <c r="AU41" s="86">
        <f>IF(ISBLANK($C$3),Start!AU41,MOVE!AU41)</f>
        <v>10.910191653468704</v>
      </c>
      <c r="AV41" s="86">
        <f>IF(ISBLANK($C$3),Start!AV41,MOVE!AV41)</f>
        <v>10.387240189257149</v>
      </c>
      <c r="AW41" s="86">
        <f>IF(ISBLANK($C$3),Start!AW41,MOVE!AW41)</f>
        <v>10.166296369367981</v>
      </c>
      <c r="AX41" s="86">
        <f>IF(ISBLANK($C$3),Start!AX41,MOVE!AX41)</f>
        <v>10.072334635007238</v>
      </c>
      <c r="AY41" s="87">
        <f>IF(ISBLANK($C$3),Start!AY41,MOVE!AY41)</f>
        <v>10.033119768140212</v>
      </c>
      <c r="AZ41" s="72">
        <f>IF(ISBLANK($C$3),Start!AZ41,MOVE!AZ41)</f>
        <v>10.018886807230503</v>
      </c>
      <c r="BA41" s="165">
        <v>23</v>
      </c>
      <c r="BB41" s="178"/>
      <c r="BC41" s="175">
        <v>22</v>
      </c>
      <c r="BD41" s="176">
        <v>660</v>
      </c>
      <c r="BE41" s="177" t="s">
        <v>62</v>
      </c>
      <c r="BF41" s="200" t="str">
        <f t="shared" si="0"/>
        <v>Wait</v>
      </c>
      <c r="BG41" s="168" t="str">
        <f>IF($C$5&lt;$BD41,"Wait",IF($C$5=$BD41,MOVE!$M$10,BG41))</f>
        <v>Wait</v>
      </c>
      <c r="BH41" s="157" t="str">
        <f>IF($C$5&lt;$BD41,"Wait",IF($C$5=$BD41,MOVE!$J$6,BH41))</f>
        <v>Wait</v>
      </c>
      <c r="BI41" s="160" t="str">
        <f>IF($C$5&lt;$BD41,"Wait",IF($C$5=$BD41,MOVE!$J$16,BI41))</f>
        <v>Wait</v>
      </c>
      <c r="BJ41" s="158" t="str">
        <f>IF($C$5&lt;$BD41,"Wait",IF($C$5=$BD41,MOVE!$J$14,BJ41))</f>
        <v>Wait</v>
      </c>
      <c r="BK41" s="262" t="str">
        <f>IF($C$5&lt;$BD41,"Wait",IF($C$5=$BD41,MOVE!$J$15,BK41))</f>
        <v>Wait</v>
      </c>
      <c r="BN41" s="207" t="str">
        <f>IF($C$5&lt;$BD41,"Wait",IF($C$5=$BD41,MOVE!$C$6,BN41))</f>
        <v>Wait</v>
      </c>
      <c r="BO41" s="167" t="str">
        <f>IF($C$5&lt;$BD41,"Wait",IF($C$5=$BD41,MOVE!$F$12,BO41))</f>
        <v>Wait</v>
      </c>
      <c r="BP41" s="158" t="str">
        <f>IF($C$5&lt;$BD41,"Wait",IF($C$5=$BD41,MOVE!$X$6,BP41))</f>
        <v>Wait</v>
      </c>
      <c r="BQ41" s="262" t="str">
        <f>IF($C$5&lt;$BD41,"Wait",IF($C$5=$BD41,MOVE!$AA$12,BQ41))</f>
        <v>Wait</v>
      </c>
    </row>
    <row r="42" spans="2:69" x14ac:dyDescent="0.2">
      <c r="B42" s="34">
        <v>24</v>
      </c>
      <c r="C42" s="72">
        <f>IF(ISBLANK($C$3),Start!C42,MOVE!C42)</f>
        <v>99.941122922373324</v>
      </c>
      <c r="D42" s="74">
        <f>IF(ISBLANK($C$3),Start!D42,MOVE!D42)</f>
        <v>99.939557455020221</v>
      </c>
      <c r="E42" s="75">
        <f>IF(ISBLANK($C$3),Start!E42,MOVE!E42)</f>
        <v>99.935057173193471</v>
      </c>
      <c r="F42" s="75">
        <f>IF(ISBLANK($C$3),Start!F42,MOVE!K42)</f>
        <v>99.924398449869102</v>
      </c>
      <c r="G42" s="75">
        <f>IF(ISBLANK($C$3),Start!G42,MOVE!L42)</f>
        <v>99.920010120009707</v>
      </c>
      <c r="H42" s="75">
        <f>IF(ISBLANK($C$3),Start!H42,MOVE!M42)</f>
        <v>99.917814210110734</v>
      </c>
      <c r="I42" s="75">
        <f>IF(ISBLANK($C$3),Start!I42,MOVE!N42)</f>
        <v>99.916720273518308</v>
      </c>
      <c r="J42" s="75">
        <f>IF(ISBLANK($C$3),Start!J42,MOVE!O42)</f>
        <v>99.916175861143586</v>
      </c>
      <c r="K42" s="75">
        <f>IF(ISBLANK($C$3),Start!K42,MOVE!K42)</f>
        <v>99.924398449869102</v>
      </c>
      <c r="L42" s="109">
        <f>IF(ISBLANK($C$3),Start!L42,MOVE!L42)</f>
        <v>99.920010120009707</v>
      </c>
      <c r="M42" s="83">
        <f>IF(ISBLANK($C$3),Start!M42,MOVE!M42)</f>
        <v>99.917814210110734</v>
      </c>
      <c r="N42" s="83">
        <f>IF(ISBLANK($C$3),Start!N42,MOVE!N42)</f>
        <v>99.916720273518308</v>
      </c>
      <c r="O42" s="83">
        <f>IF(ISBLANK($C$3),Start!O42,MOVE!O42)</f>
        <v>99.916175861143586</v>
      </c>
      <c r="P42" s="83">
        <f>IF(ISBLANK($C$3),Start!P42,MOVE!P42)</f>
        <v>99.915902390333429</v>
      </c>
      <c r="Q42" s="83">
        <f>IF(ISBLANK($C$3),Start!Q42,MOVE!Q42)</f>
        <v>99.915759340640079</v>
      </c>
      <c r="R42" s="83">
        <f>IF(ISBLANK($C$3),Start!R42,MOVE!R42)</f>
        <v>99.915674852904971</v>
      </c>
      <c r="S42" s="83">
        <f>IF(ISBLANK($C$3),Start!S42,MOVE!S42)</f>
        <v>99.915610725514327</v>
      </c>
      <c r="T42" s="83">
        <f>IF(ISBLANK($C$3),Start!T42,MOVE!T42)</f>
        <v>99.915545497790305</v>
      </c>
      <c r="U42" s="83">
        <f>IF(ISBLANK($C$3),Start!U42,MOVE!U42)</f>
        <v>99.915467638968039</v>
      </c>
      <c r="V42" s="83">
        <f>IF(ISBLANK($C$3),Start!V42,MOVE!V42)</f>
        <v>99.915374742777487</v>
      </c>
      <c r="W42" s="83">
        <f>IF(ISBLANK($C$3),Start!W42,MOVE!W42)</f>
        <v>99.915274746593965</v>
      </c>
      <c r="X42" s="83">
        <f>IF(ISBLANK($C$3),Start!X42,MOVE!X42)</f>
        <v>99.915182251325191</v>
      </c>
      <c r="Y42" s="83">
        <f>IF(ISBLANK($C$3),Start!Y42,MOVE!Y42)</f>
        <v>99.915104936998105</v>
      </c>
      <c r="Z42" s="83">
        <f>IF(ISBLANK($C$3),Start!Z42,MOVE!Z42)</f>
        <v>99.915039382380144</v>
      </c>
      <c r="AA42" s="83">
        <f>IF(ISBLANK($C$3),Start!AA42,MOVE!AA42)</f>
        <v>99.914970744998001</v>
      </c>
      <c r="AB42" s="83">
        <f>IF(ISBLANK($C$3),Start!AB42,MOVE!AB42)</f>
        <v>99.914867799544965</v>
      </c>
      <c r="AC42" s="83">
        <f>IF(ISBLANK($C$3),Start!AC42,MOVE!AC42)</f>
        <v>99.914665308559677</v>
      </c>
      <c r="AD42" s="83">
        <f>IF(ISBLANK($C$3),Start!AD42,MOVE!AD42)</f>
        <v>99.914219543020877</v>
      </c>
      <c r="AE42" s="83">
        <f>IF(ISBLANK($C$3),Start!AE42,MOVE!AE42)</f>
        <v>99.913204139805487</v>
      </c>
      <c r="AF42" s="83">
        <f>IF(ISBLANK($C$3),Start!AF42,MOVE!AF42)</f>
        <v>99.910869365971649</v>
      </c>
      <c r="AG42" s="83">
        <f>IF(ISBLANK($C$3),Start!AG42,MOVE!AG42)</f>
        <v>99.905486027313074</v>
      </c>
      <c r="AH42" s="83">
        <f>IF(ISBLANK($C$3),Start!AH42,MOVE!AH42)</f>
        <v>99.89306001712643</v>
      </c>
      <c r="AI42" s="83">
        <f>IF(ISBLANK($C$3),Start!AI42,MOVE!AI42)</f>
        <v>99.864359615989301</v>
      </c>
      <c r="AJ42" s="83">
        <f>IF(ISBLANK($C$3),Start!AJ42,MOVE!AJ42)</f>
        <v>99.798041533853336</v>
      </c>
      <c r="AK42" s="83">
        <f>IF(ISBLANK($C$3),Start!AK42,MOVE!AK42)</f>
        <v>99.644771672085866</v>
      </c>
      <c r="AL42" s="83">
        <f>IF(ISBLANK($C$3),Start!AL42,MOVE!AL42)</f>
        <v>99.290650441645354</v>
      </c>
      <c r="AM42" s="83">
        <f>IF(ISBLANK($C$3),Start!AM42,MOVE!AM42)</f>
        <v>98.473586774803493</v>
      </c>
      <c r="AN42" s="83">
        <f>IF(ISBLANK($C$3),Start!AN42,MOVE!AN42)</f>
        <v>96.595462900641607</v>
      </c>
      <c r="AO42" s="83">
        <f>IF(ISBLANK($C$3),Start!AO42,MOVE!AO42)</f>
        <v>92.318252465754512</v>
      </c>
      <c r="AP42" s="83">
        <f>IF(ISBLANK($C$3),Start!AP42,MOVE!AP42)</f>
        <v>82.789997646519936</v>
      </c>
      <c r="AQ42" s="83">
        <f>IF(ISBLANK($C$3),Start!AQ42,MOVE!AQ42)</f>
        <v>62.639885564952699</v>
      </c>
      <c r="AR42" s="92">
        <f>IF(ISBLANK($C$3),Start!AR42,MOVE!AR42)</f>
        <v>24.987962611624422</v>
      </c>
      <c r="AS42" s="86">
        <f>IF(ISBLANK($C$3),Start!AS42,MOVE!AS42)</f>
        <v>15.434779287151011</v>
      </c>
      <c r="AT42" s="86">
        <f>IF(ISBLANK($C$3),Start!AT42,MOVE!AT42)</f>
        <v>12.176937519160463</v>
      </c>
      <c r="AU42" s="86">
        <f>IF(ISBLANK($C$3),Start!AU42,MOVE!AU42)</f>
        <v>10.909269093681496</v>
      </c>
      <c r="AV42" s="86">
        <f>IF(ISBLANK($C$3),Start!AV42,MOVE!AV42)</f>
        <v>10.386689683633984</v>
      </c>
      <c r="AW42" s="86">
        <f>IF(ISBLANK($C$3),Start!AW42,MOVE!AW42)</f>
        <v>10.165972297101366</v>
      </c>
      <c r="AX42" s="86">
        <f>IF(ISBLANK($C$3),Start!AX42,MOVE!AX42)</f>
        <v>10.072145616060524</v>
      </c>
      <c r="AY42" s="87">
        <f>IF(ISBLANK($C$3),Start!AY42,MOVE!AY42)</f>
        <v>10.033005380991566</v>
      </c>
      <c r="AZ42" s="72">
        <f>IF(ISBLANK($C$3),Start!AZ42,MOVE!AZ42)</f>
        <v>10.018805270019188</v>
      </c>
      <c r="BA42" s="165">
        <v>24</v>
      </c>
      <c r="BB42" s="178"/>
      <c r="BC42" s="175">
        <v>23</v>
      </c>
      <c r="BD42" s="176">
        <v>690</v>
      </c>
      <c r="BE42" s="177" t="s">
        <v>63</v>
      </c>
      <c r="BF42" s="200" t="str">
        <f t="shared" si="0"/>
        <v>Wait</v>
      </c>
      <c r="BG42" s="168" t="str">
        <f>IF($C$5&lt;$BD42,"Wait",IF($C$5=$BD42,MOVE!$M$10,BG42))</f>
        <v>Wait</v>
      </c>
      <c r="BH42" s="157" t="str">
        <f>IF($C$5&lt;$BD42,"Wait",IF($C$5=$BD42,MOVE!$J$6,BH42))</f>
        <v>Wait</v>
      </c>
      <c r="BI42" s="157" t="str">
        <f>IF($C$5&lt;$BD42,"Wait",IF($C$5=$BD42,MOVE!$J$16,BI42))</f>
        <v>Wait</v>
      </c>
      <c r="BJ42" s="158" t="str">
        <f>IF($C$5&lt;$BD42,"Wait",IF($C$5=$BD42,MOVE!$J$14,BJ42))</f>
        <v>Wait</v>
      </c>
      <c r="BK42" s="262" t="str">
        <f>IF($C$5&lt;$BD42,"Wait",IF($C$5=$BD42,MOVE!$J$15,BK42))</f>
        <v>Wait</v>
      </c>
      <c r="BN42" s="207" t="str">
        <f>IF($C$5&lt;$BD42,"Wait",IF($C$5=$BD42,MOVE!$C$6,BN42))</f>
        <v>Wait</v>
      </c>
      <c r="BO42" s="167" t="str">
        <f>IF($C$5&lt;$BD42,"Wait",IF($C$5=$BD42,MOVE!$F$12,BO42))</f>
        <v>Wait</v>
      </c>
      <c r="BP42" s="158" t="str">
        <f>IF($C$5&lt;$BD42,"Wait",IF($C$5=$BD42,MOVE!$X$6,BP42))</f>
        <v>Wait</v>
      </c>
      <c r="BQ42" s="262" t="str">
        <f>IF($C$5&lt;$BD42,"Wait",IF($C$5=$BD42,MOVE!$AA$12,BQ42))</f>
        <v>Wait</v>
      </c>
    </row>
    <row r="43" spans="2:69" x14ac:dyDescent="0.2">
      <c r="B43" s="34">
        <v>25</v>
      </c>
      <c r="C43" s="72">
        <f>IF(ISBLANK($C$3),Start!C43,MOVE!C43)</f>
        <v>99.868175211679585</v>
      </c>
      <c r="D43" s="74">
        <f>IF(ISBLANK($C$3),Start!D43,MOVE!D43)</f>
        <v>99.867738767711629</v>
      </c>
      <c r="E43" s="75">
        <f>IF(ISBLANK($C$3),Start!E43,MOVE!E43)</f>
        <v>99.865137377242689</v>
      </c>
      <c r="F43" s="75">
        <f>IF(ISBLANK($C$3),Start!F43,MOVE!K43)</f>
        <v>99.856719050646547</v>
      </c>
      <c r="G43" s="75">
        <f>IF(ISBLANK($C$3),Start!G43,MOVE!L43)</f>
        <v>99.852337202146657</v>
      </c>
      <c r="H43" s="75">
        <f>IF(ISBLANK($C$3),Start!H43,MOVE!M43)</f>
        <v>99.850137740871418</v>
      </c>
      <c r="I43" s="75">
        <f>IF(ISBLANK($C$3),Start!I43,MOVE!N43)</f>
        <v>99.849036905313667</v>
      </c>
      <c r="J43" s="75">
        <f>IF(ISBLANK($C$3),Start!J43,MOVE!O43)</f>
        <v>99.848486583029228</v>
      </c>
      <c r="K43" s="75">
        <f>IF(ISBLANK($C$3),Start!K43,MOVE!K43)</f>
        <v>99.856719050646547</v>
      </c>
      <c r="L43" s="109">
        <f>IF(ISBLANK($C$3),Start!L43,MOVE!L43)</f>
        <v>99.852337202146657</v>
      </c>
      <c r="M43" s="83">
        <f>IF(ISBLANK($C$3),Start!M43,MOVE!M43)</f>
        <v>99.850137740871418</v>
      </c>
      <c r="N43" s="83">
        <f>IF(ISBLANK($C$3),Start!N43,MOVE!N43)</f>
        <v>99.849036905313667</v>
      </c>
      <c r="O43" s="83">
        <f>IF(ISBLANK($C$3),Start!O43,MOVE!O43)</f>
        <v>99.848486583029228</v>
      </c>
      <c r="P43" s="83">
        <f>IF(ISBLANK($C$3),Start!P43,MOVE!P43)</f>
        <v>99.848210252046471</v>
      </c>
      <c r="Q43" s="83">
        <f>IF(ISBLANK($C$3),Start!Q43,MOVE!Q43)</f>
        <v>99.848068494483641</v>
      </c>
      <c r="R43" s="83">
        <f>IF(ISBLANK($C$3),Start!R43,MOVE!R43)</f>
        <v>99.847990686729275</v>
      </c>
      <c r="S43" s="83">
        <f>IF(ISBLANK($C$3),Start!S43,MOVE!S43)</f>
        <v>99.847940557683643</v>
      </c>
      <c r="T43" s="83">
        <f>IF(ISBLANK($C$3),Start!T43,MOVE!T43)</f>
        <v>99.847899196629086</v>
      </c>
      <c r="U43" s="83">
        <f>IF(ISBLANK($C$3),Start!U43,MOVE!U43)</f>
        <v>99.847857200015767</v>
      </c>
      <c r="V43" s="83">
        <f>IF(ISBLANK($C$3),Start!V43,MOVE!V43)</f>
        <v>99.847811532226004</v>
      </c>
      <c r="W43" s="83">
        <f>IF(ISBLANK($C$3),Start!W43,MOVE!W43)</f>
        <v>99.84776404564488</v>
      </c>
      <c r="X43" s="83">
        <f>IF(ISBLANK($C$3),Start!X43,MOVE!X43)</f>
        <v>99.847718858879148</v>
      </c>
      <c r="Y43" s="83">
        <f>IF(ISBLANK($C$3),Start!Y43,MOVE!Y43)</f>
        <v>99.847677568885047</v>
      </c>
      <c r="Z43" s="83">
        <f>IF(ISBLANK($C$3),Start!Z43,MOVE!Z43)</f>
        <v>99.847636112264496</v>
      </c>
      <c r="AA43" s="83">
        <f>IF(ISBLANK($C$3),Start!AA43,MOVE!AA43)</f>
        <v>99.847581693004614</v>
      </c>
      <c r="AB43" s="83">
        <f>IF(ISBLANK($C$3),Start!AB43,MOVE!AB43)</f>
        <v>99.847485346206469</v>
      </c>
      <c r="AC43" s="83">
        <f>IF(ISBLANK($C$3),Start!AC43,MOVE!AC43)</f>
        <v>99.847282925185453</v>
      </c>
      <c r="AD43" s="83">
        <f>IF(ISBLANK($C$3),Start!AD43,MOVE!AD43)</f>
        <v>99.846829776352635</v>
      </c>
      <c r="AE43" s="83">
        <f>IF(ISBLANK($C$3),Start!AE43,MOVE!AE43)</f>
        <v>99.845795551978142</v>
      </c>
      <c r="AF43" s="83">
        <f>IF(ISBLANK($C$3),Start!AF43,MOVE!AF43)</f>
        <v>99.843421540229727</v>
      </c>
      <c r="AG43" s="83">
        <f>IF(ISBLANK($C$3),Start!AG43,MOVE!AG43)</f>
        <v>99.837960993090434</v>
      </c>
      <c r="AH43" s="83">
        <f>IF(ISBLANK($C$3),Start!AH43,MOVE!AH43)</f>
        <v>99.825387528835776</v>
      </c>
      <c r="AI43" s="83">
        <f>IF(ISBLANK($C$3),Start!AI43,MOVE!AI43)</f>
        <v>99.796412815229843</v>
      </c>
      <c r="AJ43" s="83">
        <f>IF(ISBLANK($C$3),Start!AJ43,MOVE!AJ43)</f>
        <v>99.729599567836317</v>
      </c>
      <c r="AK43" s="83">
        <f>IF(ISBLANK($C$3),Start!AK43,MOVE!AK43)</f>
        <v>99.575469705252331</v>
      </c>
      <c r="AL43" s="83">
        <f>IF(ISBLANK($C$3),Start!AL43,MOVE!AL43)</f>
        <v>99.219932859530445</v>
      </c>
      <c r="AM43" s="83">
        <f>IF(ISBLANK($C$3),Start!AM43,MOVE!AM43)</f>
        <v>98.400725493758515</v>
      </c>
      <c r="AN43" s="83">
        <f>IF(ISBLANK($C$3),Start!AN43,MOVE!AN43)</f>
        <v>96.519825381892019</v>
      </c>
      <c r="AO43" s="83">
        <f>IF(ISBLANK($C$3),Start!AO43,MOVE!AO43)</f>
        <v>92.240298796259523</v>
      </c>
      <c r="AP43" s="83">
        <f>IF(ISBLANK($C$3),Start!AP43,MOVE!AP43)</f>
        <v>82.714053747256003</v>
      </c>
      <c r="AQ43" s="83">
        <f>IF(ISBLANK($C$3),Start!AQ43,MOVE!AQ43)</f>
        <v>62.579979940108458</v>
      </c>
      <c r="AR43" s="92">
        <f>IF(ISBLANK($C$3),Start!AR43,MOVE!AR43)</f>
        <v>24.972659663710033</v>
      </c>
      <c r="AS43" s="86">
        <f>IF(ISBLANK($C$3),Start!AS43,MOVE!AS43)</f>
        <v>15.428363912180602</v>
      </c>
      <c r="AT43" s="86">
        <f>IF(ISBLANK($C$3),Start!AT43,MOVE!AT43)</f>
        <v>12.173533519635155</v>
      </c>
      <c r="AU43" s="86">
        <f>IF(ISBLANK($C$3),Start!AU43,MOVE!AU43)</f>
        <v>10.907309969727372</v>
      </c>
      <c r="AV43" s="86">
        <f>IF(ISBLANK($C$3),Start!AV43,MOVE!AV43)</f>
        <v>10.385552982440087</v>
      </c>
      <c r="AW43" s="86">
        <f>IF(ISBLANK($C$3),Start!AW43,MOVE!AW43)</f>
        <v>10.165323892970735</v>
      </c>
      <c r="AX43" s="86">
        <f>IF(ISBLANK($C$3),Start!AX43,MOVE!AX43)</f>
        <v>10.071780123922775</v>
      </c>
      <c r="AY43" s="87">
        <f>IF(ISBLANK($C$3),Start!AY43,MOVE!AY43)</f>
        <v>10.032792032629656</v>
      </c>
      <c r="AZ43" s="72">
        <f>IF(ISBLANK($C$3),Start!AZ43,MOVE!AZ43)</f>
        <v>10.018657579758191</v>
      </c>
      <c r="BA43" s="165">
        <v>25</v>
      </c>
      <c r="BB43" s="178"/>
      <c r="BC43" s="175">
        <v>24</v>
      </c>
      <c r="BD43" s="176">
        <v>720</v>
      </c>
      <c r="BE43" s="177" t="s">
        <v>52</v>
      </c>
      <c r="BF43" s="201" t="str">
        <f t="shared" si="0"/>
        <v>Wait</v>
      </c>
      <c r="BG43" s="186" t="str">
        <f>IF($C$5&lt;$BD43,"Wait",IF($C$5=$BD43,MOVE!$M$10,BG43))</f>
        <v>Wait</v>
      </c>
      <c r="BH43" s="183" t="str">
        <f>IF($C$5&lt;$BD43,"Wait",IF($C$5=$BD43,MOVE!$J$6,BH43))</f>
        <v>Wait</v>
      </c>
      <c r="BI43" s="183" t="str">
        <f>IF($C$5&lt;$BD43,"Wait",IF($C$5=$BD43,MOVE!$J$16,BI43))</f>
        <v>Wait</v>
      </c>
      <c r="BJ43" s="158" t="str">
        <f>IF($C$5&lt;$BD43,"Wait",IF($C$5=$BD43,MOVE!$J$14,BJ43))</f>
        <v>Wait</v>
      </c>
      <c r="BK43" s="262" t="str">
        <f>IF($C$5&lt;$BD43,"Wait",IF($C$5=$BD43,MOVE!$J$15,BK43))</f>
        <v>Wait</v>
      </c>
      <c r="BL43" s="112" t="s">
        <v>74</v>
      </c>
      <c r="BM43" s="112"/>
      <c r="BN43" s="207" t="str">
        <f>IF($C$5&lt;$BD43,"Wait",IF($C$5=$BD43,MOVE!$C$6,BN43))</f>
        <v>Wait</v>
      </c>
      <c r="BO43" s="167" t="str">
        <f>IF($C$5&lt;$BD43,"Wait",IF($C$5=$BD43,MOVE!$F$12,BO43))</f>
        <v>Wait</v>
      </c>
      <c r="BP43" s="158" t="str">
        <f>IF($C$5&lt;$BD43,"Wait",IF($C$5=$BD43,MOVE!$X$6,BP43))</f>
        <v>Wait</v>
      </c>
      <c r="BQ43" s="262" t="str">
        <f>IF($C$5&lt;$BD43,"Wait",IF($C$5=$BD43,MOVE!$AA$12,BQ43))</f>
        <v>Wait</v>
      </c>
    </row>
    <row r="44" spans="2:69" x14ac:dyDescent="0.2">
      <c r="B44" s="34">
        <v>26</v>
      </c>
      <c r="C44" s="72">
        <f>IF(ISBLANK($C$3),Start!C44,MOVE!C44)</f>
        <v>99.697985325638044</v>
      </c>
      <c r="D44" s="74">
        <f>IF(ISBLANK($C$3),Start!D44,MOVE!D44)</f>
        <v>99.700652597438435</v>
      </c>
      <c r="E44" s="75">
        <f>IF(ISBLANK($C$3),Start!E44,MOVE!E44)</f>
        <v>99.703105872447935</v>
      </c>
      <c r="F44" s="75">
        <f>IF(ISBLANK($C$3),Start!F44,MOVE!K44)</f>
        <v>99.700521521090252</v>
      </c>
      <c r="G44" s="75">
        <f>IF(ISBLANK($C$3),Start!G44,MOVE!L44)</f>
        <v>99.696148436721359</v>
      </c>
      <c r="H44" s="75">
        <f>IF(ISBLANK($C$3),Start!H44,MOVE!M44)</f>
        <v>99.693948199854873</v>
      </c>
      <c r="I44" s="75">
        <f>IF(ISBLANK($C$3),Start!I44,MOVE!N44)</f>
        <v>99.69284308152227</v>
      </c>
      <c r="J44" s="75">
        <f>IF(ISBLANK($C$3),Start!J44,MOVE!O44)</f>
        <v>99.692288463107531</v>
      </c>
      <c r="K44" s="75">
        <f>IF(ISBLANK($C$3),Start!K44,MOVE!K44)</f>
        <v>99.700521521090252</v>
      </c>
      <c r="L44" s="109">
        <f>IF(ISBLANK($C$3),Start!L44,MOVE!L44)</f>
        <v>99.696148436721359</v>
      </c>
      <c r="M44" s="83">
        <f>IF(ISBLANK($C$3),Start!M44,MOVE!M44)</f>
        <v>99.693948199854873</v>
      </c>
      <c r="N44" s="83">
        <f>IF(ISBLANK($C$3),Start!N44,MOVE!N44)</f>
        <v>99.69284308152227</v>
      </c>
      <c r="O44" s="83">
        <f>IF(ISBLANK($C$3),Start!O44,MOVE!O44)</f>
        <v>99.692288463107531</v>
      </c>
      <c r="P44" s="83">
        <f>IF(ISBLANK($C$3),Start!P44,MOVE!P44)</f>
        <v>99.692009528909409</v>
      </c>
      <c r="Q44" s="83">
        <f>IF(ISBLANK($C$3),Start!Q44,MOVE!Q44)</f>
        <v>99.691867691140217</v>
      </c>
      <c r="R44" s="83">
        <f>IF(ISBLANK($C$3),Start!R44,MOVE!R44)</f>
        <v>99.691792960631673</v>
      </c>
      <c r="S44" s="83">
        <f>IF(ISBLANK($C$3),Start!S44,MOVE!S44)</f>
        <v>99.69174983876168</v>
      </c>
      <c r="T44" s="83">
        <f>IF(ISBLANK($C$3),Start!T44,MOVE!T44)</f>
        <v>99.691720281262747</v>
      </c>
      <c r="U44" s="83">
        <f>IF(ISBLANK($C$3),Start!U44,MOVE!U44)</f>
        <v>99.691695373666576</v>
      </c>
      <c r="V44" s="83">
        <f>IF(ISBLANK($C$3),Start!V44,MOVE!V44)</f>
        <v>99.691671351537622</v>
      </c>
      <c r="W44" s="83">
        <f>IF(ISBLANK($C$3),Start!W44,MOVE!W44)</f>
        <v>99.691647444845316</v>
      </c>
      <c r="X44" s="83">
        <f>IF(ISBLANK($C$3),Start!X44,MOVE!X44)</f>
        <v>99.691623933157899</v>
      </c>
      <c r="Y44" s="83">
        <f>IF(ISBLANK($C$3),Start!Y44,MOVE!Y44)</f>
        <v>99.691599753233461</v>
      </c>
      <c r="Z44" s="83">
        <f>IF(ISBLANK($C$3),Start!Z44,MOVE!Z44)</f>
        <v>99.691569994716943</v>
      </c>
      <c r="AA44" s="83">
        <f>IF(ISBLANK($C$3),Start!AA44,MOVE!AA44)</f>
        <v>99.691522035769751</v>
      </c>
      <c r="AB44" s="83">
        <f>IF(ISBLANK($C$3),Start!AB44,MOVE!AB44)</f>
        <v>99.691426997656635</v>
      </c>
      <c r="AC44" s="83">
        <f>IF(ISBLANK($C$3),Start!AC44,MOVE!AC44)</f>
        <v>99.691219677421657</v>
      </c>
      <c r="AD44" s="83">
        <f>IF(ISBLANK($C$3),Start!AD44,MOVE!AD44)</f>
        <v>99.690751971263211</v>
      </c>
      <c r="AE44" s="83">
        <f>IF(ISBLANK($C$3),Start!AE44,MOVE!AE44)</f>
        <v>99.689685642051003</v>
      </c>
      <c r="AF44" s="83">
        <f>IF(ISBLANK($C$3),Start!AF44,MOVE!AF44)</f>
        <v>99.687245904905865</v>
      </c>
      <c r="AG44" s="83">
        <f>IF(ISBLANK($C$3),Start!AG44,MOVE!AG44)</f>
        <v>99.681654968230944</v>
      </c>
      <c r="AH44" s="83">
        <f>IF(ISBLANK($C$3),Start!AH44,MOVE!AH44)</f>
        <v>99.668828732168137</v>
      </c>
      <c r="AI44" s="83">
        <f>IF(ISBLANK($C$3),Start!AI44,MOVE!AI44)</f>
        <v>99.639375789249229</v>
      </c>
      <c r="AJ44" s="83">
        <f>IF(ISBLANK($C$3),Start!AJ44,MOVE!AJ44)</f>
        <v>99.571684323577017</v>
      </c>
      <c r="AK44" s="83">
        <f>IF(ISBLANK($C$3),Start!AK44,MOVE!AK44)</f>
        <v>99.416003832985851</v>
      </c>
      <c r="AL44" s="83">
        <f>IF(ISBLANK($C$3),Start!AL44,MOVE!AL44)</f>
        <v>99.057877913685161</v>
      </c>
      <c r="AM44" s="83">
        <f>IF(ISBLANK($C$3),Start!AM44,MOVE!AM44)</f>
        <v>98.234715684197283</v>
      </c>
      <c r="AN44" s="83">
        <f>IF(ISBLANK($C$3),Start!AN44,MOVE!AN44)</f>
        <v>96.34873215362478</v>
      </c>
      <c r="AO44" s="83">
        <f>IF(ISBLANK($C$3),Start!AO44,MOVE!AO44)</f>
        <v>92.065361850221208</v>
      </c>
      <c r="AP44" s="83">
        <f>IF(ISBLANK($C$3),Start!AP44,MOVE!AP44)</f>
        <v>82.544875568051097</v>
      </c>
      <c r="AQ44" s="83">
        <f>IF(ISBLANK($C$3),Start!AQ44,MOVE!AQ44)</f>
        <v>62.447246300763965</v>
      </c>
      <c r="AR44" s="92">
        <f>IF(ISBLANK($C$3),Start!AR44,MOVE!AR44)</f>
        <v>24.93881042021907</v>
      </c>
      <c r="AS44" s="86">
        <f>IF(ISBLANK($C$3),Start!AS44,MOVE!AS44)</f>
        <v>15.414284458306378</v>
      </c>
      <c r="AT44" s="86">
        <f>IF(ISBLANK($C$3),Start!AT44,MOVE!AT44)</f>
        <v>12.166196770447661</v>
      </c>
      <c r="AU44" s="86">
        <f>IF(ISBLANK($C$3),Start!AU44,MOVE!AU44)</f>
        <v>10.903201061363241</v>
      </c>
      <c r="AV44" s="86">
        <f>IF(ISBLANK($C$3),Start!AV44,MOVE!AV44)</f>
        <v>10.383246147612986</v>
      </c>
      <c r="AW44" s="86">
        <f>IF(ISBLANK($C$3),Start!AW44,MOVE!AW44)</f>
        <v>10.164054275860192</v>
      </c>
      <c r="AX44" s="86">
        <f>IF(ISBLANK($C$3),Start!AX44,MOVE!AX44)</f>
        <v>10.07109093484935</v>
      </c>
      <c r="AY44" s="87">
        <f>IF(ISBLANK($C$3),Start!AY44,MOVE!AY44)</f>
        <v>10.032405181115067</v>
      </c>
      <c r="AZ44" s="72">
        <f>IF(ISBLANK($C$3),Start!AZ44,MOVE!AZ44)</f>
        <v>10.018398234166444</v>
      </c>
      <c r="BA44" s="165">
        <v>26</v>
      </c>
      <c r="BB44" s="178"/>
      <c r="BC44" s="175">
        <v>25</v>
      </c>
      <c r="BD44" s="176">
        <v>750</v>
      </c>
      <c r="BE44" s="177" t="s">
        <v>53</v>
      </c>
      <c r="BF44" s="208" t="str">
        <f t="shared" si="0"/>
        <v>Wait</v>
      </c>
      <c r="BG44" s="209" t="str">
        <f>IF($C$5&lt;$BD44,"Wait",IF($C$5=$BD44,MOVE!$M$10,BG44))</f>
        <v>Wait</v>
      </c>
      <c r="BH44" s="210" t="str">
        <f>IF($C$5&lt;$BD44,"Wait",IF($C$5=$BD44,MOVE!$J$6,BH44))</f>
        <v>Wait</v>
      </c>
      <c r="BI44" s="210" t="str">
        <f>IF($C$5&lt;$BD44,"Wait",IF($C$5=$BD44,MOVE!$J$16,BI44))</f>
        <v>Wait</v>
      </c>
      <c r="BJ44" s="158" t="str">
        <f>IF($C$5&lt;$BD44,"Wait",IF($C$5=$BD44,MOVE!$J$14,BJ44))</f>
        <v>Wait</v>
      </c>
      <c r="BK44" s="262" t="str">
        <f>IF($C$5&lt;$BD44,"Wait",IF($C$5=$BD44,MOVE!$J$15,BK44))</f>
        <v>Wait</v>
      </c>
      <c r="BL44" s="69" t="s">
        <v>75</v>
      </c>
      <c r="BM44" s="69"/>
      <c r="BN44" s="207" t="str">
        <f>IF($C$5&lt;$BD44,"Wait",IF($C$5=$BD44,MOVE!$C$6,BN44))</f>
        <v>Wait</v>
      </c>
      <c r="BO44" s="167" t="str">
        <f>IF($C$5&lt;$BD44,"Wait",IF($C$5=$BD44,MOVE!$F$12,BO44))</f>
        <v>Wait</v>
      </c>
      <c r="BP44" s="158" t="str">
        <f>IF($C$5&lt;$BD44,"Wait",IF($C$5=$BD44,MOVE!$X$6,BP44))</f>
        <v>Wait</v>
      </c>
      <c r="BQ44" s="262" t="str">
        <f>IF($C$5&lt;$BD44,"Wait",IF($C$5=$BD44,MOVE!$AA$12,BQ44))</f>
        <v>Wait</v>
      </c>
    </row>
    <row r="45" spans="2:69" x14ac:dyDescent="0.2">
      <c r="B45" s="34">
        <v>27</v>
      </c>
      <c r="C45" s="72">
        <f>IF(ISBLANK($C$3),Start!C45,MOVE!C45)</f>
        <v>99.300398338905168</v>
      </c>
      <c r="D45" s="74">
        <f>IF(ISBLANK($C$3),Start!D45,MOVE!D45)</f>
        <v>99.311619329819351</v>
      </c>
      <c r="E45" s="75">
        <f>IF(ISBLANK($C$3),Start!E45,MOVE!E45)</f>
        <v>99.327244043025857</v>
      </c>
      <c r="F45" s="75">
        <f>IF(ISBLANK($C$3),Start!F45,MOVE!K45)</f>
        <v>99.339246699486537</v>
      </c>
      <c r="G45" s="75">
        <f>IF(ISBLANK($C$3),Start!G45,MOVE!L45)</f>
        <v>99.334890465285568</v>
      </c>
      <c r="H45" s="75">
        <f>IF(ISBLANK($C$3),Start!H45,MOVE!M45)</f>
        <v>99.332690947712678</v>
      </c>
      <c r="I45" s="75">
        <f>IF(ISBLANK($C$3),Start!I45,MOVE!N45)</f>
        <v>99.33158109172544</v>
      </c>
      <c r="J45" s="75">
        <f>IF(ISBLANK($C$3),Start!J45,MOVE!O45)</f>
        <v>99.331021207208423</v>
      </c>
      <c r="K45" s="75">
        <f>IF(ISBLANK($C$3),Start!K45,MOVE!K45)</f>
        <v>99.339246699486537</v>
      </c>
      <c r="L45" s="109">
        <f>IF(ISBLANK($C$3),Start!L45,MOVE!L45)</f>
        <v>99.334890465285568</v>
      </c>
      <c r="M45" s="83">
        <f>IF(ISBLANK($C$3),Start!M45,MOVE!M45)</f>
        <v>99.332690947712678</v>
      </c>
      <c r="N45" s="83">
        <f>IF(ISBLANK($C$3),Start!N45,MOVE!N45)</f>
        <v>99.33158109172544</v>
      </c>
      <c r="O45" s="83">
        <f>IF(ISBLANK($C$3),Start!O45,MOVE!O45)</f>
        <v>99.331021207208423</v>
      </c>
      <c r="P45" s="83">
        <f>IF(ISBLANK($C$3),Start!P45,MOVE!P45)</f>
        <v>99.330738434386419</v>
      </c>
      <c r="Q45" s="83">
        <f>IF(ISBLANK($C$3),Start!Q45,MOVE!Q45)</f>
        <v>99.330594819935655</v>
      </c>
      <c r="R45" s="83">
        <f>IF(ISBLANK($C$3),Start!R45,MOVE!R45)</f>
        <v>99.330520569433972</v>
      </c>
      <c r="S45" s="83">
        <f>IF(ISBLANK($C$3),Start!S45,MOVE!S45)</f>
        <v>99.330480321982606</v>
      </c>
      <c r="T45" s="83">
        <f>IF(ISBLANK($C$3),Start!T45,MOVE!T45)</f>
        <v>99.330456167000207</v>
      </c>
      <c r="U45" s="83">
        <f>IF(ISBLANK($C$3),Start!U45,MOVE!U45)</f>
        <v>99.330439141085293</v>
      </c>
      <c r="V45" s="83">
        <f>IF(ISBLANK($C$3),Start!V45,MOVE!V45)</f>
        <v>99.330424952780064</v>
      </c>
      <c r="W45" s="83">
        <f>IF(ISBLANK($C$3),Start!W45,MOVE!W45)</f>
        <v>99.330411654925072</v>
      </c>
      <c r="X45" s="83">
        <f>IF(ISBLANK($C$3),Start!X45,MOVE!X45)</f>
        <v>99.330397976211785</v>
      </c>
      <c r="Y45" s="83">
        <f>IF(ISBLANK($C$3),Start!Y45,MOVE!Y45)</f>
        <v>99.330381602130331</v>
      </c>
      <c r="Z45" s="83">
        <f>IF(ISBLANK($C$3),Start!Z45,MOVE!Z45)</f>
        <v>99.330356877157229</v>
      </c>
      <c r="AA45" s="83">
        <f>IF(ISBLANK($C$3),Start!AA45,MOVE!AA45)</f>
        <v>99.330310581052771</v>
      </c>
      <c r="AB45" s="83">
        <f>IF(ISBLANK($C$3),Start!AB45,MOVE!AB45)</f>
        <v>99.33021266310601</v>
      </c>
      <c r="AC45" s="83">
        <f>IF(ISBLANK($C$3),Start!AC45,MOVE!AC45)</f>
        <v>99.329995082238483</v>
      </c>
      <c r="AD45" s="83">
        <f>IF(ISBLANK($C$3),Start!AD45,MOVE!AD45)</f>
        <v>99.329503386800852</v>
      </c>
      <c r="AE45" s="83">
        <f>IF(ISBLANK($C$3),Start!AE45,MOVE!AE45)</f>
        <v>99.328386064983931</v>
      </c>
      <c r="AF45" s="83">
        <f>IF(ISBLANK($C$3),Start!AF45,MOVE!AF45)</f>
        <v>99.325841684527845</v>
      </c>
      <c r="AG45" s="83">
        <f>IF(ISBLANK($C$3),Start!AG45,MOVE!AG45)</f>
        <v>99.320040562853393</v>
      </c>
      <c r="AH45" s="83">
        <f>IF(ISBLANK($C$3),Start!AH45,MOVE!AH45)</f>
        <v>99.306800601998233</v>
      </c>
      <c r="AI45" s="83">
        <f>IF(ISBLANK($C$3),Start!AI45,MOVE!AI45)</f>
        <v>99.276552236006864</v>
      </c>
      <c r="AJ45" s="83">
        <f>IF(ISBLANK($C$3),Start!AJ45,MOVE!AJ45)</f>
        <v>99.207376629427756</v>
      </c>
      <c r="AK45" s="83">
        <f>IF(ISBLANK($C$3),Start!AK45,MOVE!AK45)</f>
        <v>99.049037086586793</v>
      </c>
      <c r="AL45" s="83">
        <f>IF(ISBLANK($C$3),Start!AL45,MOVE!AL45)</f>
        <v>98.686421719552314</v>
      </c>
      <c r="AM45" s="83">
        <f>IF(ISBLANK($C$3),Start!AM45,MOVE!AM45)</f>
        <v>97.856386532612333</v>
      </c>
      <c r="AN45" s="83">
        <f>IF(ISBLANK($C$3),Start!AN45,MOVE!AN45)</f>
        <v>95.961793586418906</v>
      </c>
      <c r="AO45" s="83">
        <f>IF(ISBLANK($C$3),Start!AO45,MOVE!AO45)</f>
        <v>91.673245694875419</v>
      </c>
      <c r="AP45" s="83">
        <f>IF(ISBLANK($C$3),Start!AP45,MOVE!AP45)</f>
        <v>82.168989128413116</v>
      </c>
      <c r="AQ45" s="83">
        <f>IF(ISBLANK($C$3),Start!AQ45,MOVE!AQ45)</f>
        <v>62.154339238426502</v>
      </c>
      <c r="AR45" s="92">
        <f>IF(ISBLANK($C$3),Start!AR45,MOVE!AR45)</f>
        <v>24.86421578484665</v>
      </c>
      <c r="AS45" s="86">
        <f>IF(ISBLANK($C$3),Start!AS45,MOVE!AS45)</f>
        <v>15.383562824643688</v>
      </c>
      <c r="AT45" s="86">
        <f>IF(ISBLANK($C$3),Start!AT45,MOVE!AT45)</f>
        <v>12.150553384062395</v>
      </c>
      <c r="AU45" s="86">
        <f>IF(ISBLANK($C$3),Start!AU45,MOVE!AU45)</f>
        <v>10.894729362051521</v>
      </c>
      <c r="AV45" s="86">
        <f>IF(ISBLANK($C$3),Start!AV45,MOVE!AV45)</f>
        <v>10.378671295064569</v>
      </c>
      <c r="AW45" s="86">
        <f>IF(ISBLANK($C$3),Start!AW45,MOVE!AW45)</f>
        <v>10.161636838702892</v>
      </c>
      <c r="AX45" s="86">
        <f>IF(ISBLANK($C$3),Start!AX45,MOVE!AX45)</f>
        <v>10.069831940762882</v>
      </c>
      <c r="AY45" s="87">
        <f>IF(ISBLANK($C$3),Start!AY45,MOVE!AY45)</f>
        <v>10.031727661291431</v>
      </c>
      <c r="AZ45" s="72">
        <f>IF(ISBLANK($C$3),Start!AZ45,MOVE!AZ45)</f>
        <v>10.017959526142043</v>
      </c>
      <c r="BA45" s="165">
        <v>27</v>
      </c>
      <c r="BB45" s="178"/>
      <c r="BC45" s="175">
        <v>26</v>
      </c>
      <c r="BD45" s="176">
        <v>780</v>
      </c>
      <c r="BE45" s="177" t="s">
        <v>54</v>
      </c>
      <c r="BF45" s="200" t="str">
        <f t="shared" si="0"/>
        <v>Wait</v>
      </c>
      <c r="BG45" s="168" t="str">
        <f>IF($C$5&lt;$BD45,"Wait",IF($C$5=$BD45,MOVE!$M$10,BG45))</f>
        <v>Wait</v>
      </c>
      <c r="BH45" s="157" t="str">
        <f>IF($C$5&lt;$BD45,"Wait",IF($C$5=$BD45,MOVE!$J$6,BH45))</f>
        <v>Wait</v>
      </c>
      <c r="BI45" s="157" t="str">
        <f>IF($C$5&lt;$BD45,"Wait",IF($C$5=$BD45,MOVE!$J$16,BI45))</f>
        <v>Wait</v>
      </c>
      <c r="BJ45" s="158" t="str">
        <f>IF($C$5&lt;$BD45,"Wait",IF($C$5=$BD45,MOVE!$J$14,BJ45))</f>
        <v>Wait</v>
      </c>
      <c r="BK45" s="262" t="str">
        <f>IF($C$5&lt;$BD45,"Wait",IF($C$5=$BD45,MOVE!$J$15,BK45))</f>
        <v>Wait</v>
      </c>
      <c r="BN45" s="207" t="str">
        <f>IF($C$5&lt;$BD45,"Wait",IF($C$5=$BD45,MOVE!$C$6,BN45))</f>
        <v>Wait</v>
      </c>
      <c r="BO45" s="167" t="str">
        <f>IF($C$5&lt;$BD45,"Wait",IF($C$5=$BD45,MOVE!$F$12,BO45))</f>
        <v>Wait</v>
      </c>
      <c r="BP45" s="158" t="str">
        <f>IF($C$5&lt;$BD45,"Wait",IF($C$5=$BD45,MOVE!$X$6,BP45))</f>
        <v>Wait</v>
      </c>
      <c r="BQ45" s="262" t="str">
        <f>IF($C$5&lt;$BD45,"Wait",IF($C$5=$BD45,MOVE!$AA$12,BQ45))</f>
        <v>Wait</v>
      </c>
    </row>
    <row r="46" spans="2:69" x14ac:dyDescent="0.2">
      <c r="B46" s="34">
        <v>28</v>
      </c>
      <c r="C46" s="72">
        <f>IF(ISBLANK($C$3),Start!C46,MOVE!C46)</f>
        <v>98.371701179766148</v>
      </c>
      <c r="D46" s="74">
        <f>IF(ISBLANK($C$3),Start!D46,MOVE!D46)</f>
        <v>98.407180948681429</v>
      </c>
      <c r="E46" s="75">
        <f>IF(ISBLANK($C$3),Start!E46,MOVE!E46)</f>
        <v>98.457042026792607</v>
      </c>
      <c r="F46" s="75">
        <f>IF(ISBLANK($C$3),Start!F46,MOVE!K46)</f>
        <v>98.504604157475768</v>
      </c>
      <c r="G46" s="75">
        <f>IF(ISBLANK($C$3),Start!G46,MOVE!L46)</f>
        <v>98.500283998031534</v>
      </c>
      <c r="H46" s="75">
        <f>IF(ISBLANK($C$3),Start!H46,MOVE!M46)</f>
        <v>98.498088261607649</v>
      </c>
      <c r="I46" s="75">
        <f>IF(ISBLANK($C$3),Start!I46,MOVE!N46)</f>
        <v>98.496971903927331</v>
      </c>
      <c r="J46" s="75">
        <f>IF(ISBLANK($C$3),Start!J46,MOVE!O46)</f>
        <v>98.496404195677641</v>
      </c>
      <c r="K46" s="75">
        <f>IF(ISBLANK($C$3),Start!K46,MOVE!K46)</f>
        <v>98.504604157475768</v>
      </c>
      <c r="L46" s="109">
        <f>IF(ISBLANK($C$3),Start!L46,MOVE!L46)</f>
        <v>98.500283998031534</v>
      </c>
      <c r="M46" s="83">
        <f>IF(ISBLANK($C$3),Start!M46,MOVE!M46)</f>
        <v>98.498088261607649</v>
      </c>
      <c r="N46" s="83">
        <f>IF(ISBLANK($C$3),Start!N46,MOVE!N46)</f>
        <v>98.496971903927331</v>
      </c>
      <c r="O46" s="83">
        <f>IF(ISBLANK($C$3),Start!O46,MOVE!O46)</f>
        <v>98.496404195677641</v>
      </c>
      <c r="P46" s="83">
        <f>IF(ISBLANK($C$3),Start!P46,MOVE!P46)</f>
        <v>98.496115299222282</v>
      </c>
      <c r="Q46" s="83">
        <f>IF(ISBLANK($C$3),Start!Q46,MOVE!Q46)</f>
        <v>98.495967896886143</v>
      </c>
      <c r="R46" s="83">
        <f>IF(ISBLANK($C$3),Start!R46,MOVE!R46)</f>
        <v>98.495892051786583</v>
      </c>
      <c r="S46" s="83">
        <f>IF(ISBLANK($C$3),Start!S46,MOVE!S46)</f>
        <v>98.495852118322631</v>
      </c>
      <c r="T46" s="83">
        <f>IF(ISBLANK($C$3),Start!T46,MOVE!T46)</f>
        <v>98.495829929360326</v>
      </c>
      <c r="U46" s="83">
        <f>IF(ISBLANK($C$3),Start!U46,MOVE!U46)</f>
        <v>98.495816248471868</v>
      </c>
      <c r="V46" s="83">
        <f>IF(ISBLANK($C$3),Start!V46,MOVE!V46)</f>
        <v>98.495806378115702</v>
      </c>
      <c r="W46" s="83">
        <f>IF(ISBLANK($C$3),Start!W46,MOVE!W46)</f>
        <v>98.495797764250739</v>
      </c>
      <c r="X46" s="83">
        <f>IF(ISBLANK($C$3),Start!X46,MOVE!X46)</f>
        <v>98.495788399399615</v>
      </c>
      <c r="Y46" s="83">
        <f>IF(ISBLANK($C$3),Start!Y46,MOVE!Y46)</f>
        <v>98.495775254991557</v>
      </c>
      <c r="Z46" s="83">
        <f>IF(ISBLANK($C$3),Start!Z46,MOVE!Z46)</f>
        <v>98.495751954717761</v>
      </c>
      <c r="AA46" s="83">
        <f>IF(ISBLANK($C$3),Start!AA46,MOVE!AA46)</f>
        <v>98.49570421263563</v>
      </c>
      <c r="AB46" s="83">
        <f>IF(ISBLANK($C$3),Start!AB46,MOVE!AB46)</f>
        <v>98.495599831166714</v>
      </c>
      <c r="AC46" s="83">
        <f>IF(ISBLANK($C$3),Start!AC46,MOVE!AC46)</f>
        <v>98.49536614290011</v>
      </c>
      <c r="AD46" s="83">
        <f>IF(ISBLANK($C$3),Start!AD46,MOVE!AD46)</f>
        <v>98.494838891671989</v>
      </c>
      <c r="AE46" s="83">
        <f>IF(ISBLANK($C$3),Start!AE46,MOVE!AE46)</f>
        <v>98.493646309655048</v>
      </c>
      <c r="AF46" s="83">
        <f>IF(ISBLANK($C$3),Start!AF46,MOVE!AF46)</f>
        <v>98.490946073719655</v>
      </c>
      <c r="AG46" s="83">
        <f>IF(ISBLANK($C$3),Start!AG46,MOVE!AG46)</f>
        <v>98.484827887464476</v>
      </c>
      <c r="AH46" s="83">
        <f>IF(ISBLANK($C$3),Start!AH46,MOVE!AH46)</f>
        <v>98.470955190978543</v>
      </c>
      <c r="AI46" s="83">
        <f>IF(ISBLANK($C$3),Start!AI46,MOVE!AI46)</f>
        <v>98.439473555844728</v>
      </c>
      <c r="AJ46" s="83">
        <f>IF(ISBLANK($C$3),Start!AJ46,MOVE!AJ46)</f>
        <v>98.367967467615529</v>
      </c>
      <c r="AK46" s="83">
        <f>IF(ISBLANK($C$3),Start!AK46,MOVE!AK46)</f>
        <v>98.205410830176874</v>
      </c>
      <c r="AL46" s="83">
        <f>IF(ISBLANK($C$3),Start!AL46,MOVE!AL46)</f>
        <v>97.835651834759332</v>
      </c>
      <c r="AM46" s="83">
        <f>IF(ISBLANK($C$3),Start!AM46,MOVE!AM46)</f>
        <v>96.994831171009366</v>
      </c>
      <c r="AN46" s="83">
        <f>IF(ISBLANK($C$3),Start!AN46,MOVE!AN46)</f>
        <v>95.087700323044402</v>
      </c>
      <c r="AO46" s="83">
        <f>IF(ISBLANK($C$3),Start!AO46,MOVE!AO46)</f>
        <v>90.796286718801525</v>
      </c>
      <c r="AP46" s="83">
        <f>IF(ISBLANK($C$3),Start!AP46,MOVE!AP46)</f>
        <v>81.33720904739377</v>
      </c>
      <c r="AQ46" s="83">
        <f>IF(ISBLANK($C$3),Start!AQ46,MOVE!AQ46)</f>
        <v>61.511877424408482</v>
      </c>
      <c r="AR46" s="92">
        <f>IF(ISBLANK($C$3),Start!AR46,MOVE!AR46)</f>
        <v>24.700647760508318</v>
      </c>
      <c r="AS46" s="86">
        <f>IF(ISBLANK($C$3),Start!AS46,MOVE!AS46)</f>
        <v>15.317078864979708</v>
      </c>
      <c r="AT46" s="86">
        <f>IF(ISBLANK($C$3),Start!AT46,MOVE!AT46)</f>
        <v>12.117715358238154</v>
      </c>
      <c r="AU46" s="86">
        <f>IF(ISBLANK($C$3),Start!AU46,MOVE!AU46)</f>
        <v>10.877674737500088</v>
      </c>
      <c r="AV46" s="86">
        <f>IF(ISBLANK($C$3),Start!AV46,MOVE!AV46)</f>
        <v>10.369875786920678</v>
      </c>
      <c r="AW46" s="86">
        <f>IF(ISBLANK($C$3),Start!AW46,MOVE!AW46)</f>
        <v>10.157198621974231</v>
      </c>
      <c r="AX46" s="86">
        <f>IF(ISBLANK($C$3),Start!AX46,MOVE!AX46)</f>
        <v>10.067622628839963</v>
      </c>
      <c r="AY46" s="87">
        <f>IF(ISBLANK($C$3),Start!AY46,MOVE!AY46)</f>
        <v>10.030590758048282</v>
      </c>
      <c r="AZ46" s="72">
        <f>IF(ISBLANK($C$3),Start!AZ46,MOVE!AZ46)</f>
        <v>10.017250044858523</v>
      </c>
      <c r="BA46" s="165">
        <v>28</v>
      </c>
      <c r="BB46" s="179"/>
      <c r="BC46" s="175">
        <v>27</v>
      </c>
      <c r="BD46" s="176">
        <v>810</v>
      </c>
      <c r="BE46" s="122" t="s">
        <v>55</v>
      </c>
      <c r="BF46" s="200" t="str">
        <f t="shared" si="0"/>
        <v>Wait</v>
      </c>
      <c r="BG46" s="168" t="str">
        <f>IF($C$5&lt;$BD46,"Wait",IF($C$5=$BD46,MOVE!$M$10,BG46))</f>
        <v>Wait</v>
      </c>
      <c r="BH46" s="157" t="str">
        <f>IF($C$5&lt;$BD46,"Wait",IF($C$5=$BD46,MOVE!$J$6,BH46))</f>
        <v>Wait</v>
      </c>
      <c r="BI46" s="157" t="str">
        <f>IF($C$5&lt;$BD46,"Wait",IF($C$5=$BD46,MOVE!$J$16,BI46))</f>
        <v>Wait</v>
      </c>
      <c r="BJ46" s="158" t="str">
        <f>IF($C$5&lt;$BD46,"Wait",IF($C$5=$BD46,MOVE!$J$14,BJ46))</f>
        <v>Wait</v>
      </c>
      <c r="BK46" s="262" t="str">
        <f>IF($C$5&lt;$BD46,"Wait",IF($C$5=$BD46,MOVE!$J$15,BK46))</f>
        <v>Wait</v>
      </c>
      <c r="BN46" s="207" t="str">
        <f>IF($C$5&lt;$BD46,"Wait",IF($C$5=$BD46,MOVE!$C$6,BN46))</f>
        <v>Wait</v>
      </c>
      <c r="BO46" s="167" t="str">
        <f>IF($C$5&lt;$BD46,"Wait",IF($C$5=$BD46,MOVE!$F$12,BO46))</f>
        <v>Wait</v>
      </c>
      <c r="BP46" s="158" t="str">
        <f>IF($C$5&lt;$BD46,"Wait",IF($C$5=$BD46,MOVE!$X$6,BP46))</f>
        <v>Wait</v>
      </c>
      <c r="BQ46" s="262" t="str">
        <f>IF($C$5&lt;$BD46,"Wait",IF($C$5=$BD46,MOVE!$AA$12,BQ46))</f>
        <v>Wait</v>
      </c>
    </row>
    <row r="47" spans="2:69" x14ac:dyDescent="0.2">
      <c r="B47" s="34">
        <v>29</v>
      </c>
      <c r="C47" s="72">
        <f>IF(ISBLANK($C$3),Start!C47,MOVE!C47)</f>
        <v>96.207386182164655</v>
      </c>
      <c r="D47" s="74">
        <f>IF(ISBLANK($C$3),Start!D47,MOVE!D47)</f>
        <v>96.314576584576884</v>
      </c>
      <c r="E47" s="75">
        <f>IF(ISBLANK($C$3),Start!E47,MOVE!E47)</f>
        <v>96.45307921631364</v>
      </c>
      <c r="F47" s="75">
        <f>IF(ISBLANK($C$3),Start!F47,MOVE!K47)</f>
        <v>96.584165367185165</v>
      </c>
      <c r="G47" s="75">
        <f>IF(ISBLANK($C$3),Start!G47,MOVE!L47)</f>
        <v>96.579924372863559</v>
      </c>
      <c r="H47" s="75">
        <f>IF(ISBLANK($C$3),Start!H47,MOVE!M47)</f>
        <v>96.577742733853285</v>
      </c>
      <c r="I47" s="75">
        <f>IF(ISBLANK($C$3),Start!I47,MOVE!N47)</f>
        <v>96.576619863493008</v>
      </c>
      <c r="J47" s="75">
        <f>IF(ISBLANK($C$3),Start!J47,MOVE!O47)</f>
        <v>96.576041936508432</v>
      </c>
      <c r="K47" s="75">
        <f>IF(ISBLANK($C$3),Start!K47,MOVE!K47)</f>
        <v>96.584165367185165</v>
      </c>
      <c r="L47" s="109">
        <f>IF(ISBLANK($C$3),Start!L47,MOVE!L47)</f>
        <v>96.579924372863559</v>
      </c>
      <c r="M47" s="83">
        <f>IF(ISBLANK($C$3),Start!M47,MOVE!M47)</f>
        <v>96.577742733853285</v>
      </c>
      <c r="N47" s="83">
        <f>IF(ISBLANK($C$3),Start!N47,MOVE!N47)</f>
        <v>96.576619863493008</v>
      </c>
      <c r="O47" s="83">
        <f>IF(ISBLANK($C$3),Start!O47,MOVE!O47)</f>
        <v>96.576041936508432</v>
      </c>
      <c r="P47" s="83">
        <f>IF(ISBLANK($C$3),Start!P47,MOVE!P47)</f>
        <v>96.575744531085576</v>
      </c>
      <c r="Q47" s="83">
        <f>IF(ISBLANK($C$3),Start!Q47,MOVE!Q47)</f>
        <v>96.575591405791315</v>
      </c>
      <c r="R47" s="83">
        <f>IF(ISBLANK($C$3),Start!R47,MOVE!R47)</f>
        <v>96.575512322248443</v>
      </c>
      <c r="S47" s="83">
        <f>IF(ISBLANK($C$3),Start!S47,MOVE!S47)</f>
        <v>96.575471065768568</v>
      </c>
      <c r="T47" s="83">
        <f>IF(ISBLANK($C$3),Start!T47,MOVE!T47)</f>
        <v>96.575448965968491</v>
      </c>
      <c r="U47" s="83">
        <f>IF(ISBLANK($C$3),Start!U47,MOVE!U47)</f>
        <v>96.575436380579845</v>
      </c>
      <c r="V47" s="83">
        <f>IF(ISBLANK($C$3),Start!V47,MOVE!V47)</f>
        <v>96.575428241402378</v>
      </c>
      <c r="W47" s="83">
        <f>IF(ISBLANK($C$3),Start!W47,MOVE!W47)</f>
        <v>96.575421598802521</v>
      </c>
      <c r="X47" s="83">
        <f>IF(ISBLANK($C$3),Start!X47,MOVE!X47)</f>
        <v>96.575413999761707</v>
      </c>
      <c r="Y47" s="83">
        <f>IF(ISBLANK($C$3),Start!Y47,MOVE!Y47)</f>
        <v>96.575401889013449</v>
      </c>
      <c r="Z47" s="83">
        <f>IF(ISBLANK($C$3),Start!Z47,MOVE!Z47)</f>
        <v>96.575378127985303</v>
      </c>
      <c r="AA47" s="83">
        <f>IF(ISBLANK($C$3),Start!AA47,MOVE!AA47)</f>
        <v>96.575327020112255</v>
      </c>
      <c r="AB47" s="83">
        <f>IF(ISBLANK($C$3),Start!AB47,MOVE!AB47)</f>
        <v>96.57521342582946</v>
      </c>
      <c r="AC47" s="83">
        <f>IF(ISBLANK($C$3),Start!AC47,MOVE!AC47)</f>
        <v>96.574958409050453</v>
      </c>
      <c r="AD47" s="83">
        <f>IF(ISBLANK($C$3),Start!AD47,MOVE!AD47)</f>
        <v>96.574384495768427</v>
      </c>
      <c r="AE47" s="83">
        <f>IF(ISBLANK($C$3),Start!AE47,MOVE!AE47)</f>
        <v>96.57309251389799</v>
      </c>
      <c r="AF47" s="83">
        <f>IF(ISBLANK($C$3),Start!AF47,MOVE!AF47)</f>
        <v>96.570184389560922</v>
      </c>
      <c r="AG47" s="83">
        <f>IF(ISBLANK($C$3),Start!AG47,MOVE!AG47)</f>
        <v>96.563638939436728</v>
      </c>
      <c r="AH47" s="83">
        <f>IF(ISBLANK($C$3),Start!AH47,MOVE!AH47)</f>
        <v>96.548905464880164</v>
      </c>
      <c r="AI47" s="83">
        <f>IF(ISBLANK($C$3),Start!AI47,MOVE!AI47)</f>
        <v>96.515732955438565</v>
      </c>
      <c r="AJ47" s="83">
        <f>IF(ISBLANK($C$3),Start!AJ47,MOVE!AJ47)</f>
        <v>96.44101771618584</v>
      </c>
      <c r="AK47" s="83">
        <f>IF(ISBLANK($C$3),Start!AK47,MOVE!AK47)</f>
        <v>96.272670661220999</v>
      </c>
      <c r="AL47" s="83">
        <f>IF(ISBLANK($C$3),Start!AL47,MOVE!AL47)</f>
        <v>95.893291904618479</v>
      </c>
      <c r="AM47" s="83">
        <f>IF(ISBLANK($C$3),Start!AM47,MOVE!AM47)</f>
        <v>95.038871723352557</v>
      </c>
      <c r="AN47" s="83">
        <f>IF(ISBLANK($C$3),Start!AN47,MOVE!AN47)</f>
        <v>93.119850344024783</v>
      </c>
      <c r="AO47" s="83">
        <f>IF(ISBLANK($C$3),Start!AO47,MOVE!AO47)</f>
        <v>88.843978604960384</v>
      </c>
      <c r="AP47" s="83">
        <f>IF(ISBLANK($C$3),Start!AP47,MOVE!AP47)</f>
        <v>79.509168830136019</v>
      </c>
      <c r="AQ47" s="83">
        <f>IF(ISBLANK($C$3),Start!AQ47,MOVE!AQ47)</f>
        <v>60.116198468322622</v>
      </c>
      <c r="AR47" s="92">
        <f>IF(ISBLANK($C$3),Start!AR47,MOVE!AR47)</f>
        <v>24.344570671408672</v>
      </c>
      <c r="AS47" s="86">
        <f>IF(ISBLANK($C$3),Start!AS47,MOVE!AS47)</f>
        <v>15.175059490613748</v>
      </c>
      <c r="AT47" s="86">
        <f>IF(ISBLANK($C$3),Start!AT47,MOVE!AT47)</f>
        <v>12.050408053994218</v>
      </c>
      <c r="AU47" s="86">
        <f>IF(ISBLANK($C$3),Start!AU47,MOVE!AU47)</f>
        <v>10.844504799672993</v>
      </c>
      <c r="AV47" s="86">
        <f>IF(ISBLANK($C$3),Start!AV47,MOVE!AV47)</f>
        <v>10.353671520900415</v>
      </c>
      <c r="AW47" s="86">
        <f>IF(ISBLANK($C$3),Start!AW47,MOVE!AW47)</f>
        <v>10.149433367783946</v>
      </c>
      <c r="AX47" s="86">
        <f>IF(ISBLANK($C$3),Start!AX47,MOVE!AX47)</f>
        <v>10.063939760501338</v>
      </c>
      <c r="AY47" s="87">
        <f>IF(ISBLANK($C$3),Start!AY47,MOVE!AY47)</f>
        <v>10.028781454653668</v>
      </c>
      <c r="AZ47" s="72">
        <f>IF(ISBLANK($C$3),Start!AZ47,MOVE!AZ47)</f>
        <v>10.016163206452944</v>
      </c>
      <c r="BA47" s="165">
        <v>29</v>
      </c>
      <c r="BB47" s="179"/>
      <c r="BC47" s="175">
        <v>28</v>
      </c>
      <c r="BD47" s="176">
        <v>840</v>
      </c>
      <c r="BE47" s="122" t="s">
        <v>56</v>
      </c>
      <c r="BF47" s="202" t="str">
        <f t="shared" si="0"/>
        <v>Wait</v>
      </c>
      <c r="BG47" s="170" t="str">
        <f>IF($C$5&lt;$BD47,"Wait",IF($C$5=$BD47,MOVE!$M$10,BG47))</f>
        <v>Wait</v>
      </c>
      <c r="BH47" s="160" t="str">
        <f>IF($C$5&lt;$BD47,"Wait",IF($C$5=$BD47,MOVE!$J$6,BH47))</f>
        <v>Wait</v>
      </c>
      <c r="BI47" s="160" t="str">
        <f>IF($C$5&lt;$BD47,"Wait",IF($C$5=$BD47,MOVE!$J$16,BI47))</f>
        <v>Wait</v>
      </c>
      <c r="BJ47" s="158" t="str">
        <f>IF($C$5&lt;$BD47,"Wait",IF($C$5=$BD47,MOVE!$J$14,BJ47))</f>
        <v>Wait</v>
      </c>
      <c r="BK47" s="262" t="str">
        <f>IF($C$5&lt;$BD47,"Wait",IF($C$5=$BD47,MOVE!$J$15,BK47))</f>
        <v>Wait</v>
      </c>
      <c r="BL47" s="161" t="s">
        <v>50</v>
      </c>
      <c r="BM47" s="161"/>
      <c r="BN47" s="207" t="str">
        <f>IF($C$5&lt;$BD47,"Wait",IF($C$5=$BD47,MOVE!$C$6,BN47))</f>
        <v>Wait</v>
      </c>
      <c r="BO47" s="167" t="str">
        <f>IF($C$5&lt;$BD47,"Wait",IF($C$5=$BD47,MOVE!$F$12,BO47))</f>
        <v>Wait</v>
      </c>
      <c r="BP47" s="158" t="str">
        <f>IF($C$5&lt;$BD47,"Wait",IF($C$5=$BD47,MOVE!$X$6,BP47))</f>
        <v>Wait</v>
      </c>
      <c r="BQ47" s="262" t="str">
        <f>IF($C$5&lt;$BD47,"Wait",IF($C$5=$BD47,MOVE!$AA$12,BQ47))</f>
        <v>Wait</v>
      </c>
    </row>
    <row r="48" spans="2:69" x14ac:dyDescent="0.2">
      <c r="B48" s="34">
        <v>30</v>
      </c>
      <c r="C48" s="72">
        <f>IF(ISBLANK($C$3),Start!C48,MOVE!C48)</f>
        <v>91.200579302591009</v>
      </c>
      <c r="D48" s="74">
        <f>IF(ISBLANK($C$3),Start!D48,MOVE!D48)</f>
        <v>91.530355953355283</v>
      </c>
      <c r="E48" s="75">
        <f>IF(ISBLANK($C$3),Start!E48,MOVE!E48)</f>
        <v>91.894121688735794</v>
      </c>
      <c r="F48" s="75">
        <f>IF(ISBLANK($C$3),Start!F48,MOVE!K48)</f>
        <v>92.20832918773452</v>
      </c>
      <c r="G48" s="75">
        <f>IF(ISBLANK($C$3),Start!G48,MOVE!L48)</f>
        <v>92.204264860587102</v>
      </c>
      <c r="H48" s="75">
        <f>IF(ISBLANK($C$3),Start!H48,MOVE!M48)</f>
        <v>92.202132573104805</v>
      </c>
      <c r="I48" s="75">
        <f>IF(ISBLANK($C$3),Start!I48,MOVE!N48)</f>
        <v>92.201015387383777</v>
      </c>
      <c r="J48" s="75">
        <f>IF(ISBLANK($C$3),Start!J48,MOVE!O48)</f>
        <v>92.20043107113365</v>
      </c>
      <c r="K48" s="75">
        <f>IF(ISBLANK($C$3),Start!K48,MOVE!K48)</f>
        <v>92.20832918773452</v>
      </c>
      <c r="L48" s="109">
        <f>IF(ISBLANK($C$3),Start!L48,MOVE!L48)</f>
        <v>92.204264860587102</v>
      </c>
      <c r="M48" s="83">
        <f>IF(ISBLANK($C$3),Start!M48,MOVE!M48)</f>
        <v>92.202132573104805</v>
      </c>
      <c r="N48" s="83">
        <f>IF(ISBLANK($C$3),Start!N48,MOVE!N48)</f>
        <v>92.201015387383777</v>
      </c>
      <c r="O48" s="83">
        <f>IF(ISBLANK($C$3),Start!O48,MOVE!O48)</f>
        <v>92.20043107113365</v>
      </c>
      <c r="P48" s="83">
        <f>IF(ISBLANK($C$3),Start!P48,MOVE!P48)</f>
        <v>92.200126081466209</v>
      </c>
      <c r="Q48" s="83">
        <f>IF(ISBLANK($C$3),Start!Q48,MOVE!Q48)</f>
        <v>92.199967188090483</v>
      </c>
      <c r="R48" s="83">
        <f>IF(ISBLANK($C$3),Start!R48,MOVE!R48)</f>
        <v>92.199884468569763</v>
      </c>
      <c r="S48" s="83">
        <f>IF(ISBLANK($C$3),Start!S48,MOVE!S48)</f>
        <v>92.199841292133954</v>
      </c>
      <c r="T48" s="83">
        <f>IF(ISBLANK($C$3),Start!T48,MOVE!T48)</f>
        <v>92.199818499374885</v>
      </c>
      <c r="U48" s="83">
        <f>IF(ISBLANK($C$3),Start!U48,MOVE!U48)</f>
        <v>92.199806047454004</v>
      </c>
      <c r="V48" s="83">
        <f>IF(ISBLANK($C$3),Start!V48,MOVE!V48)</f>
        <v>92.199798549669495</v>
      </c>
      <c r="W48" s="83">
        <f>IF(ISBLANK($C$3),Start!W48,MOVE!W48)</f>
        <v>92.199792772405189</v>
      </c>
      <c r="X48" s="83">
        <f>IF(ISBLANK($C$3),Start!X48,MOVE!X48)</f>
        <v>92.19978595837101</v>
      </c>
      <c r="Y48" s="83">
        <f>IF(ISBLANK($C$3),Start!Y48,MOVE!Y48)</f>
        <v>92.199774141141205</v>
      </c>
      <c r="Z48" s="83">
        <f>IF(ISBLANK($C$3),Start!Z48,MOVE!Z48)</f>
        <v>92.199749470588259</v>
      </c>
      <c r="AA48" s="83">
        <f>IF(ISBLANK($C$3),Start!AA48,MOVE!AA48)</f>
        <v>92.199694808760185</v>
      </c>
      <c r="AB48" s="83">
        <f>IF(ISBLANK($C$3),Start!AB48,MOVE!AB48)</f>
        <v>92.199571937949699</v>
      </c>
      <c r="AC48" s="83">
        <f>IF(ISBLANK($C$3),Start!AC48,MOVE!AC48)</f>
        <v>92.199295335238062</v>
      </c>
      <c r="AD48" s="83">
        <f>IF(ISBLANK($C$3),Start!AD48,MOVE!AD48)</f>
        <v>92.198673622046144</v>
      </c>
      <c r="AE48" s="83">
        <f>IF(ISBLANK($C$3),Start!AE48,MOVE!AE48)</f>
        <v>92.197278800455024</v>
      </c>
      <c r="AF48" s="83">
        <f>IF(ISBLANK($C$3),Start!AF48,MOVE!AF48)</f>
        <v>92.194154315262949</v>
      </c>
      <c r="AG48" s="83">
        <f>IF(ISBLANK($C$3),Start!AG48,MOVE!AG48)</f>
        <v>92.187163585497203</v>
      </c>
      <c r="AH48" s="83">
        <f>IF(ISBLANK($C$3),Start!AH48,MOVE!AH48)</f>
        <v>92.171536935181621</v>
      </c>
      <c r="AI48" s="83">
        <f>IF(ISBLANK($C$3),Start!AI48,MOVE!AI48)</f>
        <v>92.136632388981724</v>
      </c>
      <c r="AJ48" s="83">
        <f>IF(ISBLANK($C$3),Start!AJ48,MOVE!AJ48)</f>
        <v>92.058720555491178</v>
      </c>
      <c r="AK48" s="83">
        <f>IF(ISBLANK($C$3),Start!AK48,MOVE!AK48)</f>
        <v>91.884937324319594</v>
      </c>
      <c r="AL48" s="83">
        <f>IF(ISBLANK($C$3),Start!AL48,MOVE!AL48)</f>
        <v>91.497709170801372</v>
      </c>
      <c r="AM48" s="83">
        <f>IF(ISBLANK($C$3),Start!AM48,MOVE!AM48)</f>
        <v>90.636492297263459</v>
      </c>
      <c r="AN48" s="83">
        <f>IF(ISBLANK($C$3),Start!AN48,MOVE!AN48)</f>
        <v>88.728759099896592</v>
      </c>
      <c r="AO48" s="83">
        <f>IF(ISBLANK($C$3),Start!AO48,MOVE!AO48)</f>
        <v>84.541256960008695</v>
      </c>
      <c r="AP48" s="83">
        <f>IF(ISBLANK($C$3),Start!AP48,MOVE!AP48)</f>
        <v>75.542321949742231</v>
      </c>
      <c r="AQ48" s="83">
        <f>IF(ISBLANK($C$3),Start!AQ48,MOVE!AQ48)</f>
        <v>57.133469071227722</v>
      </c>
      <c r="AR48" s="92">
        <f>IF(ISBLANK($C$3),Start!AR48,MOVE!AR48)</f>
        <v>23.578818949461343</v>
      </c>
      <c r="AS48" s="86">
        <f>IF(ISBLANK($C$3),Start!AS48,MOVE!AS48)</f>
        <v>14.878588854136041</v>
      </c>
      <c r="AT48" s="86">
        <f>IF(ISBLANK($C$3),Start!AT48,MOVE!AT48)</f>
        <v>11.917688308404923</v>
      </c>
      <c r="AU48" s="86">
        <f>IF(ISBLANK($C$3),Start!AU48,MOVE!AU48)</f>
        <v>10.783230512398221</v>
      </c>
      <c r="AV48" s="86">
        <f>IF(ISBLANK($C$3),Start!AV48,MOVE!AV48)</f>
        <v>10.325552817035968</v>
      </c>
      <c r="AW48" s="86">
        <f>IF(ISBLANK($C$3),Start!AW48,MOVE!AW48)</f>
        <v>10.136695130574715</v>
      </c>
      <c r="AX48" s="86">
        <f>IF(ISBLANK($C$3),Start!AX48,MOVE!AX48)</f>
        <v>10.058193573319576</v>
      </c>
      <c r="AY48" s="87">
        <f>IF(ISBLANK($C$3),Start!AY48,MOVE!AY48)</f>
        <v>10.02608573572715</v>
      </c>
      <c r="AZ48" s="72">
        <f>IF(ISBLANK($C$3),Start!AZ48,MOVE!AZ48)</f>
        <v>10.0146035553306</v>
      </c>
      <c r="BA48" s="165">
        <v>30</v>
      </c>
      <c r="BB48" s="179"/>
      <c r="BC48" s="175">
        <v>29</v>
      </c>
      <c r="BD48" s="176">
        <v>870</v>
      </c>
      <c r="BE48" s="122" t="s">
        <v>57</v>
      </c>
      <c r="BF48" s="200" t="str">
        <f t="shared" si="0"/>
        <v>Wait</v>
      </c>
      <c r="BG48" s="167" t="str">
        <f>IF($C$5&lt;$BD48,"Wait",IF($C$5=$BD48,MOVE!$M$10,BG48))</f>
        <v>Wait</v>
      </c>
      <c r="BH48" s="158" t="str">
        <f>IF($C$5&lt;$BD48,"Wait",IF($C$5=$BD48,MOVE!$J$6,BH48))</f>
        <v>Wait</v>
      </c>
      <c r="BI48" s="158" t="str">
        <f>IF($C$5&lt;$BD48,"Wait",IF($C$5=$BD48,MOVE!$J$16,BI48))</f>
        <v>Wait</v>
      </c>
      <c r="BJ48" s="158" t="str">
        <f>IF($C$5&lt;$BD48,"Wait",IF($C$5=$BD48,MOVE!$J$14,BJ48))</f>
        <v>Wait</v>
      </c>
      <c r="BK48" s="262" t="str">
        <f>IF($C$5&lt;$BD48,"Wait",IF($C$5=$BD48,MOVE!$J$15,BK48))</f>
        <v>Wait</v>
      </c>
      <c r="BN48" s="207" t="str">
        <f>IF($C$5&lt;$BD48,"Wait",IF($C$5=$BD48,MOVE!$C$6,BN48))</f>
        <v>Wait</v>
      </c>
      <c r="BO48" s="167" t="str">
        <f>IF($C$5&lt;$BD48,"Wait",IF($C$5=$BD48,MOVE!$F$12,BO48))</f>
        <v>Wait</v>
      </c>
      <c r="BP48" s="158" t="str">
        <f>IF($C$5&lt;$BD48,"Wait",IF($C$5=$BD48,MOVE!$X$6,BP48))</f>
        <v>Wait</v>
      </c>
      <c r="BQ48" s="262" t="str">
        <f>IF($C$5&lt;$BD48,"Wait",IF($C$5=$BD48,MOVE!$AA$12,BQ48))</f>
        <v>Wait</v>
      </c>
    </row>
    <row r="49" spans="2:69" x14ac:dyDescent="0.2">
      <c r="B49" s="34">
        <v>31</v>
      </c>
      <c r="C49" s="72">
        <f>IF(ISBLANK($C$3),Start!C49,MOVE!C49)</f>
        <v>79.846514806474545</v>
      </c>
      <c r="D49" s="74">
        <f>IF(ISBLANK($C$3),Start!D49,MOVE!D49)</f>
        <v>80.899916648463602</v>
      </c>
      <c r="E49" s="75">
        <f>IF(ISBLANK($C$3),Start!E49,MOVE!E49)</f>
        <v>81.801639528186783</v>
      </c>
      <c r="F49" s="75">
        <f>IF(ISBLANK($C$3),Start!F49,MOVE!K49)</f>
        <v>82.462733398372833</v>
      </c>
      <c r="G49" s="75">
        <f>IF(ISBLANK($C$3),Start!G49,MOVE!L49)</f>
        <v>82.459074889815</v>
      </c>
      <c r="H49" s="75">
        <f>IF(ISBLANK($C$3),Start!H49,MOVE!M49)</f>
        <v>82.457105210345944</v>
      </c>
      <c r="I49" s="75">
        <f>IF(ISBLANK($C$3),Start!I49,MOVE!N49)</f>
        <v>82.456049995165444</v>
      </c>
      <c r="J49" s="75">
        <f>IF(ISBLANK($C$3),Start!J49,MOVE!O49)</f>
        <v>82.455487574418868</v>
      </c>
      <c r="K49" s="75">
        <f>IF(ISBLANK($C$3),Start!K49,MOVE!K49)</f>
        <v>82.462733398372833</v>
      </c>
      <c r="L49" s="109">
        <f>IF(ISBLANK($C$3),Start!L49,MOVE!L49)</f>
        <v>82.459074889815</v>
      </c>
      <c r="M49" s="83">
        <f>IF(ISBLANK($C$3),Start!M49,MOVE!M49)</f>
        <v>82.457105210345944</v>
      </c>
      <c r="N49" s="83">
        <f>IF(ISBLANK($C$3),Start!N49,MOVE!N49)</f>
        <v>82.456049995165444</v>
      </c>
      <c r="O49" s="83">
        <f>IF(ISBLANK($C$3),Start!O49,MOVE!O49)</f>
        <v>82.455487574418868</v>
      </c>
      <c r="P49" s="83">
        <f>IF(ISBLANK($C$3),Start!P49,MOVE!P49)</f>
        <v>82.455189400614117</v>
      </c>
      <c r="Q49" s="83">
        <f>IF(ISBLANK($C$3),Start!Q49,MOVE!Q49)</f>
        <v>82.455032121132987</v>
      </c>
      <c r="R49" s="83">
        <f>IF(ISBLANK($C$3),Start!R49,MOVE!R49)</f>
        <v>82.454949520102744</v>
      </c>
      <c r="S49" s="83">
        <f>IF(ISBLANK($C$3),Start!S49,MOVE!S49)</f>
        <v>82.454906261119845</v>
      </c>
      <c r="T49" s="83">
        <f>IF(ISBLANK($C$3),Start!T49,MOVE!T49)</f>
        <v>82.454883582069186</v>
      </c>
      <c r="U49" s="83">
        <f>IF(ISBLANK($C$3),Start!U49,MOVE!U49)</f>
        <v>82.454871524040044</v>
      </c>
      <c r="V49" s="83">
        <f>IF(ISBLANK($C$3),Start!V49,MOVE!V49)</f>
        <v>82.454864682749829</v>
      </c>
      <c r="W49" s="83">
        <f>IF(ISBLANK($C$3),Start!W49,MOVE!W49)</f>
        <v>82.454859775406348</v>
      </c>
      <c r="X49" s="83">
        <f>IF(ISBLANK($C$3),Start!X49,MOVE!X49)</f>
        <v>82.454853979348954</v>
      </c>
      <c r="Y49" s="83">
        <f>IF(ISBLANK($C$3),Start!Y49,MOVE!Y49)</f>
        <v>82.454843229160048</v>
      </c>
      <c r="Z49" s="83">
        <f>IF(ISBLANK($C$3),Start!Z49,MOVE!Z49)</f>
        <v>82.454819478371562</v>
      </c>
      <c r="AA49" s="83">
        <f>IF(ISBLANK($C$3),Start!AA49,MOVE!AA49)</f>
        <v>82.454765147766992</v>
      </c>
      <c r="AB49" s="83">
        <f>IF(ISBLANK($C$3),Start!AB49,MOVE!AB49)</f>
        <v>82.454641034889491</v>
      </c>
      <c r="AC49" s="83">
        <f>IF(ISBLANK($C$3),Start!AC49,MOVE!AC49)</f>
        <v>82.454359530521302</v>
      </c>
      <c r="AD49" s="83">
        <f>IF(ISBLANK($C$3),Start!AD49,MOVE!AD49)</f>
        <v>82.453725116212581</v>
      </c>
      <c r="AE49" s="83">
        <f>IF(ISBLANK($C$3),Start!AE49,MOVE!AE49)</f>
        <v>82.452302242394666</v>
      </c>
      <c r="AF49" s="83">
        <f>IF(ISBLANK($C$3),Start!AF49,MOVE!AF49)</f>
        <v>82.449122356018577</v>
      </c>
      <c r="AG49" s="83">
        <f>IF(ISBLANK($C$3),Start!AG49,MOVE!AG49)</f>
        <v>82.442035331802998</v>
      </c>
      <c r="AH49" s="83">
        <f>IF(ISBLANK($C$3),Start!AH49,MOVE!AH49)</f>
        <v>82.42627649578175</v>
      </c>
      <c r="AI49" s="83">
        <f>IF(ISBLANK($C$3),Start!AI49,MOVE!AI49)</f>
        <v>82.391308039167129</v>
      </c>
      <c r="AJ49" s="83">
        <f>IF(ISBLANK($C$3),Start!AJ49,MOVE!AJ49)</f>
        <v>82.313878253426864</v>
      </c>
      <c r="AK49" s="83">
        <f>IF(ISBLANK($C$3),Start!AK49,MOVE!AK49)</f>
        <v>82.142836584809231</v>
      </c>
      <c r="AL49" s="83">
        <f>IF(ISBLANK($C$3),Start!AL49,MOVE!AL49)</f>
        <v>81.766143607695653</v>
      </c>
      <c r="AM49" s="83">
        <f>IF(ISBLANK($C$3),Start!AM49,MOVE!AM49)</f>
        <v>80.940086020212817</v>
      </c>
      <c r="AN49" s="83">
        <f>IF(ISBLANK($C$3),Start!AN49,MOVE!AN49)</f>
        <v>79.141091186116114</v>
      </c>
      <c r="AO49" s="83">
        <f>IF(ISBLANK($C$3),Start!AO49,MOVE!AO49)</f>
        <v>75.271710530901345</v>
      </c>
      <c r="AP49" s="83">
        <f>IF(ISBLANK($C$3),Start!AP49,MOVE!AP49)</f>
        <v>67.149844315078852</v>
      </c>
      <c r="AQ49" s="83">
        <f>IF(ISBLANK($C$3),Start!AQ49,MOVE!AQ49)</f>
        <v>50.944357053380294</v>
      </c>
      <c r="AR49" s="92">
        <f>IF(ISBLANK($C$3),Start!AR49,MOVE!AR49)</f>
        <v>21.973105731867424</v>
      </c>
      <c r="AS49" s="86">
        <f>IF(ISBLANK($C$3),Start!AS49,MOVE!AS49)</f>
        <v>14.287303148535832</v>
      </c>
      <c r="AT49" s="86">
        <f>IF(ISBLANK($C$3),Start!AT49,MOVE!AT49)</f>
        <v>11.67282415892727</v>
      </c>
      <c r="AU49" s="86">
        <f>IF(ISBLANK($C$3),Start!AU49,MOVE!AU49)</f>
        <v>10.67870511363955</v>
      </c>
      <c r="AV49" s="86">
        <f>IF(ISBLANK($C$3),Start!AV49,MOVE!AV49)</f>
        <v>10.280772662289969</v>
      </c>
      <c r="AW49" s="86">
        <f>IF(ISBLANK($C$3),Start!AW49,MOVE!AW49)</f>
        <v>10.117544785493036</v>
      </c>
      <c r="AX49" s="86">
        <f>IF(ISBLANK($C$3),Start!AX49,MOVE!AX49)</f>
        <v>10.049963054301466</v>
      </c>
      <c r="AY49" s="87">
        <f>IF(ISBLANK($C$3),Start!AY49,MOVE!AY49)</f>
        <v>10.022384922539057</v>
      </c>
      <c r="AZ49" s="72">
        <f>IF(ISBLANK($C$3),Start!AZ49,MOVE!AZ49)</f>
        <v>10.012533682046538</v>
      </c>
      <c r="BA49" s="165">
        <v>31</v>
      </c>
      <c r="BB49" s="179"/>
      <c r="BC49" s="175">
        <v>30</v>
      </c>
      <c r="BD49" s="176">
        <v>900</v>
      </c>
      <c r="BE49" s="122" t="s">
        <v>58</v>
      </c>
      <c r="BF49" s="200" t="str">
        <f t="shared" si="0"/>
        <v>Wait</v>
      </c>
      <c r="BG49" s="167" t="str">
        <f>IF($C$5&lt;$BD49,"Wait",IF($C$5=$BD49,MOVE!$M$10,BG49))</f>
        <v>Wait</v>
      </c>
      <c r="BH49" s="158" t="str">
        <f>IF($C$5&lt;$BD49,"Wait",IF($C$5=$BD49,MOVE!$J$6,BH49))</f>
        <v>Wait</v>
      </c>
      <c r="BI49" s="158" t="str">
        <f>IF($C$5&lt;$BD49,"Wait",IF($C$5=$BD49,MOVE!$J$16,BI49))</f>
        <v>Wait</v>
      </c>
      <c r="BJ49" s="158" t="str">
        <f>IF($C$5&lt;$BD49,"Wait",IF($C$5=$BD49,MOVE!$J$14,BJ49))</f>
        <v>Wait</v>
      </c>
      <c r="BK49" s="262" t="str">
        <f>IF($C$5&lt;$BD49,"Wait",IF($C$5=$BD49,MOVE!$J$15,BK49))</f>
        <v>Wait</v>
      </c>
      <c r="BN49" s="207" t="str">
        <f>IF($C$5&lt;$BD49,"Wait",IF($C$5=$BD49,MOVE!$C$6,BN49))</f>
        <v>Wait</v>
      </c>
      <c r="BO49" s="167" t="str">
        <f>IF($C$5&lt;$BD49,"Wait",IF($C$5=$BD49,MOVE!$F$12,BO49))</f>
        <v>Wait</v>
      </c>
      <c r="BP49" s="158" t="str">
        <f>IF($C$5&lt;$BD49,"Wait",IF($C$5=$BD49,MOVE!$X$6,BP49))</f>
        <v>Wait</v>
      </c>
      <c r="BQ49" s="262" t="str">
        <f>IF($C$5&lt;$BD49,"Wait",IF($C$5=$BD49,MOVE!$AA$12,BQ49))</f>
        <v>Wait</v>
      </c>
    </row>
    <row r="50" spans="2:69" x14ac:dyDescent="0.2">
      <c r="B50" s="34">
        <v>32</v>
      </c>
      <c r="C50" s="72">
        <f>IF(ISBLANK($C$3),Start!C50,MOVE!C50)</f>
        <v>55.371525726792029</v>
      </c>
      <c r="D50" s="74">
        <f>IF(ISBLANK($C$3),Start!D50,MOVE!D50)</f>
        <v>58.834185141106644</v>
      </c>
      <c r="E50" s="75">
        <f>IF(ISBLANK($C$3),Start!E50,MOVE!E50)</f>
        <v>60.788348346204927</v>
      </c>
      <c r="F50" s="75">
        <f>IF(ISBLANK($C$3),Start!F50,MOVE!K50)</f>
        <v>61.888235309859375</v>
      </c>
      <c r="G50" s="75">
        <f>IF(ISBLANK($C$3),Start!G50,MOVE!L50)</f>
        <v>61.885546619892047</v>
      </c>
      <c r="H50" s="75">
        <f>IF(ISBLANK($C$3),Start!H50,MOVE!M50)</f>
        <v>61.884059272223446</v>
      </c>
      <c r="I50" s="75">
        <f>IF(ISBLANK($C$3),Start!I50,MOVE!N50)</f>
        <v>61.883239416552954</v>
      </c>
      <c r="J50" s="75">
        <f>IF(ISBLANK($C$3),Start!J50,MOVE!O50)</f>
        <v>61.882792690155071</v>
      </c>
      <c r="K50" s="75">
        <f>IF(ISBLANK($C$3),Start!K50,MOVE!K50)</f>
        <v>61.888235309859375</v>
      </c>
      <c r="L50" s="109">
        <f>IF(ISBLANK($C$3),Start!L50,MOVE!L50)</f>
        <v>61.885546619892047</v>
      </c>
      <c r="M50" s="83">
        <f>IF(ISBLANK($C$3),Start!M50,MOVE!M50)</f>
        <v>61.884059272223446</v>
      </c>
      <c r="N50" s="83">
        <f>IF(ISBLANK($C$3),Start!N50,MOVE!N50)</f>
        <v>61.883239416552954</v>
      </c>
      <c r="O50" s="83">
        <f>IF(ISBLANK($C$3),Start!O50,MOVE!O50)</f>
        <v>61.882792690155071</v>
      </c>
      <c r="P50" s="83">
        <f>IF(ISBLANK($C$3),Start!P50,MOVE!P50)</f>
        <v>61.882552018549362</v>
      </c>
      <c r="Q50" s="83">
        <f>IF(ISBLANK($C$3),Start!Q50,MOVE!Q50)</f>
        <v>61.882423623962033</v>
      </c>
      <c r="R50" s="83">
        <f>IF(ISBLANK($C$3),Start!R50,MOVE!R50)</f>
        <v>61.882355724729301</v>
      </c>
      <c r="S50" s="83">
        <f>IF(ISBLANK($C$3),Start!S50,MOVE!S50)</f>
        <v>61.88232013860928</v>
      </c>
      <c r="T50" s="83">
        <f>IF(ISBLANK($C$3),Start!T50,MOVE!T50)</f>
        <v>61.882301701735521</v>
      </c>
      <c r="U50" s="83">
        <f>IF(ISBLANK($C$3),Start!U50,MOVE!U50)</f>
        <v>61.882292303007169</v>
      </c>
      <c r="V50" s="83">
        <f>IF(ISBLANK($C$3),Start!V50,MOVE!V50)</f>
        <v>61.882287538011326</v>
      </c>
      <c r="W50" s="83">
        <f>IF(ISBLANK($C$3),Start!W50,MOVE!W50)</f>
        <v>61.88228475744009</v>
      </c>
      <c r="X50" s="83">
        <f>IF(ISBLANK($C$3),Start!X50,MOVE!X50)</f>
        <v>61.882281715355568</v>
      </c>
      <c r="Y50" s="83">
        <f>IF(ISBLANK($C$3),Start!Y50,MOVE!Y50)</f>
        <v>61.882275166060779</v>
      </c>
      <c r="Z50" s="83">
        <f>IF(ISBLANK($C$3),Start!Z50,MOVE!Z50)</f>
        <v>61.88225858790117</v>
      </c>
      <c r="AA50" s="83">
        <f>IF(ISBLANK($C$3),Start!AA50,MOVE!AA50)</f>
        <v>61.88221755131665</v>
      </c>
      <c r="AB50" s="83">
        <f>IF(ISBLANK($C$3),Start!AB50,MOVE!AB50)</f>
        <v>61.882119626282112</v>
      </c>
      <c r="AC50" s="83">
        <f>IF(ISBLANK($C$3),Start!AC50,MOVE!AC50)</f>
        <v>61.881892052329263</v>
      </c>
      <c r="AD50" s="83">
        <f>IF(ISBLANK($C$3),Start!AD50,MOVE!AD50)</f>
        <v>61.881372249279622</v>
      </c>
      <c r="AE50" s="83">
        <f>IF(ISBLANK($C$3),Start!AE50,MOVE!AE50)</f>
        <v>61.88019830520733</v>
      </c>
      <c r="AF50" s="83">
        <f>IF(ISBLANK($C$3),Start!AF50,MOVE!AF50)</f>
        <v>61.877567227425338</v>
      </c>
      <c r="AG50" s="83">
        <f>IF(ISBLANK($C$3),Start!AG50,MOVE!AG50)</f>
        <v>61.871702812155903</v>
      </c>
      <c r="AH50" s="83">
        <f>IF(ISBLANK($C$3),Start!AH50,MOVE!AH50)</f>
        <v>61.858688363360081</v>
      </c>
      <c r="AI50" s="83">
        <f>IF(ISBLANK($C$3),Start!AI50,MOVE!AI50)</f>
        <v>61.829917193311097</v>
      </c>
      <c r="AJ50" s="83">
        <f>IF(ISBLANK($C$3),Start!AJ50,MOVE!AJ50)</f>
        <v>61.766556169150171</v>
      </c>
      <c r="AK50" s="83">
        <f>IF(ISBLANK($C$3),Start!AK50,MOVE!AK50)</f>
        <v>61.62762128458332</v>
      </c>
      <c r="AL50" s="83">
        <f>IF(ISBLANK($C$3),Start!AL50,MOVE!AL50)</f>
        <v>61.324617836314431</v>
      </c>
      <c r="AM50" s="83">
        <f>IF(ISBLANK($C$3),Start!AM50,MOVE!AM50)</f>
        <v>60.668734976718419</v>
      </c>
      <c r="AN50" s="83">
        <f>IF(ISBLANK($C$3),Start!AN50,MOVE!AN50)</f>
        <v>59.265030007566494</v>
      </c>
      <c r="AO50" s="83">
        <f>IF(ISBLANK($C$3),Start!AO50,MOVE!AO50)</f>
        <v>56.316026273177997</v>
      </c>
      <c r="AP50" s="83">
        <f>IF(ISBLANK($C$3),Start!AP50,MOVE!AP50)</f>
        <v>50.316275396249488</v>
      </c>
      <c r="AQ50" s="83">
        <f>IF(ISBLANK($C$3),Start!AQ50,MOVE!AQ50)</f>
        <v>38.792344537455293</v>
      </c>
      <c r="AR50" s="92">
        <f>IF(ISBLANK($C$3),Start!AR50,MOVE!AR50)</f>
        <v>18.814879395154659</v>
      </c>
      <c r="AS50" s="86">
        <f>IF(ISBLANK($C$3),Start!AS50,MOVE!AS50)</f>
        <v>13.219252581052295</v>
      </c>
      <c r="AT50" s="86">
        <f>IF(ISBLANK($C$3),Start!AT50,MOVE!AT50)</f>
        <v>11.272302911439983</v>
      </c>
      <c r="AU50" s="86">
        <f>IF(ISBLANK($C$3),Start!AU50,MOVE!AU50)</f>
        <v>10.521662792706676</v>
      </c>
      <c r="AV50" s="86">
        <f>IF(ISBLANK($C$3),Start!AV50,MOVE!AV50)</f>
        <v>10.217822560244983</v>
      </c>
      <c r="AW50" s="86">
        <f>IF(ISBLANK($C$3),Start!AW50,MOVE!AW50)</f>
        <v>10.091963109326187</v>
      </c>
      <c r="AX50" s="86">
        <f>IF(ISBLANK($C$3),Start!AX50,MOVE!AX50)</f>
        <v>10.039398004789581</v>
      </c>
      <c r="AY50" s="87">
        <f>IF(ISBLANK($C$3),Start!AY50,MOVE!AY50)</f>
        <v>10.017788359841306</v>
      </c>
      <c r="AZ50" s="72">
        <f>IF(ISBLANK($C$3),Start!AZ50,MOVE!AZ50)</f>
        <v>10.010027676018376</v>
      </c>
      <c r="BA50" s="165">
        <v>32</v>
      </c>
      <c r="BB50" s="179"/>
      <c r="BC50" s="175">
        <v>31</v>
      </c>
      <c r="BD50" s="176">
        <v>930</v>
      </c>
      <c r="BE50" s="122" t="s">
        <v>59</v>
      </c>
      <c r="BF50" s="200" t="str">
        <f t="shared" si="0"/>
        <v>Wait</v>
      </c>
      <c r="BG50" s="168" t="str">
        <f>IF($C$5&lt;$BD50,"Wait",IF($C$5=$BD50,MOVE!$M$10,BG50))</f>
        <v>Wait</v>
      </c>
      <c r="BH50" s="157" t="str">
        <f>IF($C$5&lt;$BD50,"Wait",IF($C$5=$BD50,MOVE!$J$6,BH50))</f>
        <v>Wait</v>
      </c>
      <c r="BI50" s="157" t="str">
        <f>IF($C$5&lt;$BD50,"Wait",IF($C$5=$BD50,MOVE!$J$16,BI50))</f>
        <v>Wait</v>
      </c>
      <c r="BJ50" s="158" t="str">
        <f>IF($C$5&lt;$BD50,"Wait",IF($C$5=$BD50,MOVE!$J$14,BJ50))</f>
        <v>Wait</v>
      </c>
      <c r="BK50" s="262" t="str">
        <f>IF($C$5&lt;$BD50,"Wait",IF($C$5=$BD50,MOVE!$J$15,BK50))</f>
        <v>Wait</v>
      </c>
      <c r="BN50" s="207" t="str">
        <f>IF($C$5&lt;$BD50,"Wait",IF($C$5=$BD50,MOVE!$C$6,BN50))</f>
        <v>Wait</v>
      </c>
      <c r="BO50" s="167" t="str">
        <f>IF($C$5&lt;$BD50,"Wait",IF($C$5=$BD50,MOVE!$F$12,BO50))</f>
        <v>Wait</v>
      </c>
      <c r="BP50" s="158" t="str">
        <f>IF($C$5&lt;$BD50,"Wait",IF($C$5=$BD50,MOVE!$X$6,BP50))</f>
        <v>Wait</v>
      </c>
      <c r="BQ50" s="262" t="str">
        <f>IF($C$5&lt;$BD50,"Wait",IF($C$5=$BD50,MOVE!$AA$12,BQ50))</f>
        <v>Wait</v>
      </c>
    </row>
    <row r="51" spans="2:69" x14ac:dyDescent="0.2">
      <c r="B51" s="34">
        <v>33</v>
      </c>
      <c r="C51" s="72">
        <f>IF(ISBLANK($C$3),Start!C51,MOVE!C51)</f>
        <v>8.9013579847444717</v>
      </c>
      <c r="D51" s="95">
        <f>IF(ISBLANK($C$3),Start!D51,MOVE!D51)</f>
        <v>20.113901762523632</v>
      </c>
      <c r="E51" s="96">
        <f>IF(ISBLANK($C$3),Start!E51,MOVE!E51)</f>
        <v>22.755069699774925</v>
      </c>
      <c r="F51" s="96">
        <f>IF(ISBLANK($C$3),Start!F51,MOVE!F51)</f>
        <v>23.636996739313329</v>
      </c>
      <c r="G51" s="96">
        <f>IF(ISBLANK($C$3),Start!G51,MOVE!G51)</f>
        <v>23.636662622808402</v>
      </c>
      <c r="H51" s="96">
        <f>IF(ISBLANK($C$3),Start!H51,MOVE!H51)</f>
        <v>23.636306969645346</v>
      </c>
      <c r="I51" s="96">
        <f>IF(ISBLANK($C$3),Start!I51,MOVE!I51)</f>
        <v>23.636076747550465</v>
      </c>
      <c r="J51" s="96">
        <f>IF(ISBLANK($C$3),Start!J51,MOVE!J51)</f>
        <v>23.635943506574026</v>
      </c>
      <c r="K51" s="96">
        <f>IF(ISBLANK($C$3),Start!K51,MOVE!K51)</f>
        <v>23.636996739313329</v>
      </c>
      <c r="L51" s="96">
        <f>IF(ISBLANK($C$3),Start!L51,MOVE!L51)</f>
        <v>23.636662622808402</v>
      </c>
      <c r="M51" s="96">
        <f>IF(ISBLANK($C$3),Start!M51,MOVE!M51)</f>
        <v>23.636306969645346</v>
      </c>
      <c r="N51" s="96">
        <f>IF(ISBLANK($C$3),Start!N51,MOVE!N51)</f>
        <v>23.636076747550465</v>
      </c>
      <c r="O51" s="96">
        <f>IF(ISBLANK($C$3),Start!O51,MOVE!O51)</f>
        <v>23.635943506574026</v>
      </c>
      <c r="P51" s="96">
        <f>IF(ISBLANK($C$3),Start!P51,MOVE!P51)</f>
        <v>23.635869687635402</v>
      </c>
      <c r="Q51" s="96">
        <f>IF(ISBLANK($C$3),Start!Q51,MOVE!Q51)</f>
        <v>23.635829790270609</v>
      </c>
      <c r="R51" s="96">
        <f>IF(ISBLANK($C$3),Start!R51,MOVE!R51)</f>
        <v>23.635808704497247</v>
      </c>
      <c r="S51" s="96">
        <f>IF(ISBLANK($C$3),Start!S51,MOVE!S51)</f>
        <v>23.635797948802232</v>
      </c>
      <c r="T51" s="96">
        <f>IF(ISBLANK($C$3),Start!T51,MOVE!T51)</f>
        <v>23.635792915715577</v>
      </c>
      <c r="U51" s="96">
        <f>IF(ISBLANK($C$3),Start!U51,MOVE!U51)</f>
        <v>23.635791177605569</v>
      </c>
      <c r="V51" s="96">
        <f>IF(ISBLANK($C$3),Start!V51,MOVE!V51)</f>
        <v>23.635791500943267</v>
      </c>
      <c r="W51" s="96">
        <f>IF(ISBLANK($C$3),Start!W51,MOVE!W51)</f>
        <v>23.63579326605095</v>
      </c>
      <c r="X51" s="96">
        <f>IF(ISBLANK($C$3),Start!X51,MOVE!X51)</f>
        <v>23.635796070153408</v>
      </c>
      <c r="Y51" s="96">
        <f>IF(ISBLANK($C$3),Start!Y51,MOVE!Y51)</f>
        <v>23.63579931986731</v>
      </c>
      <c r="Z51" s="96">
        <f>IF(ISBLANK($C$3),Start!Z51,MOVE!Z51)</f>
        <v>23.635801560450112</v>
      </c>
      <c r="AA51" s="96">
        <f>IF(ISBLANK($C$3),Start!AA51,MOVE!AA51)</f>
        <v>23.635799079891207</v>
      </c>
      <c r="AB51" s="96">
        <f>IF(ISBLANK($C$3),Start!AB51,MOVE!AB51)</f>
        <v>23.635782815957224</v>
      </c>
      <c r="AC51" s="96">
        <f>IF(ISBLANK($C$3),Start!AC51,MOVE!AC51)</f>
        <v>23.635731442212027</v>
      </c>
      <c r="AD51" s="96">
        <f>IF(ISBLANK($C$3),Start!AD51,MOVE!AD51)</f>
        <v>23.635595960553871</v>
      </c>
      <c r="AE51" s="96">
        <f>IF(ISBLANK($C$3),Start!AE51,MOVE!AE51)</f>
        <v>23.635265537805804</v>
      </c>
      <c r="AF51" s="96">
        <f>IF(ISBLANK($C$3),Start!AF51,MOVE!AF51)</f>
        <v>23.634492134404677</v>
      </c>
      <c r="AG51" s="96">
        <f>IF(ISBLANK($C$3),Start!AG51,MOVE!AG51)</f>
        <v>23.632725055185485</v>
      </c>
      <c r="AH51" s="96">
        <f>IF(ISBLANK($C$3),Start!AH51,MOVE!AH51)</f>
        <v>23.62874972577626</v>
      </c>
      <c r="AI51" s="96">
        <f>IF(ISBLANK($C$3),Start!AI51,MOVE!AI51)</f>
        <v>23.619903982200142</v>
      </c>
      <c r="AJ51" s="96">
        <f>IF(ISBLANK($C$3),Start!AJ51,MOVE!AJ51)</f>
        <v>23.60039113782528</v>
      </c>
      <c r="AK51" s="96">
        <f>IF(ISBLANK($C$3),Start!AK51,MOVE!AK51)</f>
        <v>23.557687829944197</v>
      </c>
      <c r="AL51" s="96">
        <f>IF(ISBLANK($C$3),Start!AL51,MOVE!AL51)</f>
        <v>23.465017362896685</v>
      </c>
      <c r="AM51" s="96">
        <f>IF(ISBLANK($C$3),Start!AM51,MOVE!AM51)</f>
        <v>23.266001562488153</v>
      </c>
      <c r="AN51" s="96">
        <f>IF(ISBLANK($C$3),Start!AN51,MOVE!AN51)</f>
        <v>22.844983517271011</v>
      </c>
      <c r="AO51" s="96">
        <f>IF(ISBLANK($C$3),Start!AO51,MOVE!AO51)</f>
        <v>21.976559678170375</v>
      </c>
      <c r="AP51" s="96">
        <f>IF(ISBLANK($C$3),Start!AP51,MOVE!AP51)</f>
        <v>20.27232799089904</v>
      </c>
      <c r="AQ51" s="97">
        <f>IF(ISBLANK($C$3),Start!AQ51,MOVE!AQ51)</f>
        <v>17.297093287636141</v>
      </c>
      <c r="AR51" s="92">
        <f>IF(ISBLANK($C$3),Start!AR51,MOVE!AR51)</f>
        <v>13.714843141487989</v>
      </c>
      <c r="AS51" s="86">
        <f>IF(ISBLANK($C$3),Start!AS51,MOVE!AS51)</f>
        <v>11.694670006909014</v>
      </c>
      <c r="AT51" s="86">
        <f>IF(ISBLANK($C$3),Start!AT51,MOVE!AT51)</f>
        <v>10.751288156203453</v>
      </c>
      <c r="AU51" s="86">
        <f>IF(ISBLANK($C$3),Start!AU51,MOVE!AU51)</f>
        <v>10.329559041037243</v>
      </c>
      <c r="AV51" s="86">
        <f>IF(ISBLANK($C$3),Start!AV51,MOVE!AV51)</f>
        <v>10.143854694689333</v>
      </c>
      <c r="AW51" s="86">
        <f>IF(ISBLANK($C$3),Start!AW51,MOVE!AW51)</f>
        <v>10.062711378299085</v>
      </c>
      <c r="AX51" s="86">
        <f>IF(ISBLANK($C$3),Start!AX51,MOVE!AX51)</f>
        <v>10.027550895046643</v>
      </c>
      <c r="AY51" s="87">
        <f>IF(ISBLANK($C$3),Start!AY51,MOVE!AY51)</f>
        <v>10.012712171552689</v>
      </c>
      <c r="AZ51" s="72">
        <f>IF(ISBLANK($C$3),Start!AZ51,MOVE!AZ51)</f>
        <v>10.007292019177356</v>
      </c>
      <c r="BA51" s="165">
        <v>33</v>
      </c>
      <c r="BB51" s="174">
        <v>1965</v>
      </c>
      <c r="BC51" s="175">
        <v>32</v>
      </c>
      <c r="BD51" s="176">
        <v>960</v>
      </c>
      <c r="BE51" s="122" t="s">
        <v>60</v>
      </c>
      <c r="BF51" s="200" t="str">
        <f t="shared" ref="BF51:BF78" si="1">IF($C$5&lt;$BD51,"Wait",IF($C$5=$BD51,(SUM($P$38:$S$41)+SUM($AB$34:$AE$37))/32,BF51))</f>
        <v>Wait</v>
      </c>
      <c r="BG51" s="168" t="str">
        <f>IF($C$5&lt;$BD51,"Wait",IF($C$5=$BD51,MOVE!$M$10,BG51))</f>
        <v>Wait</v>
      </c>
      <c r="BH51" s="157" t="str">
        <f>IF($C$5&lt;$BD51,"Wait",IF($C$5=$BD51,MOVE!$J$6,BH51))</f>
        <v>Wait</v>
      </c>
      <c r="BI51" s="157" t="str">
        <f>IF($C$5&lt;$BD51,"Wait",IF($C$5=$BD51,MOVE!$J$16,BI51))</f>
        <v>Wait</v>
      </c>
      <c r="BJ51" s="158" t="str">
        <f>IF($C$5&lt;$BD51,"Wait",IF($C$5=$BD51,MOVE!$J$14,BJ51))</f>
        <v>Wait</v>
      </c>
      <c r="BK51" s="262" t="str">
        <f>IF($C$5&lt;$BD51,"Wait",IF($C$5=$BD51,MOVE!$J$15,BK51))</f>
        <v>Wait</v>
      </c>
      <c r="BN51" s="207" t="str">
        <f>IF($C$5&lt;$BD51,"Wait",IF($C$5=$BD51,MOVE!$C$6,BN51))</f>
        <v>Wait</v>
      </c>
      <c r="BO51" s="167" t="str">
        <f>IF($C$5&lt;$BD51,"Wait",IF($C$5=$BD51,MOVE!$F$12,BO51))</f>
        <v>Wait</v>
      </c>
      <c r="BP51" s="158" t="str">
        <f>IF($C$5&lt;$BD51,"Wait",IF($C$5=$BD51,MOVE!$X$6,BP51))</f>
        <v>Wait</v>
      </c>
      <c r="BQ51" s="262" t="str">
        <f>IF($C$5&lt;$BD51,"Wait",IF($C$5=$BD51,MOVE!$AA$12,BQ51))</f>
        <v>Wait</v>
      </c>
    </row>
    <row r="52" spans="2:69" x14ac:dyDescent="0.2">
      <c r="B52" s="34">
        <v>34</v>
      </c>
      <c r="C52" s="72">
        <f>IF(ISBLANK($C$3),Start!C52,MOVE!C52)</f>
        <v>3.9683643001756645</v>
      </c>
      <c r="D52" s="77">
        <f>IF(ISBLANK($C$3),Start!D52,MOVE!D52)</f>
        <v>9.1882491329067069</v>
      </c>
      <c r="E52" s="78">
        <f>IF(ISBLANK($C$3),Start!E52,MOVE!E52)</f>
        <v>11.23381473206169</v>
      </c>
      <c r="F52" s="78">
        <f>IF(ISBLANK($C$3),Start!F52,MOVE!F52)</f>
        <v>12.142189309971336</v>
      </c>
      <c r="G52" s="78">
        <f>IF(ISBLANK($C$3),Start!G52,MOVE!G52)</f>
        <v>12.142158459666737</v>
      </c>
      <c r="H52" s="78">
        <f>IF(ISBLANK($C$3),Start!H52,MOVE!H52)</f>
        <v>12.142055494736828</v>
      </c>
      <c r="I52" s="78">
        <f>IF(ISBLANK($C$3),Start!I52,MOVE!I52)</f>
        <v>12.141968487651098</v>
      </c>
      <c r="J52" s="78">
        <f>IF(ISBLANK($C$3),Start!J52,MOVE!J52)</f>
        <v>12.141910931110912</v>
      </c>
      <c r="K52" s="78">
        <f>IF(ISBLANK($C$3),Start!K52,MOVE!K52)</f>
        <v>12.142189309971336</v>
      </c>
      <c r="L52" s="78">
        <f>IF(ISBLANK($C$3),Start!L52,MOVE!L52)</f>
        <v>12.142158459666737</v>
      </c>
      <c r="M52" s="78">
        <f>IF(ISBLANK($C$3),Start!M52,MOVE!M52)</f>
        <v>12.142055494736828</v>
      </c>
      <c r="N52" s="78">
        <f>IF(ISBLANK($C$3),Start!N52,MOVE!N52)</f>
        <v>12.141968487651098</v>
      </c>
      <c r="O52" s="78">
        <f>IF(ISBLANK($C$3),Start!O52,MOVE!O52)</f>
        <v>12.141910931110912</v>
      </c>
      <c r="P52" s="78">
        <f>IF(ISBLANK($C$3),Start!P52,MOVE!P52)</f>
        <v>12.141876651077556</v>
      </c>
      <c r="Q52" s="78">
        <f>IF(ISBLANK($C$3),Start!Q52,MOVE!Q52)</f>
        <v>12.141857672793618</v>
      </c>
      <c r="R52" s="78">
        <f>IF(ISBLANK($C$3),Start!R52,MOVE!R52)</f>
        <v>12.141848188942696</v>
      </c>
      <c r="S52" s="78">
        <f>IF(ISBLANK($C$3),Start!S52,MOVE!S52)</f>
        <v>12.141844669196042</v>
      </c>
      <c r="T52" s="78">
        <f>IF(ISBLANK($C$3),Start!T52,MOVE!T52)</f>
        <v>12.141845240064404</v>
      </c>
      <c r="U52" s="78">
        <f>IF(ISBLANK($C$3),Start!U52,MOVE!U52)</f>
        <v>12.141849133090904</v>
      </c>
      <c r="V52" s="78">
        <f>IF(ISBLANK($C$3),Start!V52,MOVE!V52)</f>
        <v>12.141856329285337</v>
      </c>
      <c r="W52" s="78">
        <f>IF(ISBLANK($C$3),Start!W52,MOVE!W52)</f>
        <v>12.141867365274049</v>
      </c>
      <c r="X52" s="78">
        <f>IF(ISBLANK($C$3),Start!X52,MOVE!X52)</f>
        <v>12.141883239476581</v>
      </c>
      <c r="Y52" s="78">
        <f>IF(ISBLANK($C$3),Start!Y52,MOVE!Y52)</f>
        <v>12.141905349073712</v>
      </c>
      <c r="Z52" s="78">
        <f>IF(ISBLANK($C$3),Start!Z52,MOVE!Z52)</f>
        <v>12.141935355912711</v>
      </c>
      <c r="AA52" s="78">
        <f>IF(ISBLANK($C$3),Start!AA52,MOVE!AA52)</f>
        <v>12.141974781158529</v>
      </c>
      <c r="AB52" s="78">
        <f>IF(ISBLANK($C$3),Start!AB52,MOVE!AB52)</f>
        <v>12.142023888585046</v>
      </c>
      <c r="AC52" s="78">
        <f>IF(ISBLANK($C$3),Start!AC52,MOVE!AC52)</f>
        <v>12.142078871397567</v>
      </c>
      <c r="AD52" s="78">
        <f>IF(ISBLANK($C$3),Start!AD52,MOVE!AD52)</f>
        <v>12.142125154828879</v>
      </c>
      <c r="AE52" s="78">
        <f>IF(ISBLANK($C$3),Start!AE52,MOVE!AE52)</f>
        <v>12.142122017278</v>
      </c>
      <c r="AF52" s="78">
        <f>IF(ISBLANK($C$3),Start!AF52,MOVE!AF52)</f>
        <v>12.141968150873724</v>
      </c>
      <c r="AG52" s="78">
        <f>IF(ISBLANK($C$3),Start!AG52,MOVE!AG52)</f>
        <v>12.14142602494681</v>
      </c>
      <c r="AH52" s="78">
        <f>IF(ISBLANK($C$3),Start!AH52,MOVE!AH52)</f>
        <v>12.13995862748552</v>
      </c>
      <c r="AI52" s="78">
        <f>IF(ISBLANK($C$3),Start!AI52,MOVE!AI52)</f>
        <v>12.136383346203324</v>
      </c>
      <c r="AJ52" s="78">
        <f>IF(ISBLANK($C$3),Start!AJ52,MOVE!AJ52)</f>
        <v>12.128153845415195</v>
      </c>
      <c r="AK52" s="78">
        <f>IF(ISBLANK($C$3),Start!AK52,MOVE!AK52)</f>
        <v>12.109914103389178</v>
      </c>
      <c r="AL52" s="78">
        <f>IF(ISBLANK($C$3),Start!AL52,MOVE!AL52)</f>
        <v>12.070723365089821</v>
      </c>
      <c r="AM52" s="78">
        <f>IF(ISBLANK($C$3),Start!AM52,MOVE!AM52)</f>
        <v>11.989192342883983</v>
      </c>
      <c r="AN52" s="78">
        <f>IF(ISBLANK($C$3),Start!AN52,MOVE!AN52)</f>
        <v>11.826655115274253</v>
      </c>
      <c r="AO52" s="78">
        <f>IF(ISBLANK($C$3),Start!AO52,MOVE!AO52)</f>
        <v>11.524414924599251</v>
      </c>
      <c r="AP52" s="78">
        <f>IF(ISBLANK($C$3),Start!AP52,MOVE!AP52)</f>
        <v>11.035891420053099</v>
      </c>
      <c r="AQ52" s="79">
        <f>IF(ISBLANK($C$3),Start!AQ52,MOVE!AQ52)</f>
        <v>10.50485154662692</v>
      </c>
      <c r="AR52" s="92">
        <f>IF(ISBLANK($C$3),Start!AR52,MOVE!AR52)</f>
        <v>10.87449762678761</v>
      </c>
      <c r="AS52" s="86">
        <f>IF(ISBLANK($C$3),Start!AS52,MOVE!AS52)</f>
        <v>10.579979740895261</v>
      </c>
      <c r="AT52" s="86">
        <f>IF(ISBLANK($C$3),Start!AT52,MOVE!AT52)</f>
        <v>10.314553670081136</v>
      </c>
      <c r="AU52" s="86">
        <f>IF(ISBLANK($C$3),Start!AU52,MOVE!AU52)</f>
        <v>10.156809025753999</v>
      </c>
      <c r="AV52" s="86">
        <f>IF(ISBLANK($C$3),Start!AV52,MOVE!AV52)</f>
        <v>10.074799167758206</v>
      </c>
      <c r="AW52" s="86">
        <f>IF(ISBLANK($C$3),Start!AW52,MOVE!AW52)</f>
        <v>10.034819828340336</v>
      </c>
      <c r="AX52" s="86">
        <f>IF(ISBLANK($C$3),Start!AX52,MOVE!AX52)</f>
        <v>10.016109202081422</v>
      </c>
      <c r="AY52" s="87">
        <f>IF(ISBLANK($C$3),Start!AY52,MOVE!AY52)</f>
        <v>10.007767320379804</v>
      </c>
      <c r="AZ52" s="72">
        <f>IF(ISBLANK($C$3),Start!AZ52,MOVE!AZ52)</f>
        <v>10.004611541789803</v>
      </c>
      <c r="BA52" s="165">
        <v>34</v>
      </c>
      <c r="BB52" s="120"/>
      <c r="BC52" s="175">
        <v>33</v>
      </c>
      <c r="BD52" s="176">
        <v>990</v>
      </c>
      <c r="BE52" s="122" t="s">
        <v>61</v>
      </c>
      <c r="BF52" s="200" t="str">
        <f t="shared" si="1"/>
        <v>Wait</v>
      </c>
      <c r="BG52" s="168" t="str">
        <f>IF($C$5&lt;$BD52,"Wait",IF($C$5=$BD52,MOVE!$M$10,BG52))</f>
        <v>Wait</v>
      </c>
      <c r="BH52" s="157" t="str">
        <f>IF($C$5&lt;$BD52,"Wait",IF($C$5=$BD52,MOVE!$J$6,BH52))</f>
        <v>Wait</v>
      </c>
      <c r="BI52" s="157" t="str">
        <f>IF($C$5&lt;$BD52,"Wait",IF($C$5=$BD52,MOVE!$J$16,BI52))</f>
        <v>Wait</v>
      </c>
      <c r="BJ52" s="158" t="str">
        <f>IF($C$5&lt;$BD52,"Wait",IF($C$5=$BD52,MOVE!$J$14,BJ52))</f>
        <v>Wait</v>
      </c>
      <c r="BK52" s="262" t="str">
        <f>IF($C$5&lt;$BD52,"Wait",IF($C$5=$BD52,MOVE!$J$15,BK52))</f>
        <v>Wait</v>
      </c>
      <c r="BN52" s="207" t="str">
        <f>IF($C$5&lt;$BD52,"Wait",IF($C$5=$BD52,MOVE!$C$6,BN52))</f>
        <v>Wait</v>
      </c>
      <c r="BO52" s="167" t="str">
        <f>IF($C$5&lt;$BD52,"Wait",IF($C$5=$BD52,MOVE!$F$12,BO52))</f>
        <v>Wait</v>
      </c>
      <c r="BP52" s="158" t="str">
        <f>IF($C$5&lt;$BD52,"Wait",IF($C$5=$BD52,MOVE!$X$6,BP52))</f>
        <v>Wait</v>
      </c>
      <c r="BQ52" s="262" t="str">
        <f>IF($C$5&lt;$BD52,"Wait",IF($C$5=$BD52,MOVE!$AA$12,BQ52))</f>
        <v>Wait</v>
      </c>
    </row>
    <row r="53" spans="2:69" x14ac:dyDescent="0.2">
      <c r="B53" s="34">
        <v>35</v>
      </c>
      <c r="C53" s="72">
        <f>IF(ISBLANK($C$3),Start!C53,MOVE!C53)</f>
        <v>2.6501994168703633</v>
      </c>
      <c r="D53" s="77">
        <f>IF(ISBLANK($C$3),Start!D53,MOVE!D53)</f>
        <v>5.1989489323516063</v>
      </c>
      <c r="E53" s="78">
        <f>IF(ISBLANK($C$3),Start!E53,MOVE!E53)</f>
        <v>6.5984241496564824</v>
      </c>
      <c r="F53" s="78">
        <f>IF(ISBLANK($C$3),Start!F53,MOVE!F53)</f>
        <v>7.4129063038243732</v>
      </c>
      <c r="G53" s="78">
        <f>IF(ISBLANK($C$3),Start!G53,MOVE!G53)</f>
        <v>7.4129140791821548</v>
      </c>
      <c r="H53" s="78">
        <f>IF(ISBLANK($C$3),Start!H53,MOVE!H53)</f>
        <v>7.4128820092589089</v>
      </c>
      <c r="I53" s="78">
        <f>IF(ISBLANK($C$3),Start!I53,MOVE!I53)</f>
        <v>7.412845184643257</v>
      </c>
      <c r="J53" s="78">
        <f>IF(ISBLANK($C$3),Start!J53,MOVE!J53)</f>
        <v>7.4128167308010227</v>
      </c>
      <c r="K53" s="78">
        <f>IF(ISBLANK($C$3),Start!K53,MOVE!K53)</f>
        <v>7.4129063038243732</v>
      </c>
      <c r="L53" s="78">
        <f>IF(ISBLANK($C$3),Start!L53,MOVE!L53)</f>
        <v>7.4129140791821548</v>
      </c>
      <c r="M53" s="78">
        <f>IF(ISBLANK($C$3),Start!M53,MOVE!M53)</f>
        <v>7.4128820092589089</v>
      </c>
      <c r="N53" s="78">
        <f>IF(ISBLANK($C$3),Start!N53,MOVE!N53)</f>
        <v>7.412845184643257</v>
      </c>
      <c r="O53" s="78">
        <f>IF(ISBLANK($C$3),Start!O53,MOVE!O53)</f>
        <v>7.4128167308010227</v>
      </c>
      <c r="P53" s="78">
        <f>IF(ISBLANK($C$3),Start!P53,MOVE!P53)</f>
        <v>7.4127985557524454</v>
      </c>
      <c r="Q53" s="78">
        <f>IF(ISBLANK($C$3),Start!Q53,MOVE!Q53)</f>
        <v>7.4127890628297797</v>
      </c>
      <c r="R53" s="78">
        <f>IF(ISBLANK($C$3),Start!R53,MOVE!R53)</f>
        <v>7.4127863917781234</v>
      </c>
      <c r="S53" s="78">
        <f>IF(ISBLANK($C$3),Start!S53,MOVE!S53)</f>
        <v>7.4127894123110876</v>
      </c>
      <c r="T53" s="78">
        <f>IF(ISBLANK($C$3),Start!T53,MOVE!T53)</f>
        <v>7.4127978985259961</v>
      </c>
      <c r="U53" s="78">
        <f>IF(ISBLANK($C$3),Start!U53,MOVE!U53)</f>
        <v>7.4128125030131029</v>
      </c>
      <c r="V53" s="78">
        <f>IF(ISBLANK($C$3),Start!V53,MOVE!V53)</f>
        <v>7.4128347534591468</v>
      </c>
      <c r="W53" s="78">
        <f>IF(ISBLANK($C$3),Start!W53,MOVE!W53)</f>
        <v>7.4128671417913168</v>
      </c>
      <c r="X53" s="78">
        <f>IF(ISBLANK($C$3),Start!X53,MOVE!X53)</f>
        <v>7.4129133279727073</v>
      </c>
      <c r="Y53" s="78">
        <f>IF(ISBLANK($C$3),Start!Y53,MOVE!Y53)</f>
        <v>7.4129784691762559</v>
      </c>
      <c r="Z53" s="78">
        <f>IF(ISBLANK($C$3),Start!Z53,MOVE!Z53)</f>
        <v>7.4130696773738531</v>
      </c>
      <c r="AA53" s="78">
        <f>IF(ISBLANK($C$3),Start!AA53,MOVE!AA53)</f>
        <v>7.4131965795986021</v>
      </c>
      <c r="AB53" s="78">
        <f>IF(ISBLANK($C$3),Start!AB53,MOVE!AB53)</f>
        <v>7.4133718678696381</v>
      </c>
      <c r="AC53" s="78">
        <f>IF(ISBLANK($C$3),Start!AC53,MOVE!AC53)</f>
        <v>7.4136115050612199</v>
      </c>
      <c r="AD53" s="78">
        <f>IF(ISBLANK($C$3),Start!AD53,MOVE!AD53)</f>
        <v>7.4139337448803886</v>
      </c>
      <c r="AE53" s="78">
        <f>IF(ISBLANK($C$3),Start!AE53,MOVE!AE53)</f>
        <v>7.4143550229889881</v>
      </c>
      <c r="AF53" s="78">
        <f>IF(ISBLANK($C$3),Start!AF53,MOVE!AF53)</f>
        <v>7.4148785087695002</v>
      </c>
      <c r="AG53" s="78">
        <f>IF(ISBLANK($C$3),Start!AG53,MOVE!AG53)</f>
        <v>7.4154666910752161</v>
      </c>
      <c r="AH53" s="78">
        <f>IF(ISBLANK($C$3),Start!AH53,MOVE!AH53)</f>
        <v>7.4159814118259435</v>
      </c>
      <c r="AI53" s="78">
        <f>IF(ISBLANK($C$3),Start!AI53,MOVE!AI53)</f>
        <v>7.4160622690447227</v>
      </c>
      <c r="AJ53" s="78">
        <f>IF(ISBLANK($C$3),Start!AJ53,MOVE!AJ53)</f>
        <v>7.4149007363309023</v>
      </c>
      <c r="AK53" s="78">
        <f>IF(ISBLANK($C$3),Start!AK53,MOVE!AK53)</f>
        <v>7.4108755009958873</v>
      </c>
      <c r="AL53" s="78">
        <f>IF(ISBLANK($C$3),Start!AL53,MOVE!AL53)</f>
        <v>7.4011354156767242</v>
      </c>
      <c r="AM53" s="78">
        <f>IF(ISBLANK($C$3),Start!AM53,MOVE!AM53)</f>
        <v>7.3817561684665112</v>
      </c>
      <c r="AN53" s="78">
        <f>IF(ISBLANK($C$3),Start!AN53,MOVE!AN53)</f>
        <v>7.3509777424345639</v>
      </c>
      <c r="AO53" s="78">
        <f>IF(ISBLANK($C$3),Start!AO53,MOVE!AO53)</f>
        <v>7.3237174467906634</v>
      </c>
      <c r="AP53" s="78">
        <f>IF(ISBLANK($C$3),Start!AP53,MOVE!AP53)</f>
        <v>7.3804383347607621</v>
      </c>
      <c r="AQ53" s="79">
        <f>IF(ISBLANK($C$3),Start!AQ53,MOVE!AQ53)</f>
        <v>7.8048434406560654</v>
      </c>
      <c r="AR53" s="92">
        <f>IF(ISBLANK($C$3),Start!AR53,MOVE!AR53)</f>
        <v>9.4118805646884542</v>
      </c>
      <c r="AS53" s="86">
        <f>IF(ISBLANK($C$3),Start!AS53,MOVE!AS53)</f>
        <v>9.8965888067385333</v>
      </c>
      <c r="AT53" s="86">
        <f>IF(ISBLANK($C$3),Start!AT53,MOVE!AT53)</f>
        <v>10.013564805811269</v>
      </c>
      <c r="AU53" s="86">
        <f>IF(ISBLANK($C$3),Start!AU53,MOVE!AU53)</f>
        <v>10.027820795108992</v>
      </c>
      <c r="AV53" s="86">
        <f>IF(ISBLANK($C$3),Start!AV53,MOVE!AV53)</f>
        <v>10.020254743032718</v>
      </c>
      <c r="AW53" s="86">
        <f>IF(ISBLANK($C$3),Start!AW53,MOVE!AW53)</f>
        <v>10.011876538983698</v>
      </c>
      <c r="AX53" s="86">
        <f>IF(ISBLANK($C$3),Start!AX53,MOVE!AX53)</f>
        <v>10.006405694813843</v>
      </c>
      <c r="AY53" s="87">
        <f>IF(ISBLANK($C$3),Start!AY53,MOVE!AY53)</f>
        <v>10.003469314731451</v>
      </c>
      <c r="AZ53" s="72">
        <f>IF(ISBLANK($C$3),Start!AZ53,MOVE!AZ53)</f>
        <v>10.002237430806026</v>
      </c>
      <c r="BA53" s="165">
        <v>35</v>
      </c>
      <c r="BB53" s="120"/>
      <c r="BC53" s="175">
        <v>34</v>
      </c>
      <c r="BD53" s="176">
        <v>1020</v>
      </c>
      <c r="BE53" s="122" t="s">
        <v>62</v>
      </c>
      <c r="BF53" s="200" t="str">
        <f t="shared" si="1"/>
        <v>Wait</v>
      </c>
      <c r="BG53" s="168" t="str">
        <f>IF($C$5&lt;$BD53,"Wait",IF($C$5=$BD53,MOVE!$M$10,BG53))</f>
        <v>Wait</v>
      </c>
      <c r="BH53" s="157" t="str">
        <f>IF($C$5&lt;$BD53,"Wait",IF($C$5=$BD53,MOVE!$J$6,BH53))</f>
        <v>Wait</v>
      </c>
      <c r="BI53" s="157" t="str">
        <f>IF($C$5&lt;$BD53,"Wait",IF($C$5=$BD53,MOVE!$J$16,BI53))</f>
        <v>Wait</v>
      </c>
      <c r="BJ53" s="158" t="str">
        <f>IF($C$5&lt;$BD53,"Wait",IF($C$5=$BD53,MOVE!$J$14,BJ53))</f>
        <v>Wait</v>
      </c>
      <c r="BK53" s="262" t="str">
        <f>IF($C$5&lt;$BD53,"Wait",IF($C$5=$BD53,MOVE!$J$15,BK53))</f>
        <v>Wait</v>
      </c>
      <c r="BN53" s="207" t="str">
        <f>IF($C$5&lt;$BD53,"Wait",IF($C$5=$BD53,MOVE!$C$6,BN53))</f>
        <v>Wait</v>
      </c>
      <c r="BO53" s="167" t="str">
        <f>IF($C$5&lt;$BD53,"Wait",IF($C$5=$BD53,MOVE!$F$12,BO53))</f>
        <v>Wait</v>
      </c>
      <c r="BP53" s="158" t="str">
        <f>IF($C$5&lt;$BD53,"Wait",IF($C$5=$BD53,MOVE!$X$6,BP53))</f>
        <v>Wait</v>
      </c>
      <c r="BQ53" s="262" t="str">
        <f>IF($C$5&lt;$BD53,"Wait",IF($C$5=$BD53,MOVE!$AA$12,BQ53))</f>
        <v>Wait</v>
      </c>
    </row>
    <row r="54" spans="2:69" x14ac:dyDescent="0.2">
      <c r="B54" s="34">
        <v>36</v>
      </c>
      <c r="C54" s="72">
        <f>IF(ISBLANK($C$3),Start!C54,MOVE!C54)</f>
        <v>2.0633512413240571</v>
      </c>
      <c r="D54" s="77">
        <f>IF(ISBLANK($C$3),Start!D54,MOVE!D54)</f>
        <v>3.4506098968425065</v>
      </c>
      <c r="E54" s="78">
        <f>IF(ISBLANK($C$3),Start!E54,MOVE!E54)</f>
        <v>4.3953658415657673</v>
      </c>
      <c r="F54" s="78">
        <f>IF(ISBLANK($C$3),Start!F54,MOVE!F54)</f>
        <v>5.0610529545405107</v>
      </c>
      <c r="G54" s="78">
        <f>IF(ISBLANK($C$3),Start!G54,MOVE!G54)</f>
        <v>5.0610608803880996</v>
      </c>
      <c r="H54" s="78">
        <f>IF(ISBLANK($C$3),Start!H54,MOVE!H54)</f>
        <v>5.0610505355140925</v>
      </c>
      <c r="I54" s="78">
        <f>IF(ISBLANK($C$3),Start!I54,MOVE!I54)</f>
        <v>5.061034578917849</v>
      </c>
      <c r="J54" s="78">
        <f>IF(ISBLANK($C$3),Start!J54,MOVE!J54)</f>
        <v>5.0610209388907146</v>
      </c>
      <c r="K54" s="78">
        <f>IF(ISBLANK($C$3),Start!K54,MOVE!K54)</f>
        <v>5.0610529545405107</v>
      </c>
      <c r="L54" s="78">
        <f>IF(ISBLANK($C$3),Start!L54,MOVE!L54)</f>
        <v>5.0610608803880996</v>
      </c>
      <c r="M54" s="78">
        <f>IF(ISBLANK($C$3),Start!M54,MOVE!M54)</f>
        <v>5.0610505355140925</v>
      </c>
      <c r="N54" s="78">
        <f>IF(ISBLANK($C$3),Start!N54,MOVE!N54)</f>
        <v>5.061034578917849</v>
      </c>
      <c r="O54" s="78">
        <f>IF(ISBLANK($C$3),Start!O54,MOVE!O54)</f>
        <v>5.0610209388907146</v>
      </c>
      <c r="P54" s="78">
        <f>IF(ISBLANK($C$3),Start!P54,MOVE!P54)</f>
        <v>5.0610128775133418</v>
      </c>
      <c r="Q54" s="78">
        <f>IF(ISBLANK($C$3),Start!Q54,MOVE!Q54)</f>
        <v>5.0610113625612341</v>
      </c>
      <c r="R54" s="78">
        <f>IF(ISBLANK($C$3),Start!R54,MOVE!R54)</f>
        <v>5.0610168072964079</v>
      </c>
      <c r="S54" s="78">
        <f>IF(ISBLANK($C$3),Start!S54,MOVE!S54)</f>
        <v>5.0610299867747415</v>
      </c>
      <c r="T54" s="78">
        <f>IF(ISBLANK($C$3),Start!T54,MOVE!T54)</f>
        <v>5.0610524936544303</v>
      </c>
      <c r="U54" s="78">
        <f>IF(ISBLANK($C$3),Start!U54,MOVE!U54)</f>
        <v>5.0610870347203036</v>
      </c>
      <c r="V54" s="78">
        <f>IF(ISBLANK($C$3),Start!V54,MOVE!V54)</f>
        <v>5.0611377458157563</v>
      </c>
      <c r="W54" s="78">
        <f>IF(ISBLANK($C$3),Start!W54,MOVE!W54)</f>
        <v>5.0612106315016527</v>
      </c>
      <c r="X54" s="78">
        <f>IF(ISBLANK($C$3),Start!X54,MOVE!X54)</f>
        <v>5.0613142145150425</v>
      </c>
      <c r="Y54" s="78">
        <f>IF(ISBLANK($C$3),Start!Y54,MOVE!Y54)</f>
        <v>5.0614604926597844</v>
      </c>
      <c r="Z54" s="78">
        <f>IF(ISBLANK($C$3),Start!Z54,MOVE!Z54)</f>
        <v>5.0616663373534312</v>
      </c>
      <c r="AA54" s="78">
        <f>IF(ISBLANK($C$3),Start!AA54,MOVE!AA54)</f>
        <v>5.0619555256206823</v>
      </c>
      <c r="AB54" s="78">
        <f>IF(ISBLANK($C$3),Start!AB54,MOVE!AB54)</f>
        <v>5.0623616766587398</v>
      </c>
      <c r="AC54" s="78">
        <f>IF(ISBLANK($C$3),Start!AC54,MOVE!AC54)</f>
        <v>5.0629324685865393</v>
      </c>
      <c r="AD54" s="78">
        <f>IF(ISBLANK($C$3),Start!AD54,MOVE!AD54)</f>
        <v>5.0637356512979235</v>
      </c>
      <c r="AE54" s="78">
        <f>IF(ISBLANK($C$3),Start!AE54,MOVE!AE54)</f>
        <v>5.0648675899888342</v>
      </c>
      <c r="AF54" s="78">
        <f>IF(ISBLANK($C$3),Start!AF54,MOVE!AF54)</f>
        <v>5.0664655334256379</v>
      </c>
      <c r="AG54" s="78">
        <f>IF(ISBLANK($C$3),Start!AG54,MOVE!AG54)</f>
        <v>5.0687260628472002</v>
      </c>
      <c r="AH54" s="78">
        <f>IF(ISBLANK($C$3),Start!AH54,MOVE!AH54)</f>
        <v>5.0719360246545966</v>
      </c>
      <c r="AI54" s="78">
        <f>IF(ISBLANK($C$3),Start!AI54,MOVE!AI54)</f>
        <v>5.0765339935364642</v>
      </c>
      <c r="AJ54" s="78">
        <f>IF(ISBLANK($C$3),Start!AJ54,MOVE!AJ54)</f>
        <v>5.0832549848155351</v>
      </c>
      <c r="AK54" s="78">
        <f>IF(ISBLANK($C$3),Start!AK54,MOVE!AK54)</f>
        <v>5.0935094155642018</v>
      </c>
      <c r="AL54" s="78">
        <f>IF(ISBLANK($C$3),Start!AL54,MOVE!AL54)</f>
        <v>5.1104143063751604</v>
      </c>
      <c r="AM54" s="78">
        <f>IF(ISBLANK($C$3),Start!AM54,MOVE!AM54)</f>
        <v>5.1415869777549634</v>
      </c>
      <c r="AN54" s="78">
        <f>IF(ISBLANK($C$3),Start!AN54,MOVE!AN54)</f>
        <v>5.2065069649722675</v>
      </c>
      <c r="AO54" s="78">
        <f>IF(ISBLANK($C$3),Start!AO54,MOVE!AO54)</f>
        <v>5.3551031088774428</v>
      </c>
      <c r="AP54" s="78">
        <f>IF(ISBLANK($C$3),Start!AP54,MOVE!AP54)</f>
        <v>5.7121853459848833</v>
      </c>
      <c r="AQ54" s="79">
        <f>IF(ISBLANK($C$3),Start!AQ54,MOVE!AQ54)</f>
        <v>6.5780239198429316</v>
      </c>
      <c r="AR54" s="92">
        <f>IF(ISBLANK($C$3),Start!AR54,MOVE!AR54)</f>
        <v>8.6566334067918334</v>
      </c>
      <c r="AS54" s="86">
        <f>IF(ISBLANK($C$3),Start!AS54,MOVE!AS54)</f>
        <v>9.5042832375892452</v>
      </c>
      <c r="AT54" s="86">
        <f>IF(ISBLANK($C$3),Start!AT54,MOVE!AT54)</f>
        <v>9.8255428217475504</v>
      </c>
      <c r="AU54" s="86">
        <f>IF(ISBLANK($C$3),Start!AU54,MOVE!AU54)</f>
        <v>9.9416094721144503</v>
      </c>
      <c r="AV54" s="86">
        <f>IF(ISBLANK($C$3),Start!AV54,MOVE!AV54)</f>
        <v>9.9817603505003838</v>
      </c>
      <c r="AW54" s="86">
        <f>IF(ISBLANK($C$3),Start!AW54,MOVE!AW54)</f>
        <v>9.9949520355307193</v>
      </c>
      <c r="AX54" s="86">
        <f>IF(ISBLANK($C$3),Start!AX54,MOVE!AX54)</f>
        <v>9.9989792420699288</v>
      </c>
      <c r="AY54" s="87">
        <f>IF(ISBLANK($C$3),Start!AY54,MOVE!AY54)</f>
        <v>10.000071949330795</v>
      </c>
      <c r="AZ54" s="72">
        <f>IF(ISBLANK($C$3),Start!AZ54,MOVE!AZ54)</f>
        <v>10.000311360305666</v>
      </c>
      <c r="BA54" s="165">
        <v>36</v>
      </c>
      <c r="BB54" s="120"/>
      <c r="BC54" s="175">
        <v>35</v>
      </c>
      <c r="BD54" s="176">
        <v>1050</v>
      </c>
      <c r="BE54" s="122" t="s">
        <v>63</v>
      </c>
      <c r="BF54" s="200" t="str">
        <f t="shared" si="1"/>
        <v>Wait</v>
      </c>
      <c r="BG54" s="168" t="str">
        <f>IF($C$5&lt;$BD54,"Wait",IF($C$5=$BD54,MOVE!$M$10,BG54))</f>
        <v>Wait</v>
      </c>
      <c r="BH54" s="157" t="str">
        <f>IF($C$5&lt;$BD54,"Wait",IF($C$5=$BD54,MOVE!$J$6,BH54))</f>
        <v>Wait</v>
      </c>
      <c r="BI54" s="157" t="str">
        <f>IF($C$5&lt;$BD54,"Wait",IF($C$5=$BD54,MOVE!$J$16,BI54))</f>
        <v>Wait</v>
      </c>
      <c r="BJ54" s="158" t="str">
        <f>IF($C$5&lt;$BD54,"Wait",IF($C$5=$BD54,MOVE!$J$14,BJ54))</f>
        <v>Wait</v>
      </c>
      <c r="BK54" s="262" t="str">
        <f>IF($C$5&lt;$BD54,"Wait",IF($C$5=$BD54,MOVE!$J$15,BK54))</f>
        <v>Wait</v>
      </c>
      <c r="BN54" s="207" t="str">
        <f>IF($C$5&lt;$BD54,"Wait",IF($C$5=$BD54,MOVE!$C$6,BN54))</f>
        <v>Wait</v>
      </c>
      <c r="BO54" s="167" t="str">
        <f>IF($C$5&lt;$BD54,"Wait",IF($C$5=$BD54,MOVE!$F$12,BO54))</f>
        <v>Wait</v>
      </c>
      <c r="BP54" s="158" t="str">
        <f>IF($C$5&lt;$BD54,"Wait",IF($C$5=$BD54,MOVE!$X$6,BP54))</f>
        <v>Wait</v>
      </c>
      <c r="BQ54" s="262" t="str">
        <f>IF($C$5&lt;$BD54,"Wait",IF($C$5=$BD54,MOVE!$AA$12,BQ54))</f>
        <v>Wait</v>
      </c>
    </row>
    <row r="55" spans="2:69" x14ac:dyDescent="0.2">
      <c r="B55" s="34">
        <v>37</v>
      </c>
      <c r="C55" s="72">
        <f>IF(ISBLANK($C$3),Start!C55,MOVE!C55)</f>
        <v>1.7348536203703424</v>
      </c>
      <c r="D55" s="77">
        <f>IF(ISBLANK($C$3),Start!D55,MOVE!D55)</f>
        <v>2.5677537979196994</v>
      </c>
      <c r="E55" s="78">
        <f>IF(ISBLANK($C$3),Start!E55,MOVE!E55)</f>
        <v>3.2178462296561028</v>
      </c>
      <c r="F55" s="78">
        <f>IF(ISBLANK($C$3),Start!F55,MOVE!F55)</f>
        <v>3.7372579727107205</v>
      </c>
      <c r="G55" s="78">
        <f>IF(ISBLANK($C$3),Start!G55,MOVE!G55)</f>
        <v>3.7372615759231258</v>
      </c>
      <c r="H55" s="78">
        <f>IF(ISBLANK($C$3),Start!H55,MOVE!H55)</f>
        <v>3.7372581684376533</v>
      </c>
      <c r="I55" s="78">
        <f>IF(ISBLANK($C$3),Start!I55,MOVE!I55)</f>
        <v>3.7372521617543191</v>
      </c>
      <c r="J55" s="78">
        <f>IF(ISBLANK($C$3),Start!J55,MOVE!J55)</f>
        <v>3.7372479713415552</v>
      </c>
      <c r="K55" s="78">
        <f>IF(ISBLANK($C$3),Start!K55,MOVE!K55)</f>
        <v>3.7372579727107205</v>
      </c>
      <c r="L55" s="78">
        <f>IF(ISBLANK($C$3),Start!L55,MOVE!L55)</f>
        <v>3.7372615759231258</v>
      </c>
      <c r="M55" s="78">
        <f>IF(ISBLANK($C$3),Start!M55,MOVE!M55)</f>
        <v>3.7372581684376533</v>
      </c>
      <c r="N55" s="78">
        <f>IF(ISBLANK($C$3),Start!N55,MOVE!N55)</f>
        <v>3.7372521617543191</v>
      </c>
      <c r="O55" s="78">
        <f>IF(ISBLANK($C$3),Start!O55,MOVE!O55)</f>
        <v>3.7372479713415552</v>
      </c>
      <c r="P55" s="78">
        <f>IF(ISBLANK($C$3),Start!P55,MOVE!P55)</f>
        <v>3.737248688962016</v>
      </c>
      <c r="Q55" s="78">
        <f>IF(ISBLANK($C$3),Start!Q55,MOVE!Q55)</f>
        <v>3.7372565333129129</v>
      </c>
      <c r="R55" s="78">
        <f>IF(ISBLANK($C$3),Start!R55,MOVE!R55)</f>
        <v>3.7372736588355413</v>
      </c>
      <c r="S55" s="78">
        <f>IF(ISBLANK($C$3),Start!S55,MOVE!S55)</f>
        <v>3.7373028562687698</v>
      </c>
      <c r="T55" s="78">
        <f>IF(ISBLANK($C$3),Start!T55,MOVE!T55)</f>
        <v>3.7373481294816413</v>
      </c>
      <c r="U55" s="78">
        <f>IF(ISBLANK($C$3),Start!U55,MOVE!U55)</f>
        <v>3.7374152592969865</v>
      </c>
      <c r="V55" s="78">
        <f>IF(ISBLANK($C$3),Start!V55,MOVE!V55)</f>
        <v>3.7375124791640664</v>
      </c>
      <c r="W55" s="78">
        <f>IF(ISBLANK($C$3),Start!W55,MOVE!W55)</f>
        <v>3.7376513888613037</v>
      </c>
      <c r="X55" s="78">
        <f>IF(ISBLANK($C$3),Start!X55,MOVE!X55)</f>
        <v>3.7378482549330823</v>
      </c>
      <c r="Y55" s="78">
        <f>IF(ISBLANK($C$3),Start!Y55,MOVE!Y55)</f>
        <v>3.7381259028432385</v>
      </c>
      <c r="Z55" s="78">
        <f>IF(ISBLANK($C$3),Start!Z55,MOVE!Z55)</f>
        <v>3.7385165079355023</v>
      </c>
      <c r="AA55" s="78">
        <f>IF(ISBLANK($C$3),Start!AA55,MOVE!AA55)</f>
        <v>3.7390657620660037</v>
      </c>
      <c r="AB55" s="78">
        <f>IF(ISBLANK($C$3),Start!AB55,MOVE!AB55)</f>
        <v>3.7398391716270196</v>
      </c>
      <c r="AC55" s="78">
        <f>IF(ISBLANK($C$3),Start!AC55,MOVE!AC55)</f>
        <v>3.7409317096142543</v>
      </c>
      <c r="AD55" s="78">
        <f>IF(ISBLANK($C$3),Start!AD55,MOVE!AD55)</f>
        <v>3.7424828554525589</v>
      </c>
      <c r="AE55" s="78">
        <f>IF(ISBLANK($C$3),Start!AE55,MOVE!AE55)</f>
        <v>3.7447005341281252</v>
      </c>
      <c r="AF55" s="78">
        <f>IF(ISBLANK($C$3),Start!AF55,MOVE!AF55)</f>
        <v>3.7479003058109215</v>
      </c>
      <c r="AG55" s="78">
        <f>IF(ISBLANK($C$3),Start!AG55,MOVE!AG55)</f>
        <v>3.7525719007454947</v>
      </c>
      <c r="AH55" s="78">
        <f>IF(ISBLANK($C$3),Start!AH55,MOVE!AH55)</f>
        <v>3.7594973201165227</v>
      </c>
      <c r="AI55" s="78">
        <f>IF(ISBLANK($C$3),Start!AI55,MOVE!AI55)</f>
        <v>3.7699711073672009</v>
      </c>
      <c r="AJ55" s="78">
        <f>IF(ISBLANK($C$3),Start!AJ55,MOVE!AJ55)</f>
        <v>3.7862317244303845</v>
      </c>
      <c r="AK55" s="78">
        <f>IF(ISBLANK($C$3),Start!AK55,MOVE!AK55)</f>
        <v>3.8123421845963419</v>
      </c>
      <c r="AL55" s="78">
        <f>IF(ISBLANK($C$3),Start!AL55,MOVE!AL55)</f>
        <v>3.8560411381912396</v>
      </c>
      <c r="AM55" s="78">
        <f>IF(ISBLANK($C$3),Start!AM55,MOVE!AM55)</f>
        <v>3.9326911045851936</v>
      </c>
      <c r="AN55" s="78">
        <f>IF(ISBLANK($C$3),Start!AN55,MOVE!AN55)</f>
        <v>4.0737044216968084</v>
      </c>
      <c r="AO55" s="78">
        <f>IF(ISBLANK($C$3),Start!AO55,MOVE!AO55)</f>
        <v>4.3443596618805325</v>
      </c>
      <c r="AP55" s="78">
        <f>IF(ISBLANK($C$3),Start!AP55,MOVE!AP55)</f>
        <v>4.881235153120028</v>
      </c>
      <c r="AQ55" s="79">
        <f>IF(ISBLANK($C$3),Start!AQ55,MOVE!AQ55)</f>
        <v>5.9732158062623917</v>
      </c>
      <c r="AR55" s="92">
        <f>IF(ISBLANK($C$3),Start!AR55,MOVE!AR55)</f>
        <v>8.2602827299200658</v>
      </c>
      <c r="AS55" s="86">
        <f>IF(ISBLANK($C$3),Start!AS55,MOVE!AS55)</f>
        <v>9.2850792661691113</v>
      </c>
      <c r="AT55" s="86">
        <f>IF(ISBLANK($C$3),Start!AT55,MOVE!AT55)</f>
        <v>9.7141922249061139</v>
      </c>
      <c r="AU55" s="86">
        <f>IF(ISBLANK($C$3),Start!AU55,MOVE!AU55)</f>
        <v>9.8877976830734351</v>
      </c>
      <c r="AV55" s="86">
        <f>IF(ISBLANK($C$3),Start!AV55,MOVE!AV55)</f>
        <v>9.95658144066776</v>
      </c>
      <c r="AW55" s="86">
        <f>IF(ISBLANK($C$3),Start!AW55,MOVE!AW55)</f>
        <v>9.9834137231007034</v>
      </c>
      <c r="AX55" s="86">
        <f>IF(ISBLANK($C$3),Start!AX55,MOVE!AX55)</f>
        <v>9.9937248182664771</v>
      </c>
      <c r="AY55" s="87">
        <f>IF(ISBLANK($C$3),Start!AY55,MOVE!AY55)</f>
        <v>9.9975835070293915</v>
      </c>
      <c r="AZ55" s="72">
        <f>IF(ISBLANK($C$3),Start!AZ55,MOVE!AZ55)</f>
        <v>9.9988593404065877</v>
      </c>
      <c r="BA55" s="165">
        <v>37</v>
      </c>
      <c r="BB55" s="120"/>
      <c r="BC55" s="175">
        <v>36</v>
      </c>
      <c r="BD55" s="176">
        <v>1080</v>
      </c>
      <c r="BE55" s="122" t="s">
        <v>52</v>
      </c>
      <c r="BF55" s="200" t="str">
        <f t="shared" si="1"/>
        <v>Wait</v>
      </c>
      <c r="BG55" s="168" t="str">
        <f>IF($C$5&lt;$BD55,"Wait",IF($C$5=$BD55,MOVE!$M$10,BG55))</f>
        <v>Wait</v>
      </c>
      <c r="BH55" s="157" t="str">
        <f>IF($C$5&lt;$BD55,"Wait",IF($C$5=$BD55,MOVE!$J$6,BH55))</f>
        <v>Wait</v>
      </c>
      <c r="BI55" s="157" t="str">
        <f>IF($C$5&lt;$BD55,"Wait",IF($C$5=$BD55,MOVE!$J$16,BI55))</f>
        <v>Wait</v>
      </c>
      <c r="BJ55" s="158" t="str">
        <f>IF($C$5&lt;$BD55,"Wait",IF($C$5=$BD55,MOVE!$J$14,BJ55))</f>
        <v>Wait</v>
      </c>
      <c r="BK55" s="262" t="str">
        <f>IF($C$5&lt;$BD55,"Wait",IF($C$5=$BD55,MOVE!$J$15,BK55))</f>
        <v>Wait</v>
      </c>
      <c r="BN55" s="207" t="str">
        <f>IF($C$5&lt;$BD55,"Wait",IF($C$5=$BD55,MOVE!$C$6,BN55))</f>
        <v>Wait</v>
      </c>
      <c r="BO55" s="167" t="str">
        <f>IF($C$5&lt;$BD55,"Wait",IF($C$5=$BD55,MOVE!$F$12,BO55))</f>
        <v>Wait</v>
      </c>
      <c r="BP55" s="158" t="str">
        <f>IF($C$5&lt;$BD55,"Wait",IF($C$5=$BD55,MOVE!$X$6,BP55))</f>
        <v>Wait</v>
      </c>
      <c r="BQ55" s="262" t="str">
        <f>IF($C$5&lt;$BD55,"Wait",IF($C$5=$BD55,MOVE!$AA$12,BQ55))</f>
        <v>Wait</v>
      </c>
    </row>
    <row r="56" spans="2:69" x14ac:dyDescent="0.2">
      <c r="B56" s="34">
        <v>38</v>
      </c>
      <c r="C56" s="72">
        <f>IF(ISBLANK($C$3),Start!C56,MOVE!C56)</f>
        <v>1.5296847981408814</v>
      </c>
      <c r="D56" s="77">
        <f>IF(ISBLANK($C$3),Start!D56,MOVE!D56)</f>
        <v>2.0691924753083621</v>
      </c>
      <c r="E56" s="78">
        <f>IF(ISBLANK($C$3),Start!E56,MOVE!E56)</f>
        <v>2.5281554400711079</v>
      </c>
      <c r="F56" s="78">
        <f>IF(ISBLANK($C$3),Start!F56,MOVE!F56)</f>
        <v>2.9253725495413274</v>
      </c>
      <c r="G56" s="78">
        <f>IF(ISBLANK($C$3),Start!G56,MOVE!G56)</f>
        <v>2.9253720010356581</v>
      </c>
      <c r="H56" s="78">
        <f>IF(ISBLANK($C$3),Start!H56,MOVE!H56)</f>
        <v>2.9253708623367243</v>
      </c>
      <c r="I56" s="78">
        <f>IF(ISBLANK($C$3),Start!I56,MOVE!I56)</f>
        <v>2.9253706522038705</v>
      </c>
      <c r="J56" s="78">
        <f>IF(ISBLANK($C$3),Start!J56,MOVE!J56)</f>
        <v>2.925374072987136</v>
      </c>
      <c r="K56" s="78">
        <f>IF(ISBLANK($C$3),Start!K56,MOVE!K56)</f>
        <v>2.9253725495413274</v>
      </c>
      <c r="L56" s="78">
        <f>IF(ISBLANK($C$3),Start!L56,MOVE!L56)</f>
        <v>2.9253720010356581</v>
      </c>
      <c r="M56" s="78">
        <f>IF(ISBLANK($C$3),Start!M56,MOVE!M56)</f>
        <v>2.9253708623367243</v>
      </c>
      <c r="N56" s="78">
        <f>IF(ISBLANK($C$3),Start!N56,MOVE!N56)</f>
        <v>2.9253706522038705</v>
      </c>
      <c r="O56" s="78">
        <f>IF(ISBLANK($C$3),Start!O56,MOVE!O56)</f>
        <v>2.925374072987136</v>
      </c>
      <c r="P56" s="78">
        <f>IF(ISBLANK($C$3),Start!P56,MOVE!P56)</f>
        <v>2.9253840904352617</v>
      </c>
      <c r="Q56" s="78">
        <f>IF(ISBLANK($C$3),Start!Q56,MOVE!Q56)</f>
        <v>2.925403924345896</v>
      </c>
      <c r="R56" s="78">
        <f>IF(ISBLANK($C$3),Start!R56,MOVE!R56)</f>
        <v>2.9254374857423264</v>
      </c>
      <c r="S56" s="78">
        <f>IF(ISBLANK($C$3),Start!S56,MOVE!S56)</f>
        <v>2.925489984558685</v>
      </c>
      <c r="T56" s="78">
        <f>IF(ISBLANK($C$3),Start!T56,MOVE!T56)</f>
        <v>2.9255686389942555</v>
      </c>
      <c r="U56" s="78">
        <f>IF(ISBLANK($C$3),Start!U56,MOVE!U56)</f>
        <v>2.9256835343066183</v>
      </c>
      <c r="V56" s="78">
        <f>IF(ISBLANK($C$3),Start!V56,MOVE!V56)</f>
        <v>2.9258487388640022</v>
      </c>
      <c r="W56" s="78">
        <f>IF(ISBLANK($C$3),Start!W56,MOVE!W56)</f>
        <v>2.9260838333726547</v>
      </c>
      <c r="X56" s="78">
        <f>IF(ISBLANK($C$3),Start!X56,MOVE!X56)</f>
        <v>2.9264160760951032</v>
      </c>
      <c r="Y56" s="78">
        <f>IF(ISBLANK($C$3),Start!Y56,MOVE!Y56)</f>
        <v>2.9268835365122445</v>
      </c>
      <c r="Z56" s="78">
        <f>IF(ISBLANK($C$3),Start!Z56,MOVE!Z56)</f>
        <v>2.9275397106497811</v>
      </c>
      <c r="AA56" s="78">
        <f>IF(ISBLANK($C$3),Start!AA56,MOVE!AA56)</f>
        <v>2.9284604280424587</v>
      </c>
      <c r="AB56" s="78">
        <f>IF(ISBLANK($C$3),Start!AB56,MOVE!AB56)</f>
        <v>2.9297543512753776</v>
      </c>
      <c r="AC56" s="78">
        <f>IF(ISBLANK($C$3),Start!AC56,MOVE!AC56)</f>
        <v>2.9315791960605262</v>
      </c>
      <c r="AD56" s="78">
        <f>IF(ISBLANK($C$3),Start!AD56,MOVE!AD56)</f>
        <v>2.9341672275070754</v>
      </c>
      <c r="AE56" s="78">
        <f>IF(ISBLANK($C$3),Start!AE56,MOVE!AE56)</f>
        <v>2.9378661231933445</v>
      </c>
      <c r="AF56" s="78">
        <f>IF(ISBLANK($C$3),Start!AF56,MOVE!AF56)</f>
        <v>2.943205926557575</v>
      </c>
      <c r="AG56" s="78">
        <f>IF(ISBLANK($C$3),Start!AG56,MOVE!AG56)</f>
        <v>2.951011512175814</v>
      </c>
      <c r="AH56" s="78">
        <f>IF(ISBLANK($C$3),Start!AH56,MOVE!AH56)</f>
        <v>2.9625966835184281</v>
      </c>
      <c r="AI56" s="78">
        <f>IF(ISBLANK($C$3),Start!AI56,MOVE!AI56)</f>
        <v>2.9801085928659177</v>
      </c>
      <c r="AJ56" s="78">
        <f>IF(ISBLANK($C$3),Start!AJ56,MOVE!AJ56)</f>
        <v>3.0071552040053366</v>
      </c>
      <c r="AK56" s="78">
        <f>IF(ISBLANK($C$3),Start!AK56,MOVE!AK56)</f>
        <v>3.049974418222821</v>
      </c>
      <c r="AL56" s="78">
        <f>IF(ISBLANK($C$3),Start!AL56,MOVE!AL56)</f>
        <v>3.1196495740883616</v>
      </c>
      <c r="AM56" s="78">
        <f>IF(ISBLANK($C$3),Start!AM56,MOVE!AM56)</f>
        <v>3.2363543696578558</v>
      </c>
      <c r="AN56" s="78">
        <f>IF(ISBLANK($C$3),Start!AN56,MOVE!AN56)</f>
        <v>3.4375509770772266</v>
      </c>
      <c r="AO56" s="78">
        <f>IF(ISBLANK($C$3),Start!AO56,MOVE!AO56)</f>
        <v>3.7940384304971388</v>
      </c>
      <c r="AP56" s="78">
        <f>IF(ISBLANK($C$3),Start!AP56,MOVE!AP56)</f>
        <v>4.4425885985042033</v>
      </c>
      <c r="AQ56" s="79">
        <f>IF(ISBLANK($C$3),Start!AQ56,MOVE!AQ56)</f>
        <v>5.6587330828425229</v>
      </c>
      <c r="AR56" s="92">
        <f>IF(ISBLANK($C$3),Start!AR56,MOVE!AR56)</f>
        <v>8.0484854178060967</v>
      </c>
      <c r="AS56" s="86">
        <f>IF(ISBLANK($C$3),Start!AS56,MOVE!AS56)</f>
        <v>9.1637470103208418</v>
      </c>
      <c r="AT56" s="86">
        <f>IF(ISBLANK($C$3),Start!AT56,MOVE!AT56)</f>
        <v>9.650145535836689</v>
      </c>
      <c r="AU56" s="86">
        <f>IF(ISBLANK($C$3),Start!AU56,MOVE!AU56)</f>
        <v>9.8556142242455369</v>
      </c>
      <c r="AV56" s="86">
        <f>IF(ISBLANK($C$3),Start!AV56,MOVE!AV56)</f>
        <v>9.9409390875272692</v>
      </c>
      <c r="AW56" s="86">
        <f>IF(ISBLANK($C$3),Start!AW56,MOVE!AW56)</f>
        <v>9.9759815628970685</v>
      </c>
      <c r="AX56" s="86">
        <f>IF(ISBLANK($C$3),Start!AX56,MOVE!AX56)</f>
        <v>9.9902215195741206</v>
      </c>
      <c r="AY56" s="87">
        <f>IF(ISBLANK($C$3),Start!AY56,MOVE!AY56)</f>
        <v>9.9958671968444879</v>
      </c>
      <c r="AZ56" s="72">
        <f>IF(ISBLANK($C$3),Start!AZ56,MOVE!AZ56)</f>
        <v>9.9978285767753992</v>
      </c>
      <c r="BA56" s="165">
        <v>38</v>
      </c>
      <c r="BB56" s="120"/>
      <c r="BC56" s="175">
        <v>37</v>
      </c>
      <c r="BD56" s="176">
        <v>1110</v>
      </c>
      <c r="BE56" s="122" t="s">
        <v>53</v>
      </c>
      <c r="BF56" s="201" t="str">
        <f t="shared" si="1"/>
        <v>Wait</v>
      </c>
      <c r="BG56" s="187" t="str">
        <f>IF($C$5&lt;$BD56,"Wait",IF($C$5=$BD56,MOVE!$M$10,BG56))</f>
        <v>Wait</v>
      </c>
      <c r="BH56" s="194" t="str">
        <f>IF($C$5&lt;$BD56,"Wait",IF($C$5=$BD56,MOVE!$J$6,BH56))</f>
        <v>Wait</v>
      </c>
      <c r="BI56" s="194" t="str">
        <f>IF($C$5&lt;$BD56,"Wait",IF($C$5=$BD56,MOVE!$J$16,BI56))</f>
        <v>Wait</v>
      </c>
      <c r="BJ56" s="158" t="str">
        <f>IF($C$5&lt;$BD56,"Wait",IF($C$5=$BD56,MOVE!$J$14,BJ56))</f>
        <v>Wait</v>
      </c>
      <c r="BK56" s="262" t="str">
        <f>IF($C$5&lt;$BD56,"Wait",IF($C$5=$BD56,MOVE!$J$15,BK56))</f>
        <v>Wait</v>
      </c>
      <c r="BL56" s="112" t="s">
        <v>73</v>
      </c>
      <c r="BM56" s="112"/>
      <c r="BN56" s="207" t="str">
        <f>IF($C$5&lt;$BD56,"Wait",IF($C$5=$BD56,MOVE!$C$6,BN56))</f>
        <v>Wait</v>
      </c>
      <c r="BO56" s="167" t="str">
        <f>IF($C$5&lt;$BD56,"Wait",IF($C$5=$BD56,MOVE!$F$12,BO56))</f>
        <v>Wait</v>
      </c>
      <c r="BP56" s="158" t="str">
        <f>IF($C$5&lt;$BD56,"Wait",IF($C$5=$BD56,MOVE!$X$6,BP56))</f>
        <v>Wait</v>
      </c>
      <c r="BQ56" s="262" t="str">
        <f>IF($C$5&lt;$BD56,"Wait",IF($C$5=$BD56,MOVE!$AA$12,BQ56))</f>
        <v>Wait</v>
      </c>
    </row>
    <row r="57" spans="2:69" x14ac:dyDescent="0.2">
      <c r="B57" s="34">
        <v>39</v>
      </c>
      <c r="C57" s="72">
        <f>IF(ISBLANK($C$3),Start!C57,MOVE!C57)</f>
        <v>1.3928133812987475</v>
      </c>
      <c r="D57" s="77">
        <f>IF(ISBLANK($C$3),Start!D57,MOVE!D57)</f>
        <v>1.7620618389557325</v>
      </c>
      <c r="E57" s="78">
        <f>IF(ISBLANK($C$3),Start!E57,MOVE!E57)</f>
        <v>2.0937787968039849</v>
      </c>
      <c r="F57" s="78">
        <f>IF(ISBLANK($C$3),Start!F57,MOVE!F57)</f>
        <v>2.3956223602945825</v>
      </c>
      <c r="G57" s="78">
        <f>IF(ISBLANK($C$3),Start!G57,MOVE!G57)</f>
        <v>2.3956179305200904</v>
      </c>
      <c r="H57" s="78">
        <f>IF(ISBLANK($C$3),Start!H57,MOVE!H57)</f>
        <v>2.3956175459495572</v>
      </c>
      <c r="I57" s="78">
        <f>IF(ISBLANK($C$3),Start!I57,MOVE!I57)</f>
        <v>2.3956217278224177</v>
      </c>
      <c r="J57" s="78">
        <f>IF(ISBLANK($C$3),Start!J57,MOVE!J57)</f>
        <v>2.3956325746402158</v>
      </c>
      <c r="K57" s="78">
        <f>IF(ISBLANK($C$3),Start!K57,MOVE!K57)</f>
        <v>2.3956223602945825</v>
      </c>
      <c r="L57" s="78">
        <f>IF(ISBLANK($C$3),Start!L57,MOVE!L57)</f>
        <v>2.3956179305200904</v>
      </c>
      <c r="M57" s="78">
        <f>IF(ISBLANK($C$3),Start!M57,MOVE!M57)</f>
        <v>2.3956175459495572</v>
      </c>
      <c r="N57" s="78">
        <f>IF(ISBLANK($C$3),Start!N57,MOVE!N57)</f>
        <v>2.3956217278224177</v>
      </c>
      <c r="O57" s="78">
        <f>IF(ISBLANK($C$3),Start!O57,MOVE!O57)</f>
        <v>2.3956325746402158</v>
      </c>
      <c r="P57" s="78">
        <f>IF(ISBLANK($C$3),Start!P57,MOVE!P57)</f>
        <v>2.3956533278202934</v>
      </c>
      <c r="Q57" s="78">
        <f>IF(ISBLANK($C$3),Start!Q57,MOVE!Q57)</f>
        <v>2.395688393093431</v>
      </c>
      <c r="R57" s="78">
        <f>IF(ISBLANK($C$3),Start!R57,MOVE!R57)</f>
        <v>2.3957437343146801</v>
      </c>
      <c r="S57" s="78">
        <f>IF(ISBLANK($C$3),Start!S57,MOVE!S57)</f>
        <v>2.3958275407251861</v>
      </c>
      <c r="T57" s="78">
        <f>IF(ISBLANK($C$3),Start!T57,MOVE!T57)</f>
        <v>2.3959511435138436</v>
      </c>
      <c r="U57" s="78">
        <f>IF(ISBLANK($C$3),Start!U57,MOVE!U57)</f>
        <v>2.3961302361035814</v>
      </c>
      <c r="V57" s="78">
        <f>IF(ISBLANK($C$3),Start!V57,MOVE!V57)</f>
        <v>2.3963865224718215</v>
      </c>
      <c r="W57" s="78">
        <f>IF(ISBLANK($C$3),Start!W57,MOVE!W57)</f>
        <v>2.3967499943972776</v>
      </c>
      <c r="X57" s="78">
        <f>IF(ISBLANK($C$3),Start!X57,MOVE!X57)</f>
        <v>2.3972621446391909</v>
      </c>
      <c r="Y57" s="78">
        <f>IF(ISBLANK($C$3),Start!Y57,MOVE!Y57)</f>
        <v>2.3979805867269546</v>
      </c>
      <c r="Z57" s="78">
        <f>IF(ISBLANK($C$3),Start!Z57,MOVE!Z57)</f>
        <v>2.3989858126234491</v>
      </c>
      <c r="AA57" s="78">
        <f>IF(ISBLANK($C$3),Start!AA57,MOVE!AA57)</f>
        <v>2.4003912393563245</v>
      </c>
      <c r="AB57" s="78">
        <f>IF(ISBLANK($C$3),Start!AB57,MOVE!AB57)</f>
        <v>2.4023583797697379</v>
      </c>
      <c r="AC57" s="78">
        <f>IF(ISBLANK($C$3),Start!AC57,MOVE!AC57)</f>
        <v>2.4051201034007579</v>
      </c>
      <c r="AD57" s="78">
        <f>IF(ISBLANK($C$3),Start!AD57,MOVE!AD57)</f>
        <v>2.4090168555027325</v>
      </c>
      <c r="AE57" s="78">
        <f>IF(ISBLANK($C$3),Start!AE57,MOVE!AE57)</f>
        <v>2.4145539613027243</v>
      </c>
      <c r="AF57" s="78">
        <f>IF(ISBLANK($C$3),Start!AF57,MOVE!AF57)</f>
        <v>2.4224938297744263</v>
      </c>
      <c r="AG57" s="78">
        <f>IF(ISBLANK($C$3),Start!AG57,MOVE!AG57)</f>
        <v>2.4340069592009503</v>
      </c>
      <c r="AH57" s="78">
        <f>IF(ISBLANK($C$3),Start!AH57,MOVE!AH57)</f>
        <v>2.4509237785228315</v>
      </c>
      <c r="AI57" s="78">
        <f>IF(ISBLANK($C$3),Start!AI57,MOVE!AI57)</f>
        <v>2.4761622545086257</v>
      </c>
      <c r="AJ57" s="78">
        <f>IF(ISBLANK($C$3),Start!AJ57,MOVE!AJ57)</f>
        <v>2.5144662377848066</v>
      </c>
      <c r="AK57" s="78">
        <f>IF(ISBLANK($C$3),Start!AK57,MOVE!AK57)</f>
        <v>2.5736996879912821</v>
      </c>
      <c r="AL57" s="78">
        <f>IF(ISBLANK($C$3),Start!AL57,MOVE!AL57)</f>
        <v>2.6671462918057425</v>
      </c>
      <c r="AM57" s="78">
        <f>IF(ISBLANK($C$3),Start!AM57,MOVE!AM57)</f>
        <v>2.8176547148648865</v>
      </c>
      <c r="AN57" s="78">
        <f>IF(ISBLANK($C$3),Start!AN57,MOVE!AN57)</f>
        <v>3.0652703538609298</v>
      </c>
      <c r="AO57" s="78">
        <f>IF(ISBLANK($C$3),Start!AO57,MOVE!AO57)</f>
        <v>3.4818483668758429</v>
      </c>
      <c r="AP57" s="78">
        <f>IF(ISBLANK($C$3),Start!AP57,MOVE!AP57)</f>
        <v>4.2011650739907775</v>
      </c>
      <c r="AQ57" s="79">
        <f>IF(ISBLANK($C$3),Start!AQ57,MOVE!AQ57)</f>
        <v>5.4888488801566995</v>
      </c>
      <c r="AR57" s="92">
        <f>IF(ISBLANK($C$3),Start!AR57,MOVE!AR57)</f>
        <v>7.9332276924635101</v>
      </c>
      <c r="AS57" s="86">
        <f>IF(ISBLANK($C$3),Start!AS57,MOVE!AS57)</f>
        <v>9.096569215650641</v>
      </c>
      <c r="AT57" s="86">
        <f>IF(ISBLANK($C$3),Start!AT57,MOVE!AT57)</f>
        <v>9.6138358466130018</v>
      </c>
      <c r="AU57" s="86">
        <f>IF(ISBLANK($C$3),Start!AU57,MOVE!AU57)</f>
        <v>9.8368587489599957</v>
      </c>
      <c r="AV57" s="86">
        <f>IF(ISBLANK($C$3),Start!AV57,MOVE!AV57)</f>
        <v>9.9315504129554775</v>
      </c>
      <c r="AW57" s="86">
        <f>IF(ISBLANK($C$3),Start!AW57,MOVE!AW57)</f>
        <v>9.9713842239272541</v>
      </c>
      <c r="AX57" s="86">
        <f>IF(ISBLANK($C$3),Start!AX57,MOVE!AX57)</f>
        <v>9.987987351979088</v>
      </c>
      <c r="AY57" s="87">
        <f>IF(ISBLANK($C$3),Start!AY57,MOVE!AY57)</f>
        <v>9.9947377386040976</v>
      </c>
      <c r="AZ57" s="72">
        <f>IF(ISBLANK($C$3),Start!AZ57,MOVE!AZ57)</f>
        <v>9.9971315801205538</v>
      </c>
      <c r="BA57" s="165">
        <v>39</v>
      </c>
      <c r="BB57" s="120"/>
      <c r="BC57" s="175">
        <v>38</v>
      </c>
      <c r="BD57" s="176">
        <v>1140</v>
      </c>
      <c r="BE57" s="122" t="s">
        <v>54</v>
      </c>
      <c r="BF57" s="203" t="str">
        <f t="shared" si="1"/>
        <v>Wait</v>
      </c>
      <c r="BG57" s="188" t="str">
        <f>IF($C$5&lt;$BD57,"Wait",IF($C$5=$BD57,MOVE!$M$10,BG57))</f>
        <v>Wait</v>
      </c>
      <c r="BH57" s="195" t="str">
        <f>IF($C$5&lt;$BD57,"Wait",IF($C$5=$BD57,MOVE!$J$6,BH57))</f>
        <v>Wait</v>
      </c>
      <c r="BI57" s="195" t="str">
        <f>IF($C$5&lt;$BD57,"Wait",IF($C$5=$BD57,MOVE!$J$16,BI57))</f>
        <v>Wait</v>
      </c>
      <c r="BJ57" s="158" t="str">
        <f>IF($C$5&lt;$BD57,"Wait",IF($C$5=$BD57,MOVE!$J$14,BJ57))</f>
        <v>Wait</v>
      </c>
      <c r="BK57" s="262" t="str">
        <f>IF($C$5&lt;$BD57,"Wait",IF($C$5=$BD57,MOVE!$J$15,BK57))</f>
        <v>Wait</v>
      </c>
      <c r="BN57" s="207" t="str">
        <f>IF($C$5&lt;$BD57,"Wait",IF($C$5=$BD57,MOVE!$C$6,BN57))</f>
        <v>Wait</v>
      </c>
      <c r="BO57" s="167" t="str">
        <f>IF($C$5&lt;$BD57,"Wait",IF($C$5=$BD57,MOVE!$F$12,BO57))</f>
        <v>Wait</v>
      </c>
      <c r="BP57" s="158" t="str">
        <f>IF($C$5&lt;$BD57,"Wait",IF($C$5=$BD57,MOVE!$X$6,BP57))</f>
        <v>Wait</v>
      </c>
      <c r="BQ57" s="262" t="str">
        <f>IF($C$5&lt;$BD57,"Wait",IF($C$5=$BD57,MOVE!$AA$12,BQ57))</f>
        <v>Wait</v>
      </c>
    </row>
    <row r="58" spans="2:69" x14ac:dyDescent="0.2">
      <c r="B58" s="34">
        <v>40</v>
      </c>
      <c r="C58" s="72">
        <f>IF(ISBLANK($C$3),Start!C58,MOVE!C58)</f>
        <v>1.2971969768767451</v>
      </c>
      <c r="D58" s="77">
        <f>IF(ISBLANK($C$3),Start!D58,MOVE!D58)</f>
        <v>1.5599575263934229</v>
      </c>
      <c r="E58" s="78">
        <f>IF(ISBLANK($C$3),Start!E58,MOVE!E58)</f>
        <v>1.8043018759865577</v>
      </c>
      <c r="F58" s="78">
        <f>IF(ISBLANK($C$3),Start!F58,MOVE!F58)</f>
        <v>2.0337054042456906</v>
      </c>
      <c r="G58" s="78">
        <f>IF(ISBLANK($C$3),Start!G58,MOVE!G58)</f>
        <v>2.0336970095626059</v>
      </c>
      <c r="H58" s="78">
        <f>IF(ISBLANK($C$3),Start!H58,MOVE!H58)</f>
        <v>2.0336968788214511</v>
      </c>
      <c r="I58" s="78">
        <f>IF(ISBLANK($C$3),Start!I58,MOVE!I58)</f>
        <v>2.033705190785799</v>
      </c>
      <c r="J58" s="78">
        <f>IF(ISBLANK($C$3),Start!J58,MOVE!J58)</f>
        <v>2.0337240498961853</v>
      </c>
      <c r="K58" s="78">
        <f>IF(ISBLANK($C$3),Start!K58,MOVE!K58)</f>
        <v>2.0337054042456906</v>
      </c>
      <c r="L58" s="78">
        <f>IF(ISBLANK($C$3),Start!L58,MOVE!L58)</f>
        <v>2.0336970095626059</v>
      </c>
      <c r="M58" s="78">
        <f>IF(ISBLANK($C$3),Start!M58,MOVE!M58)</f>
        <v>2.0336968788214511</v>
      </c>
      <c r="N58" s="78">
        <f>IF(ISBLANK($C$3),Start!N58,MOVE!N58)</f>
        <v>2.033705190785799</v>
      </c>
      <c r="O58" s="78">
        <f>IF(ISBLANK($C$3),Start!O58,MOVE!O58)</f>
        <v>2.0337240498961853</v>
      </c>
      <c r="P58" s="78">
        <f>IF(ISBLANK($C$3),Start!P58,MOVE!P58)</f>
        <v>2.0337573750464655</v>
      </c>
      <c r="Q58" s="78">
        <f>IF(ISBLANK($C$3),Start!Q58,MOVE!Q58)</f>
        <v>2.0338110821725812</v>
      </c>
      <c r="R58" s="78">
        <f>IF(ISBLANK($C$3),Start!R58,MOVE!R58)</f>
        <v>2.0338935960154427</v>
      </c>
      <c r="S58" s="78">
        <f>IF(ISBLANK($C$3),Start!S58,MOVE!S58)</f>
        <v>2.0340166928553591</v>
      </c>
      <c r="T58" s="78">
        <f>IF(ISBLANK($C$3),Start!T58,MOVE!T58)</f>
        <v>2.0341967051547289</v>
      </c>
      <c r="U58" s="78">
        <f>IF(ISBLANK($C$3),Start!U58,MOVE!U58)</f>
        <v>2.0344561753196908</v>
      </c>
      <c r="V58" s="78">
        <f>IF(ISBLANK($C$3),Start!V58,MOVE!V58)</f>
        <v>2.0348261180710123</v>
      </c>
      <c r="W58" s="78">
        <f>IF(ISBLANK($C$3),Start!W58,MOVE!W58)</f>
        <v>2.0353491467549798</v>
      </c>
      <c r="X58" s="78">
        <f>IF(ISBLANK($C$3),Start!X58,MOVE!X58)</f>
        <v>2.0360838575936602</v>
      </c>
      <c r="Y58" s="78">
        <f>IF(ISBLANK($C$3),Start!Y58,MOVE!Y58)</f>
        <v>2.0371110774536936</v>
      </c>
      <c r="Z58" s="78">
        <f>IF(ISBLANK($C$3),Start!Z58,MOVE!Z58)</f>
        <v>2.0385429111114495</v>
      </c>
      <c r="AA58" s="78">
        <f>IF(ISBLANK($C$3),Start!AA58,MOVE!AA58)</f>
        <v>2.0405360459229365</v>
      </c>
      <c r="AB58" s="78">
        <f>IF(ISBLANK($C$3),Start!AB58,MOVE!AB58)</f>
        <v>2.0433116042485033</v>
      </c>
      <c r="AC58" s="78">
        <f>IF(ISBLANK($C$3),Start!AC58,MOVE!AC58)</f>
        <v>2.0471851760346929</v>
      </c>
      <c r="AD58" s="78">
        <f>IF(ISBLANK($C$3),Start!AD58,MOVE!AD58)</f>
        <v>2.0526128541445967</v>
      </c>
      <c r="AE58" s="78">
        <f>IF(ISBLANK($C$3),Start!AE58,MOVE!AE58)</f>
        <v>2.0602627156912661</v>
      </c>
      <c r="AF58" s="78">
        <f>IF(ISBLANK($C$3),Start!AF58,MOVE!AF58)</f>
        <v>2.0711272539746814</v>
      </c>
      <c r="AG58" s="78">
        <f>IF(ISBLANK($C$3),Start!AG58,MOVE!AG58)</f>
        <v>2.0867025310910337</v>
      </c>
      <c r="AH58" s="78">
        <f>IF(ISBLANK($C$3),Start!AH58,MOVE!AH58)</f>
        <v>2.1092773884719369</v>
      </c>
      <c r="AI58" s="78">
        <f>IF(ISBLANK($C$3),Start!AI58,MOVE!AI58)</f>
        <v>2.1424064214418781</v>
      </c>
      <c r="AJ58" s="78">
        <f>IF(ISBLANK($C$3),Start!AJ58,MOVE!AJ58)</f>
        <v>2.1916935921554925</v>
      </c>
      <c r="AK58" s="78">
        <f>IF(ISBLANK($C$3),Start!AK58,MOVE!AK58)</f>
        <v>2.2661084031952741</v>
      </c>
      <c r="AL58" s="78">
        <f>IF(ISBLANK($C$3),Start!AL58,MOVE!AL58)</f>
        <v>2.3802331133918031</v>
      </c>
      <c r="AM58" s="78">
        <f>IF(ISBLANK($C$3),Start!AM58,MOVE!AM58)</f>
        <v>2.5581900106675923</v>
      </c>
      <c r="AN58" s="78">
        <f>IF(ISBLANK($C$3),Start!AN58,MOVE!AN58)</f>
        <v>2.8407657728435161</v>
      </c>
      <c r="AO58" s="78">
        <f>IF(ISBLANK($C$3),Start!AO58,MOVE!AO58)</f>
        <v>3.2991441479047898</v>
      </c>
      <c r="AP58" s="78">
        <f>IF(ISBLANK($C$3),Start!AP58,MOVE!AP58)</f>
        <v>4.063911538000248</v>
      </c>
      <c r="AQ58" s="79">
        <f>IF(ISBLANK($C$3),Start!AQ58,MOVE!AQ58)</f>
        <v>5.3942685303394553</v>
      </c>
      <c r="AR58" s="92">
        <f>IF(ISBLANK($C$3),Start!AR58,MOVE!AR58)</f>
        <v>7.869338134892164</v>
      </c>
      <c r="AS58" s="86">
        <f>IF(ISBLANK($C$3),Start!AS58,MOVE!AS58)</f>
        <v>9.0591325802687965</v>
      </c>
      <c r="AT58" s="86">
        <f>IF(ISBLANK($C$3),Start!AT58,MOVE!AT58)</f>
        <v>9.5933448750208434</v>
      </c>
      <c r="AU58" s="86">
        <f>IF(ISBLANK($C$3),Start!AU58,MOVE!AU58)</f>
        <v>9.8260821798403484</v>
      </c>
      <c r="AV58" s="86">
        <f>IF(ISBLANK($C$3),Start!AV58,MOVE!AV58)</f>
        <v>9.9260377842969767</v>
      </c>
      <c r="AW58" s="86">
        <f>IF(ISBLANK($C$3),Start!AW58,MOVE!AW58)</f>
        <v>9.9686192653496501</v>
      </c>
      <c r="AX58" s="86">
        <f>IF(ISBLANK($C$3),Start!AX58,MOVE!AX58)</f>
        <v>9.9866083987988148</v>
      </c>
      <c r="AY58" s="87">
        <f>IF(ISBLANK($C$3),Start!AY58,MOVE!AY58)</f>
        <v>9.9940208539638729</v>
      </c>
      <c r="AZ58" s="72">
        <f>IF(ISBLANK($C$3),Start!AZ58,MOVE!AZ58)</f>
        <v>9.9966781731173224</v>
      </c>
      <c r="BA58" s="165">
        <v>40</v>
      </c>
      <c r="BB58" s="178"/>
      <c r="BC58" s="175">
        <v>39</v>
      </c>
      <c r="BD58" s="176">
        <v>1170</v>
      </c>
      <c r="BE58" s="177" t="s">
        <v>55</v>
      </c>
      <c r="BF58" s="203" t="str">
        <f t="shared" si="1"/>
        <v>Wait</v>
      </c>
      <c r="BG58" s="188" t="str">
        <f>IF($C$5&lt;$BD58,"Wait",IF($C$5=$BD58,MOVE!$M$10,BG58))</f>
        <v>Wait</v>
      </c>
      <c r="BH58" s="195" t="str">
        <f>IF($C$5&lt;$BD58,"Wait",IF($C$5=$BD58,MOVE!$J$6,BH58))</f>
        <v>Wait</v>
      </c>
      <c r="BI58" s="195" t="str">
        <f>IF($C$5&lt;$BD58,"Wait",IF($C$5=$BD58,MOVE!$J$16,BI58))</f>
        <v>Wait</v>
      </c>
      <c r="BJ58" s="158" t="str">
        <f>IF($C$5&lt;$BD58,"Wait",IF($C$5=$BD58,MOVE!$J$14,BJ58))</f>
        <v>Wait</v>
      </c>
      <c r="BK58" s="262" t="str">
        <f>IF($C$5&lt;$BD58,"Wait",IF($C$5=$BD58,MOVE!$J$15,BK58))</f>
        <v>Wait</v>
      </c>
      <c r="BN58" s="207" t="str">
        <f>IF($C$5&lt;$BD58,"Wait",IF($C$5=$BD58,MOVE!$C$6,BN58))</f>
        <v>Wait</v>
      </c>
      <c r="BO58" s="167" t="str">
        <f>IF($C$5&lt;$BD58,"Wait",IF($C$5=$BD58,MOVE!$F$12,BO58))</f>
        <v>Wait</v>
      </c>
      <c r="BP58" s="158" t="str">
        <f>IF($C$5&lt;$BD58,"Wait",IF($C$5=$BD58,MOVE!$X$6,BP58))</f>
        <v>Wait</v>
      </c>
      <c r="BQ58" s="262" t="str">
        <f>IF($C$5&lt;$BD58,"Wait",IF($C$5=$BD58,MOVE!$AA$12,BQ58))</f>
        <v>Wait</v>
      </c>
    </row>
    <row r="59" spans="2:69" x14ac:dyDescent="0.2">
      <c r="B59" s="34">
        <v>41</v>
      </c>
      <c r="C59" s="72">
        <f>IF(ISBLANK($C$3),Start!C59,MOVE!C59)</f>
        <v>1.2281927870715421</v>
      </c>
      <c r="D59" s="77">
        <f>IF(ISBLANK($C$3),Start!D59,MOVE!D59)</f>
        <v>1.4204100125959767</v>
      </c>
      <c r="E59" s="78">
        <f>IF(ISBLANK($C$3),Start!E59,MOVE!E59)</f>
        <v>1.6029997640577633</v>
      </c>
      <c r="F59" s="78">
        <f>IF(ISBLANK($C$3),Start!F59,MOVE!F59)</f>
        <v>1.7777564526019944</v>
      </c>
      <c r="G59" s="78">
        <f>IF(ISBLANK($C$3),Start!G59,MOVE!G59)</f>
        <v>1.7777438028624328</v>
      </c>
      <c r="H59" s="78">
        <f>IF(ISBLANK($C$3),Start!H59,MOVE!H59)</f>
        <v>1.7777437588244598</v>
      </c>
      <c r="I59" s="78">
        <f>IF(ISBLANK($C$3),Start!I59,MOVE!I59)</f>
        <v>1.7777563809923851</v>
      </c>
      <c r="J59" s="78">
        <f>IF(ISBLANK($C$3),Start!J59,MOVE!J59)</f>
        <v>1.7777841116176207</v>
      </c>
      <c r="K59" s="78">
        <f>IF(ISBLANK($C$3),Start!K59,MOVE!K59)</f>
        <v>1.7777564526019944</v>
      </c>
      <c r="L59" s="78">
        <f>IF(ISBLANK($C$3),Start!L59,MOVE!L59)</f>
        <v>1.7777438028624328</v>
      </c>
      <c r="M59" s="78">
        <f>IF(ISBLANK($C$3),Start!M59,MOVE!M59)</f>
        <v>1.7777437588244598</v>
      </c>
      <c r="N59" s="78">
        <f>IF(ISBLANK($C$3),Start!N59,MOVE!N59)</f>
        <v>1.7777563809923851</v>
      </c>
      <c r="O59" s="78">
        <f>IF(ISBLANK($C$3),Start!O59,MOVE!O59)</f>
        <v>1.7777841116176207</v>
      </c>
      <c r="P59" s="78">
        <f>IF(ISBLANK($C$3),Start!P59,MOVE!P59)</f>
        <v>1.7778318653134388</v>
      </c>
      <c r="Q59" s="78">
        <f>IF(ISBLANK($C$3),Start!Q59,MOVE!Q59)</f>
        <v>1.7779073939569672</v>
      </c>
      <c r="R59" s="78">
        <f>IF(ISBLANK($C$3),Start!R59,MOVE!R59)</f>
        <v>1.7780219891636257</v>
      </c>
      <c r="S59" s="78">
        <f>IF(ISBLANK($C$3),Start!S59,MOVE!S59)</f>
        <v>1.7781915741359366</v>
      </c>
      <c r="T59" s="78">
        <f>IF(ISBLANK($C$3),Start!T59,MOVE!T59)</f>
        <v>1.7784382592325119</v>
      </c>
      <c r="U59" s="78">
        <f>IF(ISBLANK($C$3),Start!U59,MOVE!U59)</f>
        <v>1.7787924855085262</v>
      </c>
      <c r="V59" s="78">
        <f>IF(ISBLANK($C$3),Start!V59,MOVE!V59)</f>
        <v>1.7792959562910351</v>
      </c>
      <c r="W59" s="78">
        <f>IF(ISBLANK($C$3),Start!W59,MOVE!W59)</f>
        <v>1.7800056671640356</v>
      </c>
      <c r="X59" s="78">
        <f>IF(ISBLANK($C$3),Start!X59,MOVE!X59)</f>
        <v>1.7809995086707251</v>
      </c>
      <c r="Y59" s="78">
        <f>IF(ISBLANK($C$3),Start!Y59,MOVE!Y59)</f>
        <v>1.782384164981389</v>
      </c>
      <c r="Z59" s="78">
        <f>IF(ISBLANK($C$3),Start!Z59,MOVE!Z59)</f>
        <v>1.784306414543732</v>
      </c>
      <c r="AA59" s="78">
        <f>IF(ISBLANK($C$3),Start!AA59,MOVE!AA59)</f>
        <v>1.7869695316668186</v>
      </c>
      <c r="AB59" s="78">
        <f>IF(ISBLANK($C$3),Start!AB59,MOVE!AB59)</f>
        <v>1.7906574124936581</v>
      </c>
      <c r="AC59" s="78">
        <f>IF(ISBLANK($C$3),Start!AC59,MOVE!AC59)</f>
        <v>1.7957705011139149</v>
      </c>
      <c r="AD59" s="78">
        <f>IF(ISBLANK($C$3),Start!AD59,MOVE!AD59)</f>
        <v>1.8028798931217429</v>
      </c>
      <c r="AE59" s="78">
        <f>IF(ISBLANK($C$3),Start!AE59,MOVE!AE59)</f>
        <v>1.8128096774110118</v>
      </c>
      <c r="AF59" s="78">
        <f>IF(ISBLANK($C$3),Start!AF59,MOVE!AF59)</f>
        <v>1.8267635347279121</v>
      </c>
      <c r="AG59" s="78">
        <f>IF(ISBLANK($C$3),Start!AG59,MOVE!AG59)</f>
        <v>1.8465213579711275</v>
      </c>
      <c r="AH59" s="78">
        <f>IF(ISBLANK($C$3),Start!AH59,MOVE!AH59)</f>
        <v>1.8747478168358944</v>
      </c>
      <c r="AI59" s="78">
        <f>IF(ISBLANK($C$3),Start!AI59,MOVE!AI59)</f>
        <v>1.915482052679591</v>
      </c>
      <c r="AJ59" s="78">
        <f>IF(ISBLANK($C$3),Start!AJ59,MOVE!AJ59)</f>
        <v>1.9749249249259895</v>
      </c>
      <c r="AK59" s="78">
        <f>IF(ISBLANK($C$3),Start!AK59,MOVE!AK59)</f>
        <v>2.0627255124539263</v>
      </c>
      <c r="AL59" s="78">
        <f>IF(ISBLANK($C$3),Start!AL59,MOVE!AL59)</f>
        <v>2.194132279599343</v>
      </c>
      <c r="AM59" s="78">
        <f>IF(ISBLANK($C$3),Start!AM59,MOVE!AM59)</f>
        <v>2.3937152283175633</v>
      </c>
      <c r="AN59" s="78">
        <f>IF(ISBLANK($C$3),Start!AN59,MOVE!AN59)</f>
        <v>2.7021448452170396</v>
      </c>
      <c r="AO59" s="78">
        <f>IF(ISBLANK($C$3),Start!AO59,MOVE!AO59)</f>
        <v>3.1894720893720279</v>
      </c>
      <c r="AP59" s="78">
        <f>IF(ISBLANK($C$3),Start!AP59,MOVE!AP59)</f>
        <v>3.9837475037052665</v>
      </c>
      <c r="AQ59" s="79">
        <f>IF(ISBLANK($C$3),Start!AQ59,MOVE!AQ59)</f>
        <v>5.3402336680306206</v>
      </c>
      <c r="AR59" s="92">
        <f>IF(ISBLANK($C$3),Start!AR59,MOVE!AR59)</f>
        <v>7.8332463728472925</v>
      </c>
      <c r="AS59" s="86">
        <f>IF(ISBLANK($C$3),Start!AS59,MOVE!AS59)</f>
        <v>9.0380420392816756</v>
      </c>
      <c r="AT59" s="86">
        <f>IF(ISBLANK($C$3),Start!AT59,MOVE!AT59)</f>
        <v>9.5817519303398893</v>
      </c>
      <c r="AU59" s="86">
        <f>IF(ISBLANK($C$3),Start!AU59,MOVE!AU59)</f>
        <v>9.819923644109819</v>
      </c>
      <c r="AV59" s="86">
        <f>IF(ISBLANK($C$3),Start!AV59,MOVE!AV59)</f>
        <v>9.9228410948248822</v>
      </c>
      <c r="AW59" s="86">
        <f>IF(ISBLANK($C$3),Start!AW59,MOVE!AW59)</f>
        <v>9.966986627429165</v>
      </c>
      <c r="AX59" s="86">
        <f>IF(ISBLANK($C$3),Start!AX59,MOVE!AX59)</f>
        <v>9.9857767576190213</v>
      </c>
      <c r="AY59" s="87">
        <f>IF(ISBLANK($C$3),Start!AY59,MOVE!AY59)</f>
        <v>9.9935779268715272</v>
      </c>
      <c r="AZ59" s="72">
        <f>IF(ISBLANK($C$3),Start!AZ59,MOVE!AZ59)</f>
        <v>9.9963918852024705</v>
      </c>
      <c r="BA59" s="165">
        <v>41</v>
      </c>
      <c r="BB59" s="178"/>
      <c r="BC59" s="175">
        <v>40</v>
      </c>
      <c r="BD59" s="176">
        <v>1200</v>
      </c>
      <c r="BE59" s="177" t="s">
        <v>56</v>
      </c>
      <c r="BF59" s="203" t="str">
        <f t="shared" si="1"/>
        <v>Wait</v>
      </c>
      <c r="BG59" s="188" t="str">
        <f>IF($C$5&lt;$BD59,"Wait",IF($C$5=$BD59,MOVE!$M$10,BG59))</f>
        <v>Wait</v>
      </c>
      <c r="BH59" s="195" t="str">
        <f>IF($C$5&lt;$BD59,"Wait",IF($C$5=$BD59,MOVE!$J$6,BH59))</f>
        <v>Wait</v>
      </c>
      <c r="BI59" s="195" t="str">
        <f>IF($C$5&lt;$BD59,"Wait",IF($C$5=$BD59,MOVE!$J$16,BI59))</f>
        <v>Wait</v>
      </c>
      <c r="BJ59" s="158" t="str">
        <f>IF($C$5&lt;$BD59,"Wait",IF($C$5=$BD59,MOVE!$J$14,BJ59))</f>
        <v>Wait</v>
      </c>
      <c r="BK59" s="262" t="str">
        <f>IF($C$5&lt;$BD59,"Wait",IF($C$5=$BD59,MOVE!$J$15,BK59))</f>
        <v>Wait</v>
      </c>
      <c r="BN59" s="207" t="str">
        <f>IF($C$5&lt;$BD59,"Wait",IF($C$5=$BD59,MOVE!$C$6,BN59))</f>
        <v>Wait</v>
      </c>
      <c r="BO59" s="167" t="str">
        <f>IF($C$5&lt;$BD59,"Wait",IF($C$5=$BD59,MOVE!$F$12,BO59))</f>
        <v>Wait</v>
      </c>
      <c r="BP59" s="158" t="str">
        <f>IF($C$5&lt;$BD59,"Wait",IF($C$5=$BD59,MOVE!$X$6,BP59))</f>
        <v>Wait</v>
      </c>
      <c r="BQ59" s="262" t="str">
        <f>IF($C$5&lt;$BD59,"Wait",IF($C$5=$BD59,MOVE!$AA$12,BQ59))</f>
        <v>Wait</v>
      </c>
    </row>
    <row r="60" spans="2:69" x14ac:dyDescent="0.2">
      <c r="B60" s="34">
        <v>42</v>
      </c>
      <c r="C60" s="72">
        <f>IF(ISBLANK($C$3),Start!C60,MOVE!C60)</f>
        <v>1.1774782728064843</v>
      </c>
      <c r="D60" s="77">
        <f>IF(ISBLANK($C$3),Start!D60,MOVE!D60)</f>
        <v>1.3209435168017627</v>
      </c>
      <c r="E60" s="78">
        <f>IF(ISBLANK($C$3),Start!E60,MOVE!E60)</f>
        <v>1.4587140547354618</v>
      </c>
      <c r="F60" s="78">
        <f>IF(ISBLANK($C$3),Start!F60,MOVE!F60)</f>
        <v>1.5920160279871822</v>
      </c>
      <c r="G60" s="78">
        <f>IF(ISBLANK($C$3),Start!G60,MOVE!G60)</f>
        <v>1.5919987956612176</v>
      </c>
      <c r="H60" s="78">
        <f>IF(ISBLANK($C$3),Start!H60,MOVE!H60)</f>
        <v>1.591998783015155</v>
      </c>
      <c r="I60" s="78">
        <f>IF(ISBLANK($C$3),Start!I60,MOVE!I60)</f>
        <v>1.5920160074943308</v>
      </c>
      <c r="J60" s="78">
        <f>IF(ISBLANK($C$3),Start!J60,MOVE!J60)</f>
        <v>1.5920534306021226</v>
      </c>
      <c r="K60" s="78">
        <f>IF(ISBLANK($C$3),Start!K60,MOVE!K60)</f>
        <v>1.5920160279871822</v>
      </c>
      <c r="L60" s="78">
        <f>IF(ISBLANK($C$3),Start!L60,MOVE!L60)</f>
        <v>1.5919987956612176</v>
      </c>
      <c r="M60" s="78">
        <f>IF(ISBLANK($C$3),Start!M60,MOVE!M60)</f>
        <v>1.591998783015155</v>
      </c>
      <c r="N60" s="78">
        <f>IF(ISBLANK($C$3),Start!N60,MOVE!N60)</f>
        <v>1.5920160074943308</v>
      </c>
      <c r="O60" s="78">
        <f>IF(ISBLANK($C$3),Start!O60,MOVE!O60)</f>
        <v>1.5920534306021226</v>
      </c>
      <c r="P60" s="78">
        <f>IF(ISBLANK($C$3),Start!P60,MOVE!P60)</f>
        <v>1.5921171864464267</v>
      </c>
      <c r="Q60" s="78">
        <f>IF(ISBLANK($C$3),Start!Q60,MOVE!Q60)</f>
        <v>1.5922171239590142</v>
      </c>
      <c r="R60" s="78">
        <f>IF(ISBLANK($C$3),Start!R60,MOVE!R60)</f>
        <v>1.5923677297492289</v>
      </c>
      <c r="S60" s="78">
        <f>IF(ISBLANK($C$3),Start!S60,MOVE!S60)</f>
        <v>1.5925895087259547</v>
      </c>
      <c r="T60" s="78">
        <f>IF(ISBLANK($C$3),Start!T60,MOVE!T60)</f>
        <v>1.5929109277719624</v>
      </c>
      <c r="U60" s="78">
        <f>IF(ISBLANK($C$3),Start!U60,MOVE!U60)</f>
        <v>1.5933710792708515</v>
      </c>
      <c r="V60" s="78">
        <f>IF(ISBLANK($C$3),Start!V60,MOVE!V60)</f>
        <v>1.5940233018897723</v>
      </c>
      <c r="W60" s="78">
        <f>IF(ISBLANK($C$3),Start!W60,MOVE!W60)</f>
        <v>1.594940117064539</v>
      </c>
      <c r="X60" s="78">
        <f>IF(ISBLANK($C$3),Start!X60,MOVE!X60)</f>
        <v>1.5962200211330559</v>
      </c>
      <c r="Y60" s="78">
        <f>IF(ISBLANK($C$3),Start!Y60,MOVE!Y60)</f>
        <v>1.5979969468603261</v>
      </c>
      <c r="Z60" s="78">
        <f>IF(ISBLANK($C$3),Start!Z60,MOVE!Z60)</f>
        <v>1.6004536230617672</v>
      </c>
      <c r="AA60" s="78">
        <f>IF(ISBLANK($C$3),Start!AA60,MOVE!AA60)</f>
        <v>1.6038406920046584</v>
      </c>
      <c r="AB60" s="78">
        <f>IF(ISBLANK($C$3),Start!AB60,MOVE!AB60)</f>
        <v>1.6085044071256982</v>
      </c>
      <c r="AC60" s="78">
        <f>IF(ISBLANK($C$3),Start!AC60,MOVE!AC60)</f>
        <v>1.6149272103791046</v>
      </c>
      <c r="AD60" s="78">
        <f>IF(ISBLANK($C$3),Start!AD60,MOVE!AD60)</f>
        <v>1.6237877696245719</v>
      </c>
      <c r="AE60" s="78">
        <f>IF(ISBLANK($C$3),Start!AE60,MOVE!AE60)</f>
        <v>1.6360506128727108</v>
      </c>
      <c r="AF60" s="78">
        <f>IF(ISBLANK($C$3),Start!AF60,MOVE!AF60)</f>
        <v>1.6531011071515909</v>
      </c>
      <c r="AG60" s="78">
        <f>IF(ISBLANK($C$3),Start!AG60,MOVE!AG60)</f>
        <v>1.6769505195570131</v>
      </c>
      <c r="AH60" s="78">
        <f>IF(ISBLANK($C$3),Start!AH60,MOVE!AH60)</f>
        <v>1.7105506052983912</v>
      </c>
      <c r="AI60" s="78">
        <f>IF(ISBLANK($C$3),Start!AI60,MOVE!AI60)</f>
        <v>1.7582819460211612</v>
      </c>
      <c r="AJ60" s="78">
        <f>IF(ISBLANK($C$3),Start!AJ60,MOVE!AJ60)</f>
        <v>1.8267237729113679</v>
      </c>
      <c r="AK60" s="78">
        <f>IF(ISBLANK($C$3),Start!AK60,MOVE!AK60)</f>
        <v>1.9258937943368675</v>
      </c>
      <c r="AL60" s="78">
        <f>IF(ISBLANK($C$3),Start!AL60,MOVE!AL60)</f>
        <v>2.0713072175504359</v>
      </c>
      <c r="AM60" s="78">
        <f>IF(ISBLANK($C$3),Start!AM60,MOVE!AM60)</f>
        <v>2.2875490466585435</v>
      </c>
      <c r="AN60" s="78">
        <f>IF(ISBLANK($C$3),Start!AN60,MOVE!AN60)</f>
        <v>2.6148537416609421</v>
      </c>
      <c r="AO60" s="78">
        <f>IF(ISBLANK($C$3),Start!AO60,MOVE!AO60)</f>
        <v>3.1221906833686877</v>
      </c>
      <c r="AP60" s="78">
        <f>IF(ISBLANK($C$3),Start!AP60,MOVE!AP60)</f>
        <v>3.9358096876975019</v>
      </c>
      <c r="AQ60" s="79">
        <f>IF(ISBLANK($C$3),Start!AQ60,MOVE!AQ60)</f>
        <v>5.308631771953312</v>
      </c>
      <c r="AR60" s="92">
        <f>IF(ISBLANK($C$3),Start!AR60,MOVE!AR60)</f>
        <v>7.8124575968614351</v>
      </c>
      <c r="AS60" s="86">
        <f>IF(ISBLANK($C$3),Start!AS60,MOVE!AS60)</f>
        <v>9.0259922163235409</v>
      </c>
      <c r="AT60" s="86">
        <f>IF(ISBLANK($C$3),Start!AT60,MOVE!AT60)</f>
        <v>9.5751418557773746</v>
      </c>
      <c r="AU60" s="86">
        <f>IF(ISBLANK($C$3),Start!AU60,MOVE!AU60)</f>
        <v>9.8163996881855109</v>
      </c>
      <c r="AV60" s="86">
        <f>IF(ISBLANK($C$3),Start!AV60,MOVE!AV60)</f>
        <v>9.9209964523430401</v>
      </c>
      <c r="AW60" s="86">
        <f>IF(ISBLANK($C$3),Start!AW60,MOVE!AW60)</f>
        <v>9.9660325267736951</v>
      </c>
      <c r="AX60" s="86">
        <f>IF(ISBLANK($C$3),Start!AX60,MOVE!AX60)</f>
        <v>9.9852825569083219</v>
      </c>
      <c r="AY60" s="87">
        <f>IF(ISBLANK($C$3),Start!AY60,MOVE!AY60)</f>
        <v>9.993309158971968</v>
      </c>
      <c r="AZ60" s="72">
        <f>IF(ISBLANK($C$3),Start!AZ60,MOVE!AZ60)</f>
        <v>9.9962147232495084</v>
      </c>
      <c r="BA60" s="165">
        <v>42</v>
      </c>
      <c r="BB60" s="178"/>
      <c r="BC60" s="175">
        <v>41</v>
      </c>
      <c r="BD60" s="176">
        <v>1230</v>
      </c>
      <c r="BE60" s="177" t="s">
        <v>57</v>
      </c>
      <c r="BF60" s="200" t="str">
        <f t="shared" si="1"/>
        <v>Wait</v>
      </c>
      <c r="BG60" s="189" t="str">
        <f>IF($C$5&lt;$BD60,"Wait",IF($C$5=$BD60,MOVE!$M$10,BG60))</f>
        <v>Wait</v>
      </c>
      <c r="BH60" s="196" t="str">
        <f>IF($C$5&lt;$BD60,"Wait",IF($C$5=$BD60,MOVE!$J$6,BH60))</f>
        <v>Wait</v>
      </c>
      <c r="BI60" s="196" t="str">
        <f>IF($C$5&lt;$BD60,"Wait",IF($C$5=$BD60,MOVE!$J$16,BI60))</f>
        <v>Wait</v>
      </c>
      <c r="BJ60" s="158" t="str">
        <f>IF($C$5&lt;$BD60,"Wait",IF($C$5=$BD60,MOVE!$J$14,BJ60))</f>
        <v>Wait</v>
      </c>
      <c r="BK60" s="262" t="str">
        <f>IF($C$5&lt;$BD60,"Wait",IF($C$5=$BD60,MOVE!$J$15,BK60))</f>
        <v>Wait</v>
      </c>
      <c r="BN60" s="207" t="str">
        <f>IF($C$5&lt;$BD60,"Wait",IF($C$5=$BD60,MOVE!$C$6,BN60))</f>
        <v>Wait</v>
      </c>
      <c r="BO60" s="167" t="str">
        <f>IF($C$5&lt;$BD60,"Wait",IF($C$5=$BD60,MOVE!$F$12,BO60))</f>
        <v>Wait</v>
      </c>
      <c r="BP60" s="158" t="str">
        <f>IF($C$5&lt;$BD60,"Wait",IF($C$5=$BD60,MOVE!$X$6,BP60))</f>
        <v>Wait</v>
      </c>
      <c r="BQ60" s="262" t="str">
        <f>IF($C$5&lt;$BD60,"Wait",IF($C$5=$BD60,MOVE!$AA$12,BQ60))</f>
        <v>Wait</v>
      </c>
    </row>
    <row r="61" spans="2:69" x14ac:dyDescent="0.2">
      <c r="B61" s="34">
        <v>43</v>
      </c>
      <c r="C61" s="72">
        <f>IF(ISBLANK($C$3),Start!C61,MOVE!C61)</f>
        <v>1.140432695625232</v>
      </c>
      <c r="D61" s="77">
        <f>IF(ISBLANK($C$3),Start!D61,MOVE!D61)</f>
        <v>1.2491149428760375</v>
      </c>
      <c r="E61" s="78">
        <f>IF(ISBLANK($C$3),Start!E61,MOVE!E61)</f>
        <v>1.3534042786009537</v>
      </c>
      <c r="F61" s="78">
        <f>IF(ISBLANK($C$3),Start!F61,MOVE!F61)</f>
        <v>1.4547119634744476</v>
      </c>
      <c r="G61" s="78">
        <f>IF(ISBLANK($C$3),Start!G61,MOVE!G61)</f>
        <v>1.4546899008428293</v>
      </c>
      <c r="H61" s="78">
        <f>IF(ISBLANK($C$3),Start!H61,MOVE!H61)</f>
        <v>1.4546899046385449</v>
      </c>
      <c r="I61" s="78">
        <f>IF(ISBLANK($C$3),Start!I61,MOVE!I61)</f>
        <v>1.4547119698118898</v>
      </c>
      <c r="J61" s="78">
        <f>IF(ISBLANK($C$3),Start!J61,MOVE!J61)</f>
        <v>1.4547596672802297</v>
      </c>
      <c r="K61" s="78">
        <f>IF(ISBLANK($C$3),Start!K61,MOVE!K61)</f>
        <v>1.4547119634744476</v>
      </c>
      <c r="L61" s="78">
        <f>IF(ISBLANK($C$3),Start!L61,MOVE!L61)</f>
        <v>1.4546899008428293</v>
      </c>
      <c r="M61" s="78">
        <f>IF(ISBLANK($C$3),Start!M61,MOVE!M61)</f>
        <v>1.4546899046385449</v>
      </c>
      <c r="N61" s="78">
        <f>IF(ISBLANK($C$3),Start!N61,MOVE!N61)</f>
        <v>1.4547119698118898</v>
      </c>
      <c r="O61" s="78">
        <f>IF(ISBLANK($C$3),Start!O61,MOVE!O61)</f>
        <v>1.4547596672802297</v>
      </c>
      <c r="P61" s="78">
        <f>IF(ISBLANK($C$3),Start!P61,MOVE!P61)</f>
        <v>1.4548404822045975</v>
      </c>
      <c r="Q61" s="78">
        <f>IF(ISBLANK($C$3),Start!Q61,MOVE!Q61)</f>
        <v>1.4549665239938747</v>
      </c>
      <c r="R61" s="78">
        <f>IF(ISBLANK($C$3),Start!R61,MOVE!R61)</f>
        <v>1.4551556764522209</v>
      </c>
      <c r="S61" s="78">
        <f>IF(ISBLANK($C$3),Start!S61,MOVE!S61)</f>
        <v>1.4554332807360846</v>
      </c>
      <c r="T61" s="78">
        <f>IF(ISBLANK($C$3),Start!T61,MOVE!T61)</f>
        <v>1.4558344782617518</v>
      </c>
      <c r="U61" s="78">
        <f>IF(ISBLANK($C$3),Start!U61,MOVE!U61)</f>
        <v>1.4564073956484123</v>
      </c>
      <c r="V61" s="78">
        <f>IF(ISBLANK($C$3),Start!V61,MOVE!V61)</f>
        <v>1.4572174386241261</v>
      </c>
      <c r="W61" s="78">
        <f>IF(ISBLANK($C$3),Start!W61,MOVE!W61)</f>
        <v>1.4583530897475543</v>
      </c>
      <c r="X61" s="78">
        <f>IF(ISBLANK($C$3),Start!X61,MOVE!X61)</f>
        <v>1.4599337963233099</v>
      </c>
      <c r="Y61" s="78">
        <f>IF(ISBLANK($C$3),Start!Y61,MOVE!Y61)</f>
        <v>1.4621208213521486</v>
      </c>
      <c r="Z61" s="78">
        <f>IF(ISBLANK($C$3),Start!Z61,MOVE!Z61)</f>
        <v>1.4651323587525549</v>
      </c>
      <c r="AA61" s="78">
        <f>IF(ISBLANK($C$3),Start!AA61,MOVE!AA61)</f>
        <v>1.469264854809156</v>
      </c>
      <c r="AB61" s="78">
        <f>IF(ISBLANK($C$3),Start!AB61,MOVE!AB61)</f>
        <v>1.4749234374522306</v>
      </c>
      <c r="AC61" s="78">
        <f>IF(ISBLANK($C$3),Start!AC61,MOVE!AC61)</f>
        <v>1.4826657978956388</v>
      </c>
      <c r="AD61" s="78">
        <f>IF(ISBLANK($C$3),Start!AD61,MOVE!AD61)</f>
        <v>1.4932660543657044</v>
      </c>
      <c r="AE61" s="78">
        <f>IF(ISBLANK($C$3),Start!AE61,MOVE!AE61)</f>
        <v>1.5078084742980544</v>
      </c>
      <c r="AF61" s="78">
        <f>IF(ISBLANK($C$3),Start!AF61,MOVE!AF61)</f>
        <v>1.5278261402714111</v>
      </c>
      <c r="AG61" s="78">
        <f>IF(ISBLANK($C$3),Start!AG61,MOVE!AG61)</f>
        <v>1.5555079366131472</v>
      </c>
      <c r="AH61" s="78">
        <f>IF(ISBLANK($C$3),Start!AH61,MOVE!AH61)</f>
        <v>1.5940108424283241</v>
      </c>
      <c r="AI61" s="78">
        <f>IF(ISBLANK($C$3),Start!AI61,MOVE!AI61)</f>
        <v>1.6479377732472031</v>
      </c>
      <c r="AJ61" s="78">
        <f>IF(ISBLANK($C$3),Start!AJ61,MOVE!AJ61)</f>
        <v>1.724083025594817</v>
      </c>
      <c r="AK61" s="78">
        <f>IF(ISBLANK($C$3),Start!AK61,MOVE!AK61)</f>
        <v>1.8326271474946907</v>
      </c>
      <c r="AL61" s="78">
        <f>IF(ISBLANK($C$3),Start!AL61,MOVE!AL61)</f>
        <v>1.9891253142716288</v>
      </c>
      <c r="AM61" s="78">
        <f>IF(ISBLANK($C$3),Start!AM61,MOVE!AM61)</f>
        <v>2.2179855301568661</v>
      </c>
      <c r="AN61" s="78">
        <f>IF(ISBLANK($C$3),Start!AN61,MOVE!AN61)</f>
        <v>2.5589493444725391</v>
      </c>
      <c r="AO61" s="78">
        <f>IF(ISBLANK($C$3),Start!AO61,MOVE!AO61)</f>
        <v>3.0801165916146296</v>
      </c>
      <c r="AP61" s="78">
        <f>IF(ISBLANK($C$3),Start!AP61,MOVE!AP61)</f>
        <v>3.9065301985648366</v>
      </c>
      <c r="AQ61" s="79">
        <f>IF(ISBLANK($C$3),Start!AQ61,MOVE!AQ61)</f>
        <v>5.2897437558018572</v>
      </c>
      <c r="AR61" s="92">
        <f>IF(ISBLANK($C$3),Start!AR61,MOVE!AR61)</f>
        <v>7.8002449595604411</v>
      </c>
      <c r="AS61" s="86">
        <f>IF(ISBLANK($C$3),Start!AS61,MOVE!AS61)</f>
        <v>9.0189948562484119</v>
      </c>
      <c r="AT61" s="86">
        <f>IF(ISBLANK($C$3),Start!AT61,MOVE!AT61)</f>
        <v>9.5713285896724525</v>
      </c>
      <c r="AU61" s="86">
        <f>IF(ISBLANK($C$3),Start!AU61,MOVE!AU61)</f>
        <v>9.8143700782808416</v>
      </c>
      <c r="AV61" s="86">
        <f>IF(ISBLANK($C$3),Start!AV61,MOVE!AV61)</f>
        <v>9.9199305884135214</v>
      </c>
      <c r="AW61" s="86">
        <f>IF(ISBLANK($C$3),Start!AW61,MOVE!AW61)</f>
        <v>9.9654767074680599</v>
      </c>
      <c r="AX61" s="86">
        <f>IF(ISBLANK($C$3),Start!AX61,MOVE!AX61)</f>
        <v>9.9849906101965651</v>
      </c>
      <c r="AY61" s="87">
        <f>IF(ISBLANK($C$3),Start!AY61,MOVE!AY61)</f>
        <v>9.993147015216767</v>
      </c>
      <c r="AZ61" s="72">
        <f>IF(ISBLANK($C$3),Start!AZ61,MOVE!AZ61)</f>
        <v>9.9961054817270725</v>
      </c>
      <c r="BA61" s="165">
        <v>43</v>
      </c>
      <c r="BB61" s="178"/>
      <c r="BC61" s="175">
        <v>42</v>
      </c>
      <c r="BD61" s="176">
        <v>1260</v>
      </c>
      <c r="BE61" s="177" t="s">
        <v>58</v>
      </c>
      <c r="BF61" s="203" t="str">
        <f t="shared" si="1"/>
        <v>Wait</v>
      </c>
      <c r="BG61" s="188" t="str">
        <f>IF($C$5&lt;$BD61,"Wait",IF($C$5=$BD61,MOVE!$M$10,BG61))</f>
        <v>Wait</v>
      </c>
      <c r="BH61" s="195" t="str">
        <f>IF($C$5&lt;$BD61,"Wait",IF($C$5=$BD61,MOVE!$J$6,BH61))</f>
        <v>Wait</v>
      </c>
      <c r="BI61" s="195" t="str">
        <f>IF($C$5&lt;$BD61,"Wait",IF($C$5=$BD61,MOVE!$J$16,BI61))</f>
        <v>Wait</v>
      </c>
      <c r="BJ61" s="158" t="str">
        <f>IF($C$5&lt;$BD61,"Wait",IF($C$5=$BD61,MOVE!$J$14,BJ61))</f>
        <v>Wait</v>
      </c>
      <c r="BK61" s="262" t="str">
        <f>IF($C$5&lt;$BD61,"Wait",IF($C$5=$BD61,MOVE!$J$15,BK61))</f>
        <v>Wait</v>
      </c>
      <c r="BN61" s="207" t="str">
        <f>IF($C$5&lt;$BD61,"Wait",IF($C$5=$BD61,MOVE!$C$6,BN61))</f>
        <v>Wait</v>
      </c>
      <c r="BO61" s="167" t="str">
        <f>IF($C$5&lt;$BD61,"Wait",IF($C$5=$BD61,MOVE!$F$12,BO61))</f>
        <v>Wait</v>
      </c>
      <c r="BP61" s="158" t="str">
        <f>IF($C$5&lt;$BD61,"Wait",IF($C$5=$BD61,MOVE!$X$6,BP61))</f>
        <v>Wait</v>
      </c>
      <c r="BQ61" s="262" t="str">
        <f>IF($C$5&lt;$BD61,"Wait",IF($C$5=$BD61,MOVE!$AA$12,BQ61))</f>
        <v>Wait</v>
      </c>
    </row>
    <row r="62" spans="2:69" x14ac:dyDescent="0.2">
      <c r="B62" s="34">
        <v>44</v>
      </c>
      <c r="C62" s="72">
        <f>IF(ISBLANK($C$3),Start!C62,MOVE!C62)</f>
        <v>1.1153373930144694</v>
      </c>
      <c r="D62" s="77">
        <f>IF(ISBLANK($C$3),Start!D62,MOVE!D62)</f>
        <v>1.1981564770546447</v>
      </c>
      <c r="E62" s="78">
        <f>IF(ISBLANK($C$3),Start!E62,MOVE!E62)</f>
        <v>1.2762540837460088</v>
      </c>
      <c r="F62" s="78">
        <f>IF(ISBLANK($C$3),Start!F62,MOVE!F62)</f>
        <v>1.352031978936135</v>
      </c>
      <c r="G62" s="78">
        <f>IF(ISBLANK($C$3),Start!G62,MOVE!G62)</f>
        <v>1.3520049875684381</v>
      </c>
      <c r="H62" s="78">
        <f>IF(ISBLANK($C$3),Start!H62,MOVE!H62)</f>
        <v>1.3520050151216905</v>
      </c>
      <c r="I62" s="78">
        <f>IF(ISBLANK($C$3),Start!I62,MOVE!I62)</f>
        <v>1.3520320246842243</v>
      </c>
      <c r="J62" s="78">
        <f>IF(ISBLANK($C$3),Start!J62,MOVE!J62)</f>
        <v>1.3520902170980362</v>
      </c>
      <c r="K62" s="78">
        <f>IF(ISBLANK($C$3),Start!K62,MOVE!K62)</f>
        <v>1.352031978936135</v>
      </c>
      <c r="L62" s="78">
        <f>IF(ISBLANK($C$3),Start!L62,MOVE!L62)</f>
        <v>1.3520049875684381</v>
      </c>
      <c r="M62" s="78">
        <f>IF(ISBLANK($C$3),Start!M62,MOVE!M62)</f>
        <v>1.3520050151216905</v>
      </c>
      <c r="N62" s="78">
        <f>IF(ISBLANK($C$3),Start!N62,MOVE!N62)</f>
        <v>1.3520320246842243</v>
      </c>
      <c r="O62" s="78">
        <f>IF(ISBLANK($C$3),Start!O62,MOVE!O62)</f>
        <v>1.3520902170980362</v>
      </c>
      <c r="P62" s="78">
        <f>IF(ISBLANK($C$3),Start!P62,MOVE!P62)</f>
        <v>1.3521884702247535</v>
      </c>
      <c r="Q62" s="78">
        <f>IF(ISBLANK($C$3),Start!Q62,MOVE!Q62)</f>
        <v>1.352341204213205</v>
      </c>
      <c r="R62" s="78">
        <f>IF(ISBLANK($C$3),Start!R62,MOVE!R62)</f>
        <v>1.3525697500425646</v>
      </c>
      <c r="S62" s="78">
        <f>IF(ISBLANK($C$3),Start!S62,MOVE!S62)</f>
        <v>1.3529043274287178</v>
      </c>
      <c r="T62" s="78">
        <f>IF(ISBLANK($C$3),Start!T62,MOVE!T62)</f>
        <v>1.3533867746900774</v>
      </c>
      <c r="U62" s="78">
        <f>IF(ISBLANK($C$3),Start!U62,MOVE!U62)</f>
        <v>1.3540742300578947</v>
      </c>
      <c r="V62" s="78">
        <f>IF(ISBLANK($C$3),Start!V62,MOVE!V62)</f>
        <v>1.3550440512452688</v>
      </c>
      <c r="W62" s="78">
        <f>IF(ISBLANK($C$3),Start!W62,MOVE!W62)</f>
        <v>1.356400391170715</v>
      </c>
      <c r="X62" s="78">
        <f>IF(ISBLANK($C$3),Start!X62,MOVE!X62)</f>
        <v>1.3582830427162775</v>
      </c>
      <c r="Y62" s="78">
        <f>IF(ISBLANK($C$3),Start!Y62,MOVE!Y62)</f>
        <v>1.3608794543782237</v>
      </c>
      <c r="Z62" s="78">
        <f>IF(ISBLANK($C$3),Start!Z62,MOVE!Z62)</f>
        <v>1.3644412458413444</v>
      </c>
      <c r="AA62" s="78">
        <f>IF(ISBLANK($C$3),Start!AA62,MOVE!AA62)</f>
        <v>1.3693071828692294</v>
      </c>
      <c r="AB62" s="78">
        <f>IF(ISBLANK($C$3),Start!AB62,MOVE!AB62)</f>
        <v>1.3759355014932992</v>
      </c>
      <c r="AC62" s="78">
        <f>IF(ISBLANK($C$3),Start!AC62,MOVE!AC62)</f>
        <v>1.3849498508826661</v>
      </c>
      <c r="AD62" s="78">
        <f>IF(ISBLANK($C$3),Start!AD62,MOVE!AD62)</f>
        <v>1.397205187420423</v>
      </c>
      <c r="AE62" s="78">
        <f>IF(ISBLANK($C$3),Start!AE62,MOVE!AE62)</f>
        <v>1.4138830852365651</v>
      </c>
      <c r="AF62" s="78">
        <f>IF(ISBLANK($C$3),Start!AF62,MOVE!AF62)</f>
        <v>1.4366307922530555</v>
      </c>
      <c r="AG62" s="78">
        <f>IF(ISBLANK($C$3),Start!AG62,MOVE!AG62)</f>
        <v>1.4677661445940735</v>
      </c>
      <c r="AH62" s="78">
        <f>IF(ISBLANK($C$3),Start!AH62,MOVE!AH62)</f>
        <v>1.510583401378363</v>
      </c>
      <c r="AI62" s="78">
        <f>IF(ISBLANK($C$3),Start!AI62,MOVE!AI62)</f>
        <v>1.5698176313306682</v>
      </c>
      <c r="AJ62" s="78">
        <f>IF(ISBLANK($C$3),Start!AJ62,MOVE!AJ62)</f>
        <v>1.6523667347871223</v>
      </c>
      <c r="AK62" s="78">
        <f>IF(ISBLANK($C$3),Start!AK62,MOVE!AK62)</f>
        <v>1.7684506449924311</v>
      </c>
      <c r="AL62" s="78">
        <f>IF(ISBLANK($C$3),Start!AL62,MOVE!AL62)</f>
        <v>1.9335523970105979</v>
      </c>
      <c r="AM62" s="78">
        <f>IF(ISBLANK($C$3),Start!AM62,MOVE!AM62)</f>
        <v>2.1718443168378845</v>
      </c>
      <c r="AN62" s="78">
        <f>IF(ISBLANK($C$3),Start!AN62,MOVE!AN62)</f>
        <v>2.5226288599987834</v>
      </c>
      <c r="AO62" s="78">
        <f>IF(ISBLANK($C$3),Start!AO62,MOVE!AO62)</f>
        <v>3.0533625839122225</v>
      </c>
      <c r="AP62" s="78">
        <f>IF(ISBLANK($C$3),Start!AP62,MOVE!AP62)</f>
        <v>3.8883066717561769</v>
      </c>
      <c r="AQ62" s="79">
        <f>IF(ISBLANK($C$3),Start!AQ62,MOVE!AQ62)</f>
        <v>5.2782265777535198</v>
      </c>
      <c r="AR62" s="92">
        <f>IF(ISBLANK($C$3),Start!AR62,MOVE!AR62)</f>
        <v>7.7929301895493737</v>
      </c>
      <c r="AS62" s="86">
        <f>IF(ISBLANK($C$3),Start!AS62,MOVE!AS62)</f>
        <v>9.0148601061394693</v>
      </c>
      <c r="AT62" s="86">
        <f>IF(ISBLANK($C$3),Start!AT62,MOVE!AT62)</f>
        <v>9.569097035050941</v>
      </c>
      <c r="AU62" s="86">
        <f>IF(ISBLANK($C$3),Start!AU62,MOVE!AU62)</f>
        <v>9.8131887776776914</v>
      </c>
      <c r="AV62" s="86">
        <f>IF(ISBLANK($C$3),Start!AV62,MOVE!AV62)</f>
        <v>9.9193105003968149</v>
      </c>
      <c r="AW62" s="86">
        <f>IF(ISBLANK($C$3),Start!AW62,MOVE!AW62)</f>
        <v>9.9651512956289654</v>
      </c>
      <c r="AX62" s="86">
        <f>IF(ISBLANK($C$3),Start!AX62,MOVE!AX62)</f>
        <v>9.9848166461810948</v>
      </c>
      <c r="AY62" s="87">
        <f>IF(ISBLANK($C$3),Start!AY62,MOVE!AY62)</f>
        <v>9.9930469286503403</v>
      </c>
      <c r="AZ62" s="72">
        <f>IF(ISBLANK($C$3),Start!AZ62,MOVE!AZ62)</f>
        <v>9.9960351744087923</v>
      </c>
      <c r="BA62" s="165">
        <v>44</v>
      </c>
      <c r="BB62" s="178"/>
      <c r="BC62" s="175">
        <v>43</v>
      </c>
      <c r="BD62" s="176">
        <v>1290</v>
      </c>
      <c r="BE62" s="177" t="s">
        <v>59</v>
      </c>
      <c r="BF62" s="203" t="str">
        <f t="shared" si="1"/>
        <v>Wait</v>
      </c>
      <c r="BG62" s="188" t="str">
        <f>IF($C$5&lt;$BD62,"Wait",IF($C$5=$BD62,MOVE!$M$10,BG62))</f>
        <v>Wait</v>
      </c>
      <c r="BH62" s="195" t="str">
        <f>IF($C$5&lt;$BD62,"Wait",IF($C$5=$BD62,MOVE!$J$6,BH62))</f>
        <v>Wait</v>
      </c>
      <c r="BI62" s="195" t="str">
        <f>IF($C$5&lt;$BD62,"Wait",IF($C$5=$BD62,MOVE!$J$16,BI62))</f>
        <v>Wait</v>
      </c>
      <c r="BJ62" s="158" t="str">
        <f>IF($C$5&lt;$BD62,"Wait",IF($C$5=$BD62,MOVE!$J$14,BJ62))</f>
        <v>Wait</v>
      </c>
      <c r="BK62" s="262" t="str">
        <f>IF($C$5&lt;$BD62,"Wait",IF($C$5=$BD62,MOVE!$J$15,BK62))</f>
        <v>Wait</v>
      </c>
      <c r="BN62" s="207" t="str">
        <f>IF($C$5&lt;$BD62,"Wait",IF($C$5=$BD62,MOVE!$C$6,BN62))</f>
        <v>Wait</v>
      </c>
      <c r="BO62" s="167" t="str">
        <f>IF($C$5&lt;$BD62,"Wait",IF($C$5=$BD62,MOVE!$F$12,BO62))</f>
        <v>Wait</v>
      </c>
      <c r="BP62" s="158" t="str">
        <f>IF($C$5&lt;$BD62,"Wait",IF($C$5=$BD62,MOVE!$X$6,BP62))</f>
        <v>Wait</v>
      </c>
      <c r="BQ62" s="262" t="str">
        <f>IF($C$5&lt;$BD62,"Wait",IF($C$5=$BD62,MOVE!$AA$12,BQ62))</f>
        <v>Wait</v>
      </c>
    </row>
    <row r="63" spans="2:69" x14ac:dyDescent="0.2">
      <c r="B63" s="34">
        <v>45</v>
      </c>
      <c r="C63" s="72">
        <f>IF(ISBLANK($C$3),Start!C63,MOVE!C63)</f>
        <v>1.1045801552811443</v>
      </c>
      <c r="D63" s="77">
        <f>IF(ISBLANK($C$3),Start!D63,MOVE!D63)</f>
        <v>1.1649175014424868</v>
      </c>
      <c r="E63" s="78">
        <f>IF(ISBLANK($C$3),Start!E63,MOVE!E63)</f>
        <v>1.2205411913752655</v>
      </c>
      <c r="F63" s="78">
        <f>IF(ISBLANK($C$3),Start!F63,MOVE!F63)</f>
        <v>1.2749300040151774</v>
      </c>
      <c r="G63" s="78">
        <f>IF(ISBLANK($C$3),Start!G63,MOVE!G63)</f>
        <v>1.2748981676315869</v>
      </c>
      <c r="H63" s="78">
        <f>IF(ISBLANK($C$3),Start!H63,MOVE!H63)</f>
        <v>1.2748982606430634</v>
      </c>
      <c r="I63" s="78">
        <f>IF(ISBLANK($C$3),Start!I63,MOVE!I63)</f>
        <v>1.2749301610354922</v>
      </c>
      <c r="J63" s="78">
        <f>IF(ISBLANK($C$3),Start!J63,MOVE!J63)</f>
        <v>1.2749986514949079</v>
      </c>
      <c r="K63" s="78">
        <f>IF(ISBLANK($C$3),Start!K63,MOVE!K63)</f>
        <v>1.2749300040151774</v>
      </c>
      <c r="L63" s="78">
        <f>IF(ISBLANK($C$3),Start!L63,MOVE!L63)</f>
        <v>1.2748981676315869</v>
      </c>
      <c r="M63" s="78">
        <f>IF(ISBLANK($C$3),Start!M63,MOVE!M63)</f>
        <v>1.2748982606430634</v>
      </c>
      <c r="N63" s="78">
        <f>IF(ISBLANK($C$3),Start!N63,MOVE!N63)</f>
        <v>1.2749301610354922</v>
      </c>
      <c r="O63" s="78">
        <f>IF(ISBLANK($C$3),Start!O63,MOVE!O63)</f>
        <v>1.2749986514949079</v>
      </c>
      <c r="P63" s="78">
        <f>IF(ISBLANK($C$3),Start!P63,MOVE!P63)</f>
        <v>1.2751139575738761</v>
      </c>
      <c r="Q63" s="78">
        <f>IF(ISBLANK($C$3),Start!Q63,MOVE!Q63)</f>
        <v>1.2752927449795275</v>
      </c>
      <c r="R63" s="78">
        <f>IF(ISBLANK($C$3),Start!R63,MOVE!R63)</f>
        <v>1.2755596818032193</v>
      </c>
      <c r="S63" s="78">
        <f>IF(ISBLANK($C$3),Start!S63,MOVE!S63)</f>
        <v>1.275949686369882</v>
      </c>
      <c r="T63" s="78">
        <f>IF(ISBLANK($C$3),Start!T63,MOVE!T63)</f>
        <v>1.2765110125547876</v>
      </c>
      <c r="U63" s="78">
        <f>IF(ISBLANK($C$3),Start!U63,MOVE!U63)</f>
        <v>1.27730938115119</v>
      </c>
      <c r="V63" s="78">
        <f>IF(ISBLANK($C$3),Start!V63,MOVE!V63)</f>
        <v>1.2784334542195162</v>
      </c>
      <c r="W63" s="78">
        <f>IF(ISBLANK($C$3),Start!W63,MOVE!W63)</f>
        <v>1.2800020807581372</v>
      </c>
      <c r="X63" s="78">
        <f>IF(ISBLANK($C$3),Start!X63,MOVE!X63)</f>
        <v>1.282173935606761</v>
      </c>
      <c r="Y63" s="78">
        <f>IF(ISBLANK($C$3),Start!Y63,MOVE!Y63)</f>
        <v>1.2851604578199416</v>
      </c>
      <c r="Z63" s="78">
        <f>IF(ISBLANK($C$3),Start!Z63,MOVE!Z63)</f>
        <v>1.2892434112191618</v>
      </c>
      <c r="AA63" s="78">
        <f>IF(ISBLANK($C$3),Start!AA63,MOVE!AA63)</f>
        <v>1.2947989985417718</v>
      </c>
      <c r="AB63" s="78">
        <f>IF(ISBLANK($C$3),Start!AB63,MOVE!AB63)</f>
        <v>1.3023313508151266</v>
      </c>
      <c r="AC63" s="78">
        <f>IF(ISBLANK($C$3),Start!AC63,MOVE!AC63)</f>
        <v>1.3125195226013966</v>
      </c>
      <c r="AD63" s="78">
        <f>IF(ISBLANK($C$3),Start!AD63,MOVE!AD63)</f>
        <v>1.3262840719671793</v>
      </c>
      <c r="AE63" s="78">
        <f>IF(ISBLANK($C$3),Start!AE63,MOVE!AE63)</f>
        <v>1.3448822618416674</v>
      </c>
      <c r="AF63" s="78">
        <f>IF(ISBLANK($C$3),Start!AF63,MOVE!AF63)</f>
        <v>1.3700455390698467</v>
      </c>
      <c r="AG63" s="78">
        <f>IF(ISBLANK($C$3),Start!AG63,MOVE!AG63)</f>
        <v>1.404180430164798</v>
      </c>
      <c r="AH63" s="78">
        <f>IF(ISBLANK($C$3),Start!AH63,MOVE!AH63)</f>
        <v>1.4506666459517323</v>
      </c>
      <c r="AI63" s="78">
        <f>IF(ISBLANK($C$3),Start!AI63,MOVE!AI63)</f>
        <v>1.514308620327063</v>
      </c>
      <c r="AJ63" s="78">
        <f>IF(ISBLANK($C$3),Start!AJ63,MOVE!AJ63)</f>
        <v>1.6020384780733894</v>
      </c>
      <c r="AK63" s="78">
        <f>IF(ISBLANK($C$3),Start!AK63,MOVE!AK63)</f>
        <v>1.7240501076204191</v>
      </c>
      <c r="AL63" s="78">
        <f>IF(ISBLANK($C$3),Start!AL63,MOVE!AL63)</f>
        <v>1.895711781425176</v>
      </c>
      <c r="AM63" s="78">
        <f>IF(ISBLANK($C$3),Start!AM63,MOVE!AM63)</f>
        <v>2.1409675381261759</v>
      </c>
      <c r="AN63" s="78">
        <f>IF(ISBLANK($C$3),Start!AN63,MOVE!AN63)</f>
        <v>2.498768730352952</v>
      </c>
      <c r="AO63" s="78">
        <f>IF(ISBLANK($C$3),Start!AO63,MOVE!AO63)</f>
        <v>3.0361187660154254</v>
      </c>
      <c r="AP63" s="78">
        <f>IF(ISBLANK($C$3),Start!AP63,MOVE!AP63)</f>
        <v>3.8767837934338352</v>
      </c>
      <c r="AQ63" s="79">
        <f>IF(ISBLANK($C$3),Start!AQ63,MOVE!AQ63)</f>
        <v>5.2710803940323343</v>
      </c>
      <c r="AR63" s="92">
        <f>IF(ISBLANK($C$3),Start!AR63,MOVE!AR63)</f>
        <v>7.7884702057437938</v>
      </c>
      <c r="AS63" s="86">
        <f>IF(ISBLANK($C$3),Start!AS63,MOVE!AS63)</f>
        <v>9.0123747422844218</v>
      </c>
      <c r="AT63" s="86">
        <f>IF(ISBLANK($C$3),Start!AT63,MOVE!AT63)</f>
        <v>9.5677708472195064</v>
      </c>
      <c r="AU63" s="86">
        <f>IF(ISBLANK($C$3),Start!AU63,MOVE!AU63)</f>
        <v>9.8124920339376533</v>
      </c>
      <c r="AV63" s="86">
        <f>IF(ISBLANK($C$3),Start!AV63,MOVE!AV63)</f>
        <v>9.9189451894420539</v>
      </c>
      <c r="AW63" s="86">
        <f>IF(ISBLANK($C$3),Start!AW63,MOVE!AW63)</f>
        <v>9.9649571620169723</v>
      </c>
      <c r="AX63" s="86">
        <f>IF(ISBLANK($C$3),Start!AX63,MOVE!AX63)</f>
        <v>9.9847081504075739</v>
      </c>
      <c r="AY63" s="87">
        <f>IF(ISBLANK($C$3),Start!AY63,MOVE!AY63)</f>
        <v>9.9929780275512332</v>
      </c>
      <c r="AZ63" s="72">
        <f>IF(ISBLANK($C$3),Start!AZ63,MOVE!AZ63)</f>
        <v>9.9959808828088832</v>
      </c>
      <c r="BA63" s="165">
        <v>45</v>
      </c>
      <c r="BB63" s="174">
        <v>1966</v>
      </c>
      <c r="BC63" s="175">
        <v>44</v>
      </c>
      <c r="BD63" s="176">
        <v>1320</v>
      </c>
      <c r="BE63" s="177" t="s">
        <v>60</v>
      </c>
      <c r="BF63" s="202" t="str">
        <f t="shared" si="1"/>
        <v>Wait</v>
      </c>
      <c r="BG63" s="190" t="str">
        <f>IF($C$5&lt;$BD63,"Wait",IF($C$5=$BD63,MOVE!$M$10,BG63))</f>
        <v>Wait</v>
      </c>
      <c r="BH63" s="197" t="str">
        <f>IF($C$5&lt;$BD63,"Wait",IF($C$5=$BD63,MOVE!$J$6,BH63))</f>
        <v>Wait</v>
      </c>
      <c r="BI63" s="197" t="str">
        <f>IF($C$5&lt;$BD63,"Wait",IF($C$5=$BD63,MOVE!$J$16,BI63))</f>
        <v>Wait</v>
      </c>
      <c r="BJ63" s="158" t="str">
        <f>IF($C$5&lt;$BD63,"Wait",IF($C$5=$BD63,MOVE!$J$14,BJ63))</f>
        <v>Wait</v>
      </c>
      <c r="BK63" s="262" t="str">
        <f>IF($C$5&lt;$BD63,"Wait",IF($C$5=$BD63,MOVE!$J$15,BK63))</f>
        <v>Wait</v>
      </c>
      <c r="BL63" s="161" t="s">
        <v>68</v>
      </c>
      <c r="BM63" s="161"/>
      <c r="BN63" s="207" t="str">
        <f>IF($C$5&lt;$BD63,"Wait",IF($C$5=$BD63,MOVE!$C$6,BN63))</f>
        <v>Wait</v>
      </c>
      <c r="BO63" s="167" t="str">
        <f>IF($C$5&lt;$BD63,"Wait",IF($C$5=$BD63,MOVE!$F$12,BO63))</f>
        <v>Wait</v>
      </c>
      <c r="BP63" s="158" t="str">
        <f>IF($C$5&lt;$BD63,"Wait",IF($C$5=$BD63,MOVE!$X$6,BP63))</f>
        <v>Wait</v>
      </c>
      <c r="BQ63" s="262" t="str">
        <f>IF($C$5&lt;$BD63,"Wait",IF($C$5=$BD63,MOVE!$AA$12,BQ63))</f>
        <v>Wait</v>
      </c>
    </row>
    <row r="64" spans="2:69" x14ac:dyDescent="0.2">
      <c r="B64" s="34">
        <v>46</v>
      </c>
      <c r="C64" s="72">
        <f>IF(ISBLANK($C$3),Start!C64,MOVE!C64)</f>
        <v>1.1210736381127235</v>
      </c>
      <c r="D64" s="77">
        <f>IF(ISBLANK($C$3),Start!D64,MOVE!D64)</f>
        <v>1.1473951369857667</v>
      </c>
      <c r="E64" s="78">
        <f>IF(ISBLANK($C$3),Start!E64,MOVE!E64)</f>
        <v>1.1812530234126024</v>
      </c>
      <c r="F64" s="78">
        <f>IF(ISBLANK($C$3),Start!F64,MOVE!F64)</f>
        <v>1.2173440930787731</v>
      </c>
      <c r="G64" s="78">
        <f>IF(ISBLANK($C$3),Start!G64,MOVE!G64)</f>
        <v>1.2173076949289732</v>
      </c>
      <c r="H64" s="78">
        <f>IF(ISBLANK($C$3),Start!H64,MOVE!H64)</f>
        <v>1.2173079889507146</v>
      </c>
      <c r="I64" s="78">
        <f>IF(ISBLANK($C$3),Start!I64,MOVE!I64)</f>
        <v>1.2173446051935126</v>
      </c>
      <c r="J64" s="78">
        <f>IF(ISBLANK($C$3),Start!J64,MOVE!J64)</f>
        <v>1.2174227832352555</v>
      </c>
      <c r="K64" s="78">
        <f>IF(ISBLANK($C$3),Start!K64,MOVE!K64)</f>
        <v>1.2173440930787731</v>
      </c>
      <c r="L64" s="78">
        <f>IF(ISBLANK($C$3),Start!L64,MOVE!L64)</f>
        <v>1.2173076949289732</v>
      </c>
      <c r="M64" s="78">
        <f>IF(ISBLANK($C$3),Start!M64,MOVE!M64)</f>
        <v>1.2173079889507146</v>
      </c>
      <c r="N64" s="78">
        <f>IF(ISBLANK($C$3),Start!N64,MOVE!N64)</f>
        <v>1.2173446051935126</v>
      </c>
      <c r="O64" s="78">
        <f>IF(ISBLANK($C$3),Start!O64,MOVE!O64)</f>
        <v>1.2174227832352555</v>
      </c>
      <c r="P64" s="78">
        <f>IF(ISBLANK($C$3),Start!P64,MOVE!P64)</f>
        <v>1.2175539771404864</v>
      </c>
      <c r="Q64" s="78">
        <f>IF(ISBLANK($C$3),Start!Q64,MOVE!Q64)</f>
        <v>1.217756929825657</v>
      </c>
      <c r="R64" s="78">
        <f>IF(ISBLANK($C$3),Start!R64,MOVE!R64)</f>
        <v>1.2180593851039871</v>
      </c>
      <c r="S64" s="78">
        <f>IF(ISBLANK($C$3),Start!S64,MOVE!S64)</f>
        <v>1.2185005666537658</v>
      </c>
      <c r="T64" s="78">
        <f>IF(ISBLANK($C$3),Start!T64,MOVE!T64)</f>
        <v>1.219134573725887</v>
      </c>
      <c r="U64" s="78">
        <f>IF(ISBLANK($C$3),Start!U64,MOVE!U64)</f>
        <v>1.2200349017461136</v>
      </c>
      <c r="V64" s="78">
        <f>IF(ISBLANK($C$3),Start!V64,MOVE!V64)</f>
        <v>1.2213003861073326</v>
      </c>
      <c r="W64" s="78">
        <f>IF(ISBLANK($C$3),Start!W64,MOVE!W64)</f>
        <v>1.2230629979499335</v>
      </c>
      <c r="X64" s="78">
        <f>IF(ISBLANK($C$3),Start!X64,MOVE!X64)</f>
        <v>1.2254981100110309</v>
      </c>
      <c r="Y64" s="78">
        <f>IF(ISBLANK($C$3),Start!Y64,MOVE!Y64)</f>
        <v>1.2288381262568624</v>
      </c>
      <c r="Z64" s="78">
        <f>IF(ISBLANK($C$3),Start!Z64,MOVE!Z64)</f>
        <v>1.2333907702169034</v>
      </c>
      <c r="AA64" s="78">
        <f>IF(ISBLANK($C$3),Start!AA64,MOVE!AA64)</f>
        <v>1.2395639101606448</v>
      </c>
      <c r="AB64" s="78">
        <f>IF(ISBLANK($C$3),Start!AB64,MOVE!AB64)</f>
        <v>1.2478996485209866</v>
      </c>
      <c r="AC64" s="78">
        <f>IF(ISBLANK($C$3),Start!AC64,MOVE!AC64)</f>
        <v>1.2591216490951711</v>
      </c>
      <c r="AD64" s="78">
        <f>IF(ISBLANK($C$3),Start!AD64,MOVE!AD64)</f>
        <v>1.2742015326279177</v>
      </c>
      <c r="AE64" s="78">
        <f>IF(ISBLANK($C$3),Start!AE64,MOVE!AE64)</f>
        <v>1.2944530072181724</v>
      </c>
      <c r="AF64" s="78">
        <f>IF(ISBLANK($C$3),Start!AF64,MOVE!AF64)</f>
        <v>1.321666874956134</v>
      </c>
      <c r="AG64" s="78">
        <f>IF(ISBLANK($C$3),Start!AG64,MOVE!AG64)</f>
        <v>1.3583074022647088</v>
      </c>
      <c r="AH64" s="78">
        <f>IF(ISBLANK($C$3),Start!AH64,MOVE!AH64)</f>
        <v>1.4078031362433849</v>
      </c>
      <c r="AI64" s="78">
        <f>IF(ISBLANK($C$3),Start!AI64,MOVE!AI64)</f>
        <v>1.4749878295783616</v>
      </c>
      <c r="AJ64" s="78">
        <f>IF(ISBLANK($C$3),Start!AJ64,MOVE!AJ64)</f>
        <v>1.5667894484973579</v>
      </c>
      <c r="AK64" s="78">
        <f>IF(ISBLANK($C$3),Start!AK64,MOVE!AK64)</f>
        <v>1.6933480708830804</v>
      </c>
      <c r="AL64" s="78">
        <f>IF(ISBLANK($C$3),Start!AL64,MOVE!AL64)</f>
        <v>1.8699131254390682</v>
      </c>
      <c r="AM64" s="78">
        <f>IF(ISBLANK($C$3),Start!AM64,MOVE!AM64)</f>
        <v>2.120235561321977</v>
      </c>
      <c r="AN64" s="78">
        <f>IF(ISBLANK($C$3),Start!AN64,MOVE!AN64)</f>
        <v>2.4830036408603506</v>
      </c>
      <c r="AO64" s="78">
        <f>IF(ISBLANK($C$3),Start!AO64,MOVE!AO64)</f>
        <v>3.0249122048222032</v>
      </c>
      <c r="AP64" s="78">
        <f>IF(ISBLANK($C$3),Start!AP64,MOVE!AP64)</f>
        <v>3.8694193943357824</v>
      </c>
      <c r="AQ64" s="79">
        <f>IF(ISBLANK($C$3),Start!AQ64,MOVE!AQ64)</f>
        <v>5.266589490410543</v>
      </c>
      <c r="AR64" s="92">
        <f>IF(ISBLANK($C$3),Start!AR64,MOVE!AR64)</f>
        <v>7.7857126220253523</v>
      </c>
      <c r="AS64" s="86">
        <f>IF(ISBLANK($C$3),Start!AS64,MOVE!AS64)</f>
        <v>9.0108592849734332</v>
      </c>
      <c r="AT64" s="86">
        <f>IF(ISBLANK($C$3),Start!AT64,MOVE!AT64)</f>
        <v>9.5669715532086315</v>
      </c>
      <c r="AU64" s="86">
        <f>IF(ISBLANK($C$3),Start!AU64,MOVE!AU64)</f>
        <v>9.8120750977142119</v>
      </c>
      <c r="AV64" s="86">
        <f>IF(ISBLANK($C$3),Start!AV64,MOVE!AV64)</f>
        <v>9.9187254492060717</v>
      </c>
      <c r="AW64" s="86">
        <f>IF(ISBLANK($C$3),Start!AW64,MOVE!AW64)</f>
        <v>9.9648352943767158</v>
      </c>
      <c r="AX64" s="86">
        <f>IF(ISBLANK($C$3),Start!AX64,MOVE!AX64)</f>
        <v>9.9846300506510701</v>
      </c>
      <c r="AY64" s="87">
        <f>IF(ISBLANK($C$3),Start!AY64,MOVE!AY64)</f>
        <v>9.9929136942404657</v>
      </c>
      <c r="AZ64" s="72">
        <f>IF(ISBLANK($C$3),Start!AZ64,MOVE!AZ64)</f>
        <v>9.9959165287994285</v>
      </c>
      <c r="BA64" s="165">
        <v>46</v>
      </c>
      <c r="BB64" s="178"/>
      <c r="BC64" s="175">
        <v>45</v>
      </c>
      <c r="BD64" s="176">
        <v>1350</v>
      </c>
      <c r="BE64" s="177" t="s">
        <v>61</v>
      </c>
      <c r="BF64" s="203" t="str">
        <f t="shared" si="1"/>
        <v>Wait</v>
      </c>
      <c r="BG64" s="188" t="str">
        <f>IF($C$5&lt;$BD64,"Wait",IF($C$5=$BD64,MOVE!$M$10,BG64))</f>
        <v>Wait</v>
      </c>
      <c r="BH64" s="195" t="str">
        <f>IF($C$5&lt;$BD64,"Wait",IF($C$5=$BD64,MOVE!$J$6,BH64))</f>
        <v>Wait</v>
      </c>
      <c r="BI64" s="195" t="str">
        <f>IF($C$5&lt;$BD64,"Wait",IF($C$5=$BD64,MOVE!$J$16,BI64))</f>
        <v>Wait</v>
      </c>
      <c r="BJ64" s="158" t="str">
        <f>IF($C$5&lt;$BD64,"Wait",IF($C$5=$BD64,MOVE!$J$14,BJ64))</f>
        <v>Wait</v>
      </c>
      <c r="BK64" s="262" t="str">
        <f>IF($C$5&lt;$BD64,"Wait",IF($C$5=$BD64,MOVE!$J$15,BK64))</f>
        <v>Wait</v>
      </c>
      <c r="BL64" s="161" t="s">
        <v>71</v>
      </c>
      <c r="BM64" s="161"/>
      <c r="BN64" s="207" t="str">
        <f>IF($C$5&lt;$BD64,"Wait",IF($C$5=$BD64,MOVE!$C$6,BN64))</f>
        <v>Wait</v>
      </c>
      <c r="BO64" s="167" t="str">
        <f>IF($C$5&lt;$BD64,"Wait",IF($C$5=$BD64,MOVE!$F$12,BO64))</f>
        <v>Wait</v>
      </c>
      <c r="BP64" s="158" t="str">
        <f>IF($C$5&lt;$BD64,"Wait",IF($C$5=$BD64,MOVE!$X$6,BP64))</f>
        <v>Wait</v>
      </c>
      <c r="BQ64" s="262" t="str">
        <f>IF($C$5&lt;$BD64,"Wait",IF($C$5=$BD64,MOVE!$AA$12,BQ64))</f>
        <v>Wait</v>
      </c>
    </row>
    <row r="65" spans="2:69" x14ac:dyDescent="0.2">
      <c r="B65" s="34">
        <v>47</v>
      </c>
      <c r="C65" s="72">
        <f>IF(ISBLANK($C$3),Start!C65,MOVE!C65)</f>
        <v>1.1195882637418955</v>
      </c>
      <c r="D65" s="77">
        <f>IF(ISBLANK($C$3),Start!D65,MOVE!D65)</f>
        <v>1.1325439137336526</v>
      </c>
      <c r="E65" s="78">
        <f>IF(ISBLANK($C$3),Start!E65,MOVE!E65)</f>
        <v>1.1524179504521925</v>
      </c>
      <c r="F65" s="78">
        <f>IF(ISBLANK($C$3),Start!F65,MOVE!F65)</f>
        <v>1.1751598848893641</v>
      </c>
      <c r="G65" s="78">
        <f>IF(ISBLANK($C$3),Start!G65,MOVE!G65)</f>
        <v>1.1751195025774355</v>
      </c>
      <c r="H65" s="78">
        <f>IF(ISBLANK($C$3),Start!H65,MOVE!H65)</f>
        <v>1.1751204074627633</v>
      </c>
      <c r="I65" s="78">
        <f>IF(ISBLANK($C$3),Start!I65,MOVE!I65)</f>
        <v>1.1751615515693352</v>
      </c>
      <c r="J65" s="78">
        <f>IF(ISBLANK($C$3),Start!J65,MOVE!J65)</f>
        <v>1.1752484465089992</v>
      </c>
      <c r="K65" s="78">
        <f>IF(ISBLANK($C$3),Start!K65,MOVE!K65)</f>
        <v>1.1751598848893641</v>
      </c>
      <c r="L65" s="78">
        <f>IF(ISBLANK($C$3),Start!L65,MOVE!L65)</f>
        <v>1.1751195025774355</v>
      </c>
      <c r="M65" s="78">
        <f>IF(ISBLANK($C$3),Start!M65,MOVE!M65)</f>
        <v>1.1751204074627633</v>
      </c>
      <c r="N65" s="78">
        <f>IF(ISBLANK($C$3),Start!N65,MOVE!N65)</f>
        <v>1.1751615515693352</v>
      </c>
      <c r="O65" s="78">
        <f>IF(ISBLANK($C$3),Start!O65,MOVE!O65)</f>
        <v>1.1752484465089992</v>
      </c>
      <c r="P65" s="78">
        <f>IF(ISBLANK($C$3),Start!P65,MOVE!P65)</f>
        <v>1.1753936251747918</v>
      </c>
      <c r="Q65" s="78">
        <f>IF(ISBLANK($C$3),Start!Q65,MOVE!Q65)</f>
        <v>1.1756176678420134</v>
      </c>
      <c r="R65" s="78">
        <f>IF(ISBLANK($C$3),Start!R65,MOVE!R65)</f>
        <v>1.1759510039518093</v>
      </c>
      <c r="S65" s="78">
        <f>IF(ISBLANK($C$3),Start!S65,MOVE!S65)</f>
        <v>1.1764365790525668</v>
      </c>
      <c r="T65" s="78">
        <f>IF(ISBLANK($C$3),Start!T65,MOVE!T65)</f>
        <v>1.1771335104177869</v>
      </c>
      <c r="U65" s="78">
        <f>IF(ISBLANK($C$3),Start!U65,MOVE!U65)</f>
        <v>1.1781219287911455</v>
      </c>
      <c r="V65" s="78">
        <f>IF(ISBLANK($C$3),Start!V65,MOVE!V65)</f>
        <v>1.1795092999581487</v>
      </c>
      <c r="W65" s="78">
        <f>IF(ISBLANK($C$3),Start!W65,MOVE!W65)</f>
        <v>1.1814386495548168</v>
      </c>
      <c r="X65" s="78">
        <f>IF(ISBLANK($C$3),Start!X65,MOVE!X65)</f>
        <v>1.1840992982395029</v>
      </c>
      <c r="Y65" s="78">
        <f>IF(ISBLANK($C$3),Start!Y65,MOVE!Y65)</f>
        <v>1.1877409798473209</v>
      </c>
      <c r="Z65" s="78">
        <f>IF(ISBLANK($C$3),Start!Z65,MOVE!Z65)</f>
        <v>1.1926926003852654</v>
      </c>
      <c r="AA65" s="78">
        <f>IF(ISBLANK($C$3),Start!AA65,MOVE!AA65)</f>
        <v>1.1993874548696084</v>
      </c>
      <c r="AB65" s="78">
        <f>IF(ISBLANK($C$3),Start!AB65,MOVE!AB65)</f>
        <v>1.2083975331685952</v>
      </c>
      <c r="AC65" s="78">
        <f>IF(ISBLANK($C$3),Start!AC65,MOVE!AC65)</f>
        <v>1.2204807432977676</v>
      </c>
      <c r="AD65" s="78">
        <f>IF(ISBLANK($C$3),Start!AD65,MOVE!AD65)</f>
        <v>1.2366466743144844</v>
      </c>
      <c r="AE65" s="78">
        <f>IF(ISBLANK($C$3),Start!AE65,MOVE!AE65)</f>
        <v>1.2582492832835142</v>
      </c>
      <c r="AF65" s="78">
        <f>IF(ISBLANK($C$3),Start!AF65,MOVE!AF65)</f>
        <v>1.2871192969718848</v>
      </c>
      <c r="AG65" s="78">
        <f>IF(ISBLANK($C$3),Start!AG65,MOVE!AG65)</f>
        <v>1.3257564335161496</v>
      </c>
      <c r="AH65" s="78">
        <f>IF(ISBLANK($C$3),Start!AH65,MOVE!AH65)</f>
        <v>1.3776142075739821</v>
      </c>
      <c r="AI65" s="78">
        <f>IF(ISBLANK($C$3),Start!AI65,MOVE!AI65)</f>
        <v>1.4475329061281708</v>
      </c>
      <c r="AJ65" s="78">
        <f>IF(ISBLANK($C$3),Start!AJ65,MOVE!AJ65)</f>
        <v>1.5424191564732064</v>
      </c>
      <c r="AK65" s="78">
        <f>IF(ISBLANK($C$3),Start!AK65,MOVE!AK65)</f>
        <v>1.6723542102595386</v>
      </c>
      <c r="AL65" s="78">
        <f>IF(ISBLANK($C$3),Start!AL65,MOVE!AL65)</f>
        <v>1.8524838732026256</v>
      </c>
      <c r="AM65" s="78">
        <f>IF(ISBLANK($C$3),Start!AM65,MOVE!AM65)</f>
        <v>2.1064092881690804</v>
      </c>
      <c r="AN65" s="78">
        <f>IF(ISBLANK($C$3),Start!AN65,MOVE!AN65)</f>
        <v>2.4726312993124409</v>
      </c>
      <c r="AO65" s="78">
        <f>IF(ISBLANK($C$3),Start!AO65,MOVE!AO65)</f>
        <v>3.0176409012147731</v>
      </c>
      <c r="AP65" s="78">
        <f>IF(ISBLANK($C$3),Start!AP65,MOVE!AP65)</f>
        <v>3.8647080677465517</v>
      </c>
      <c r="AQ65" s="79">
        <f>IF(ISBLANK($C$3),Start!AQ65,MOVE!AQ65)</f>
        <v>5.2637576728146458</v>
      </c>
      <c r="AR65" s="92">
        <f>IF(ISBLANK($C$3),Start!AR65,MOVE!AR65)</f>
        <v>7.7839985427305018</v>
      </c>
      <c r="AS65" s="86">
        <f>IF(ISBLANK($C$3),Start!AS65,MOVE!AS65)</f>
        <v>9.0099290696984955</v>
      </c>
      <c r="AT65" s="86">
        <f>IF(ISBLANK($C$3),Start!AT65,MOVE!AT65)</f>
        <v>9.5664859258322323</v>
      </c>
      <c r="AU65" s="86">
        <f>IF(ISBLANK($C$3),Start!AU65,MOVE!AU65)</f>
        <v>9.811822410084071</v>
      </c>
      <c r="AV65" s="86">
        <f>IF(ISBLANK($C$3),Start!AV65,MOVE!AV65)</f>
        <v>9.9185885724882326</v>
      </c>
      <c r="AW65" s="86">
        <f>IF(ISBLANK($C$3),Start!AW65,MOVE!AW65)</f>
        <v>9.9647490777646777</v>
      </c>
      <c r="AX65" s="86">
        <f>IF(ISBLANK($C$3),Start!AX65,MOVE!AX65)</f>
        <v>9.9845539683175453</v>
      </c>
      <c r="AY65" s="87">
        <f>IF(ISBLANK($C$3),Start!AY65,MOVE!AY65)</f>
        <v>9.9928195401449695</v>
      </c>
      <c r="AZ65" s="72">
        <f>IF(ISBLANK($C$3),Start!AZ65,MOVE!AZ65)</f>
        <v>9.995793868774177</v>
      </c>
      <c r="BA65" s="165">
        <v>47</v>
      </c>
      <c r="BB65" s="178"/>
      <c r="BC65" s="175">
        <v>46</v>
      </c>
      <c r="BD65" s="176">
        <v>1380</v>
      </c>
      <c r="BE65" s="177" t="s">
        <v>62</v>
      </c>
      <c r="BF65" s="203" t="str">
        <f t="shared" si="1"/>
        <v>Wait</v>
      </c>
      <c r="BG65" s="188" t="str">
        <f>IF($C$5&lt;$BD65,"Wait",IF($C$5=$BD65,MOVE!$M$10,BG65))</f>
        <v>Wait</v>
      </c>
      <c r="BH65" s="195" t="str">
        <f>IF($C$5&lt;$BD65,"Wait",IF($C$5=$BD65,MOVE!$J$6,BH65))</f>
        <v>Wait</v>
      </c>
      <c r="BI65" s="195" t="str">
        <f>IF($C$5&lt;$BD65,"Wait",IF($C$5=$BD65,MOVE!$J$16,BI65))</f>
        <v>Wait</v>
      </c>
      <c r="BJ65" s="158" t="str">
        <f>IF($C$5&lt;$BD65,"Wait",IF($C$5=$BD65,MOVE!$J$14,BJ65))</f>
        <v>Wait</v>
      </c>
      <c r="BK65" s="262" t="str">
        <f>IF($C$5&lt;$BD65,"Wait",IF($C$5=$BD65,MOVE!$J$15,BK65))</f>
        <v>Wait</v>
      </c>
      <c r="BL65" s="161"/>
      <c r="BM65" s="161"/>
      <c r="BN65" s="207" t="str">
        <f>IF($C$5&lt;$BD65,"Wait",IF($C$5=$BD65,MOVE!$C$6,BN65))</f>
        <v>Wait</v>
      </c>
      <c r="BO65" s="167" t="str">
        <f>IF($C$5&lt;$BD65,"Wait",IF($C$5=$BD65,MOVE!$F$12,BO65))</f>
        <v>Wait</v>
      </c>
      <c r="BP65" s="158" t="str">
        <f>IF($C$5&lt;$BD65,"Wait",IF($C$5=$BD65,MOVE!$X$6,BP65))</f>
        <v>Wait</v>
      </c>
      <c r="BQ65" s="262" t="str">
        <f>IF($C$5&lt;$BD65,"Wait",IF($C$5=$BD65,MOVE!$AA$12,BQ65))</f>
        <v>Wait</v>
      </c>
    </row>
    <row r="66" spans="2:69" x14ac:dyDescent="0.2">
      <c r="B66" s="34">
        <v>48</v>
      </c>
      <c r="C66" s="72">
        <f>IF(ISBLANK($C$3),Start!C66,MOVE!C66)</f>
        <v>1.1137769077236053</v>
      </c>
      <c r="D66" s="77">
        <f>IF(ISBLANK($C$3),Start!D66,MOVE!D66)</f>
        <v>1.1203193303831958</v>
      </c>
      <c r="E66" s="78">
        <f>IF(ISBLANK($C$3),Start!E66,MOVE!E66)</f>
        <v>1.1316916136747808</v>
      </c>
      <c r="F66" s="78">
        <f>IF(ISBLANK($C$3),Start!F66,MOVE!F66)</f>
        <v>1.1455885779743316</v>
      </c>
      <c r="G66" s="78">
        <f>IF(ISBLANK($C$3),Start!G66,MOVE!G66)</f>
        <v>1.145545713842127</v>
      </c>
      <c r="H66" s="78">
        <f>IF(ISBLANK($C$3),Start!H66,MOVE!H66)</f>
        <v>1.1455483944413409</v>
      </c>
      <c r="I66" s="78">
        <f>IF(ISBLANK($C$3),Start!I66,MOVE!I66)</f>
        <v>1.1455940418747228</v>
      </c>
      <c r="J66" s="78">
        <f>IF(ISBLANK($C$3),Start!J66,MOVE!J66)</f>
        <v>1.1456883865955738</v>
      </c>
      <c r="K66" s="78">
        <f>IF(ISBLANK($C$3),Start!K66,MOVE!K66)</f>
        <v>1.1455885779743316</v>
      </c>
      <c r="L66" s="78">
        <f>IF(ISBLANK($C$3),Start!L66,MOVE!L66)</f>
        <v>1.145545713842127</v>
      </c>
      <c r="M66" s="78">
        <f>IF(ISBLANK($C$3),Start!M66,MOVE!M66)</f>
        <v>1.1455483944413409</v>
      </c>
      <c r="N66" s="78">
        <f>IF(ISBLANK($C$3),Start!N66,MOVE!N66)</f>
        <v>1.1455940418747228</v>
      </c>
      <c r="O66" s="78">
        <f>IF(ISBLANK($C$3),Start!O66,MOVE!O66)</f>
        <v>1.1456883865955738</v>
      </c>
      <c r="P66" s="78">
        <f>IF(ISBLANK($C$3),Start!P66,MOVE!P66)</f>
        <v>1.1458449780133841</v>
      </c>
      <c r="Q66" s="78">
        <f>IF(ISBLANK($C$3),Start!Q66,MOVE!Q66)</f>
        <v>1.1460859732094062</v>
      </c>
      <c r="R66" s="78">
        <f>IF(ISBLANK($C$3),Start!R66,MOVE!R66)</f>
        <v>1.146443996693187</v>
      </c>
      <c r="S66" s="78">
        <f>IF(ISBLANK($C$3),Start!S66,MOVE!S66)</f>
        <v>1.1469649716327674</v>
      </c>
      <c r="T66" s="78">
        <f>IF(ISBLANK($C$3),Start!T66,MOVE!T66)</f>
        <v>1.1477119899615362</v>
      </c>
      <c r="U66" s="78">
        <f>IF(ISBLANK($C$3),Start!U66,MOVE!U66)</f>
        <v>1.1487704059343464</v>
      </c>
      <c r="V66" s="78">
        <f>IF(ISBLANK($C$3),Start!V66,MOVE!V66)</f>
        <v>1.1502544430927271</v>
      </c>
      <c r="W66" s="78">
        <f>IF(ISBLANK($C$3),Start!W66,MOVE!W66)</f>
        <v>1.152315732315091</v>
      </c>
      <c r="X66" s="78">
        <f>IF(ISBLANK($C$3),Start!X66,MOVE!X66)</f>
        <v>1.1551543758824168</v>
      </c>
      <c r="Y66" s="78">
        <f>IF(ISBLANK($C$3),Start!Y66,MOVE!Y66)</f>
        <v>1.1590333881006005</v>
      </c>
      <c r="Z66" s="78">
        <f>IF(ISBLANK($C$3),Start!Z66,MOVE!Z66)</f>
        <v>1.1642977341942422</v>
      </c>
      <c r="AA66" s="78">
        <f>IF(ISBLANK($C$3),Start!AA66,MOVE!AA66)</f>
        <v>1.171399728735937</v>
      </c>
      <c r="AB66" s="78">
        <f>IF(ISBLANK($C$3),Start!AB66,MOVE!AB66)</f>
        <v>1.1809333426002091</v>
      </c>
      <c r="AC66" s="78">
        <f>IF(ISBLANK($C$3),Start!AC66,MOVE!AC66)</f>
        <v>1.1936811309931079</v>
      </c>
      <c r="AD66" s="78">
        <f>IF(ISBLANK($C$3),Start!AD66,MOVE!AD66)</f>
        <v>1.2106792497035228</v>
      </c>
      <c r="AE66" s="78">
        <f>IF(ISBLANK($C$3),Start!AE66,MOVE!AE66)</f>
        <v>1.2333087512080798</v>
      </c>
      <c r="AF66" s="78">
        <f>IF(ISBLANK($C$3),Start!AF66,MOVE!AF66)</f>
        <v>1.2634257365543848</v>
      </c>
      <c r="AG66" s="78">
        <f>IF(ISBLANK($C$3),Start!AG66,MOVE!AG66)</f>
        <v>1.3035502737970508</v>
      </c>
      <c r="AH66" s="78">
        <f>IF(ISBLANK($C$3),Start!AH66,MOVE!AH66)</f>
        <v>1.3571467538636071</v>
      </c>
      <c r="AI66" s="78">
        <f>IF(ISBLANK($C$3),Start!AI66,MOVE!AI66)</f>
        <v>1.4290514101494052</v>
      </c>
      <c r="AJ66" s="78">
        <f>IF(ISBLANK($C$3),Start!AJ66,MOVE!AJ66)</f>
        <v>1.5261459650679163</v>
      </c>
      <c r="AK66" s="78">
        <f>IF(ISBLANK($C$3),Start!AK66,MOVE!AK66)</f>
        <v>1.6584606405844693</v>
      </c>
      <c r="AL66" s="78">
        <f>IF(ISBLANK($C$3),Start!AL66,MOVE!AL66)</f>
        <v>1.8410612159505841</v>
      </c>
      <c r="AM66" s="78">
        <f>IF(ISBLANK($C$3),Start!AM66,MOVE!AM66)</f>
        <v>2.0974415457755002</v>
      </c>
      <c r="AN66" s="78">
        <f>IF(ISBLANK($C$3),Start!AN66,MOVE!AN66)</f>
        <v>2.4659762982354994</v>
      </c>
      <c r="AO66" s="78">
        <f>IF(ISBLANK($C$3),Start!AO66,MOVE!AO66)</f>
        <v>3.0130271182487585</v>
      </c>
      <c r="AP66" s="78">
        <f>IF(ISBLANK($C$3),Start!AP66,MOVE!AP66)</f>
        <v>3.8617522985396251</v>
      </c>
      <c r="AQ66" s="79">
        <f>IF(ISBLANK($C$3),Start!AQ66,MOVE!AQ66)</f>
        <v>5.2620017268150914</v>
      </c>
      <c r="AR66" s="92">
        <f>IF(ISBLANK($C$3),Start!AR66,MOVE!AR66)</f>
        <v>7.782948161135324</v>
      </c>
      <c r="AS66" s="86">
        <f>IF(ISBLANK($C$3),Start!AS66,MOVE!AS66)</f>
        <v>9.0093648994706097</v>
      </c>
      <c r="AT66" s="86">
        <f>IF(ISBLANK($C$3),Start!AT66,MOVE!AT66)</f>
        <v>9.5661934508429365</v>
      </c>
      <c r="AU66" s="86">
        <f>IF(ISBLANK($C$3),Start!AU66,MOVE!AU66)</f>
        <v>9.8116689285139493</v>
      </c>
      <c r="AV66" s="86">
        <f>IF(ISBLANK($C$3),Start!AV66,MOVE!AV66)</f>
        <v>9.918498815174523</v>
      </c>
      <c r="AW66" s="86">
        <f>IF(ISBLANK($C$3),Start!AW66,MOVE!AW66)</f>
        <v>9.9646748701147452</v>
      </c>
      <c r="AX66" s="86">
        <f>IF(ISBLANK($C$3),Start!AX66,MOVE!AX66)</f>
        <v>9.984451241084713</v>
      </c>
      <c r="AY66" s="87">
        <f>IF(ISBLANK($C$3),Start!AY66,MOVE!AY66)</f>
        <v>9.9926354945602966</v>
      </c>
      <c r="AZ66" s="72">
        <f>IF(ISBLANK($C$3),Start!AZ66,MOVE!AZ66)</f>
        <v>9.9954924864294927</v>
      </c>
      <c r="BA66" s="165">
        <v>48</v>
      </c>
      <c r="BB66" s="178"/>
      <c r="BC66" s="175">
        <v>47</v>
      </c>
      <c r="BD66" s="176">
        <v>1410</v>
      </c>
      <c r="BE66" s="177" t="s">
        <v>63</v>
      </c>
      <c r="BF66" s="200" t="str">
        <f t="shared" si="1"/>
        <v>Wait</v>
      </c>
      <c r="BG66" s="189" t="str">
        <f>IF($C$5&lt;$BD66,"Wait",IF($C$5=$BD66,MOVE!$M$10,BG66))</f>
        <v>Wait</v>
      </c>
      <c r="BH66" s="196" t="str">
        <f>IF($C$5&lt;$BD66,"Wait",IF($C$5=$BD66,MOVE!$J$6,BH66))</f>
        <v>Wait</v>
      </c>
      <c r="BI66" s="196" t="str">
        <f>IF($C$5&lt;$BD66,"Wait",IF($C$5=$BD66,MOVE!$J$16,BI66))</f>
        <v>Wait</v>
      </c>
      <c r="BJ66" s="158" t="str">
        <f>IF($C$5&lt;$BD66,"Wait",IF($C$5=$BD66,MOVE!$J$14,BJ66))</f>
        <v>Wait</v>
      </c>
      <c r="BK66" s="262" t="str">
        <f>IF($C$5&lt;$BD66,"Wait",IF($C$5=$BD66,MOVE!$J$15,BK66))</f>
        <v>Wait</v>
      </c>
      <c r="BL66" s="161"/>
      <c r="BM66" s="161"/>
      <c r="BN66" s="207" t="str">
        <f>IF($C$5&lt;$BD66,"Wait",IF($C$5=$BD66,MOVE!$C$6,BN66))</f>
        <v>Wait</v>
      </c>
      <c r="BO66" s="167" t="str">
        <f>IF($C$5&lt;$BD66,"Wait",IF($C$5=$BD66,MOVE!$F$12,BO66))</f>
        <v>Wait</v>
      </c>
      <c r="BP66" s="158" t="str">
        <f>IF($C$5&lt;$BD66,"Wait",IF($C$5=$BD66,MOVE!$X$6,BP66))</f>
        <v>Wait</v>
      </c>
      <c r="BQ66" s="262" t="str">
        <f>IF($C$5&lt;$BD66,"Wait",IF($C$5=$BD66,MOVE!$AA$12,BQ66))</f>
        <v>Wait</v>
      </c>
    </row>
    <row r="67" spans="2:69" x14ac:dyDescent="0.2">
      <c r="B67" s="34">
        <v>49</v>
      </c>
      <c r="C67" s="72">
        <f>IF(ISBLANK($C$3),Start!C67,MOVE!C67)</f>
        <v>1.1099355673078519</v>
      </c>
      <c r="D67" s="80">
        <f>IF(ISBLANK($C$3),Start!D67,MOVE!D67)</f>
        <v>1.1122472747161996</v>
      </c>
      <c r="E67" s="81">
        <f>IF(ISBLANK($C$3),Start!E67,MOVE!E67)</f>
        <v>1.1182449003596162</v>
      </c>
      <c r="F67" s="81">
        <f>IF(ISBLANK($C$3),Start!F67,MOVE!F67)</f>
        <v>1.1267855902013433</v>
      </c>
      <c r="G67" s="81">
        <f>IF(ISBLANK($C$3),Start!G67,MOVE!G67)</f>
        <v>1.1267460439629424</v>
      </c>
      <c r="H67" s="81">
        <f>IF(ISBLANK($C$3),Start!H67,MOVE!H67)</f>
        <v>1.1267534110246313</v>
      </c>
      <c r="I67" s="81">
        <f>IF(ISBLANK($C$3),Start!I67,MOVE!I67)</f>
        <v>1.1268037719499138</v>
      </c>
      <c r="J67" s="81">
        <f>IF(ISBLANK($C$3),Start!J67,MOVE!J67)</f>
        <v>1.1269039626781425</v>
      </c>
      <c r="K67" s="81">
        <f>IF(ISBLANK($C$3),Start!K67,MOVE!K67)</f>
        <v>1.1267855902013433</v>
      </c>
      <c r="L67" s="81">
        <f>IF(ISBLANK($C$3),Start!L67,MOVE!L67)</f>
        <v>1.1267460439629424</v>
      </c>
      <c r="M67" s="81">
        <f>IF(ISBLANK($C$3),Start!M67,MOVE!M67)</f>
        <v>1.1267534110246313</v>
      </c>
      <c r="N67" s="81">
        <f>IF(ISBLANK($C$3),Start!N67,MOVE!N67)</f>
        <v>1.1268037719499138</v>
      </c>
      <c r="O67" s="81">
        <f>IF(ISBLANK($C$3),Start!O67,MOVE!O67)</f>
        <v>1.1269039626781425</v>
      </c>
      <c r="P67" s="81">
        <f>IF(ISBLANK($C$3),Start!P67,MOVE!P67)</f>
        <v>1.1270687723399655</v>
      </c>
      <c r="Q67" s="81">
        <f>IF(ISBLANK($C$3),Start!Q67,MOVE!Q67)</f>
        <v>1.1273216831319839</v>
      </c>
      <c r="R67" s="81">
        <f>IF(ISBLANK($C$3),Start!R67,MOVE!R67)</f>
        <v>1.1276969343982099</v>
      </c>
      <c r="S67" s="81">
        <f>IF(ISBLANK($C$3),Start!S67,MOVE!S67)</f>
        <v>1.1282425469731905</v>
      </c>
      <c r="T67" s="81">
        <f>IF(ISBLANK($C$3),Start!T67,MOVE!T67)</f>
        <v>1.1290243720403548</v>
      </c>
      <c r="U67" s="81">
        <f>IF(ISBLANK($C$3),Start!U67,MOVE!U67)</f>
        <v>1.1301313666759025</v>
      </c>
      <c r="V67" s="81">
        <f>IF(ISBLANK($C$3),Start!V67,MOVE!V67)</f>
        <v>1.1316823945255388</v>
      </c>
      <c r="W67" s="81">
        <f>IF(ISBLANK($C$3),Start!W67,MOVE!W67)</f>
        <v>1.1338349685439106</v>
      </c>
      <c r="X67" s="81">
        <f>IF(ISBLANK($C$3),Start!X67,MOVE!X67)</f>
        <v>1.1367965219845646</v>
      </c>
      <c r="Y67" s="81">
        <f>IF(ISBLANK($C$3),Start!Y67,MOVE!Y67)</f>
        <v>1.1408390409237545</v>
      </c>
      <c r="Z67" s="81">
        <f>IF(ISBLANK($C$3),Start!Z67,MOVE!Z67)</f>
        <v>1.1463182522422453</v>
      </c>
      <c r="AA67" s="81">
        <f>IF(ISBLANK($C$3),Start!AA67,MOVE!AA67)</f>
        <v>1.1536990869295067</v>
      </c>
      <c r="AB67" s="81">
        <f>IF(ISBLANK($C$3),Start!AB67,MOVE!AB67)</f>
        <v>1.1635899090814368</v>
      </c>
      <c r="AC67" s="81">
        <f>IF(ISBLANK($C$3),Start!AC67,MOVE!AC67)</f>
        <v>1.1767891441557061</v>
      </c>
      <c r="AD67" s="81">
        <f>IF(ISBLANK($C$3),Start!AD67,MOVE!AD67)</f>
        <v>1.1943496735275523</v>
      </c>
      <c r="AE67" s="81">
        <f>IF(ISBLANK($C$3),Start!AE67,MOVE!AE67)</f>
        <v>1.2176690708024789</v>
      </c>
      <c r="AF67" s="81">
        <f>IF(ISBLANK($C$3),Start!AF67,MOVE!AF67)</f>
        <v>1.2486181395044058</v>
      </c>
      <c r="AG67" s="81">
        <f>IF(ISBLANK($C$3),Start!AG67,MOVE!AG67)</f>
        <v>1.2897275796989591</v>
      </c>
      <c r="AH67" s="81">
        <f>IF(ISBLANK($C$3),Start!AH67,MOVE!AH67)</f>
        <v>1.3444654605078254</v>
      </c>
      <c r="AI67" s="81">
        <f>IF(ISBLANK($C$3),Start!AI67,MOVE!AI67)</f>
        <v>1.4176613999178804</v>
      </c>
      <c r="AJ67" s="81">
        <f>IF(ISBLANK($C$3),Start!AJ67,MOVE!AJ67)</f>
        <v>1.516176850409517</v>
      </c>
      <c r="AK67" s="81">
        <f>IF(ISBLANK($C$3),Start!AK67,MOVE!AK67)</f>
        <v>1.6500054915417184</v>
      </c>
      <c r="AL67" s="81">
        <f>IF(ISBLANK($C$3),Start!AL67,MOVE!AL67)</f>
        <v>1.8341594898658307</v>
      </c>
      <c r="AM67" s="81">
        <f>IF(ISBLANK($C$3),Start!AM67,MOVE!AM67)</f>
        <v>2.0920642470462032</v>
      </c>
      <c r="AN67" s="81">
        <f>IF(ISBLANK($C$3),Start!AN67,MOVE!AN67)</f>
        <v>2.4620173151037728</v>
      </c>
      <c r="AO67" s="81">
        <f>IF(ISBLANK($C$3),Start!AO67,MOVE!AO67)</f>
        <v>3.0103046591767626</v>
      </c>
      <c r="AP67" s="81">
        <f>IF(ISBLANK($C$3),Start!AP67,MOVE!AP67)</f>
        <v>3.8600226073575268</v>
      </c>
      <c r="AQ67" s="82">
        <f>IF(ISBLANK($C$3),Start!AQ67,MOVE!AQ67)</f>
        <v>5.2609829937146708</v>
      </c>
      <c r="AR67" s="93">
        <f>IF(ISBLANK($C$3),Start!AR67,MOVE!AR67)</f>
        <v>7.7823440909294126</v>
      </c>
      <c r="AS67" s="88">
        <f>IF(ISBLANK($C$3),Start!AS67,MOVE!AS67)</f>
        <v>9.009042837943781</v>
      </c>
      <c r="AT67" s="88">
        <f>IF(ISBLANK($C$3),Start!AT67,MOVE!AT67)</f>
        <v>9.5660268918734968</v>
      </c>
      <c r="AU67" s="88">
        <f>IF(ISBLANK($C$3),Start!AU67,MOVE!AU67)</f>
        <v>9.8115793187423161</v>
      </c>
      <c r="AV67" s="88">
        <f>IF(ISBLANK($C$3),Start!AV67,MOVE!AV67)</f>
        <v>9.9184382065151162</v>
      </c>
      <c r="AW67" s="88">
        <f>IF(ISBLANK($C$3),Start!AW67,MOVE!AW67)</f>
        <v>9.9646015116703541</v>
      </c>
      <c r="AX67" s="88">
        <f>IF(ISBLANK($C$3),Start!AX67,MOVE!AX67)</f>
        <v>9.9842978788390457</v>
      </c>
      <c r="AY67" s="89">
        <f>IF(ISBLANK($C$3),Start!AY67,MOVE!AY67)</f>
        <v>9.9922597568563294</v>
      </c>
      <c r="AZ67" s="72">
        <f>IF(ISBLANK($C$3),Start!AZ67,MOVE!AZ67)</f>
        <v>9.99466922239586</v>
      </c>
      <c r="BA67" s="165">
        <v>49</v>
      </c>
      <c r="BB67" s="178"/>
      <c r="BC67" s="175">
        <v>48</v>
      </c>
      <c r="BD67" s="176">
        <v>1440</v>
      </c>
      <c r="BE67" s="177" t="s">
        <v>52</v>
      </c>
      <c r="BF67" s="200" t="str">
        <f t="shared" si="1"/>
        <v>Wait</v>
      </c>
      <c r="BG67" s="189" t="str">
        <f>IF($C$5&lt;$BD67,"Wait",IF($C$5=$BD67,MOVE!$M$10,BG67))</f>
        <v>Wait</v>
      </c>
      <c r="BH67" s="196" t="str">
        <f>IF($C$5&lt;$BD67,"Wait",IF($C$5=$BD67,MOVE!$J$6,BH67))</f>
        <v>Wait</v>
      </c>
      <c r="BI67" s="196" t="str">
        <f>IF($C$5&lt;$BD67,"Wait",IF($C$5=$BD67,MOVE!$J$16,BI67))</f>
        <v>Wait</v>
      </c>
      <c r="BJ67" s="158" t="str">
        <f>IF($C$5&lt;$BD67,"Wait",IF($C$5=$BD67,MOVE!$J$14,BJ67))</f>
        <v>Wait</v>
      </c>
      <c r="BK67" s="262" t="str">
        <f>IF($C$5&lt;$BD67,"Wait",IF($C$5=$BD67,MOVE!$J$15,BK67))</f>
        <v>Wait</v>
      </c>
      <c r="BN67" s="207" t="str">
        <f>IF($C$5&lt;$BD67,"Wait",IF($C$5=$BD67,MOVE!$C$6,BN67))</f>
        <v>Wait</v>
      </c>
      <c r="BO67" s="167" t="str">
        <f>IF($C$5&lt;$BD67,"Wait",IF($C$5=$BD67,MOVE!$F$12,BO67))</f>
        <v>Wait</v>
      </c>
      <c r="BP67" s="158" t="str">
        <f>IF($C$5&lt;$BD67,"Wait",IF($C$5=$BD67,MOVE!$X$6,BP67))</f>
        <v>Wait</v>
      </c>
      <c r="BQ67" s="262" t="str">
        <f>IF($C$5&lt;$BD67,"Wait",IF($C$5=$BD67,MOVE!$AA$12,BQ67))</f>
        <v>Wait</v>
      </c>
    </row>
    <row r="68" spans="2:69" x14ac:dyDescent="0.2">
      <c r="B68" s="34">
        <v>50</v>
      </c>
      <c r="C68" s="73">
        <f>IF(ISBLANK($C$3),Start!C68,MOVE!C68)</f>
        <v>1.112199868168577</v>
      </c>
      <c r="D68" s="70">
        <f>IF(ISBLANK($C$3),Start!D68,MOVE!D68)</f>
        <v>1.1090983488817405</v>
      </c>
      <c r="E68" s="70">
        <f>IF(ISBLANK($C$3),Start!E68,MOVE!E68)</f>
        <v>1.1113183661473476</v>
      </c>
      <c r="F68" s="70">
        <f>IF(ISBLANK($C$3),Start!F68,MOVE!F68)</f>
        <v>1.1152858258756664</v>
      </c>
      <c r="G68" s="70">
        <f>IF(ISBLANK($C$3),Start!G68,MOVE!G68)</f>
        <v>1.1167394230396124</v>
      </c>
      <c r="H68" s="70">
        <f>IF(ISBLANK($C$3),Start!H68,MOVE!H68)</f>
        <v>1.1172873805963222</v>
      </c>
      <c r="I68" s="70">
        <f>IF(ISBLANK($C$3),Start!I68,MOVE!I68)</f>
        <v>1.117514686187796</v>
      </c>
      <c r="J68" s="70">
        <f>IF(ISBLANK($C$3),Start!J68,MOVE!J68)</f>
        <v>1.1176180892563559</v>
      </c>
      <c r="K68" s="70">
        <f>IF(ISBLANK($C$3),Start!K68,MOVE!K68)</f>
        <v>1.117610636470334</v>
      </c>
      <c r="L68" s="70">
        <f>IF(ISBLANK($C$3),Start!L68,MOVE!L68)</f>
        <v>1.1176011576750549</v>
      </c>
      <c r="M68" s="70">
        <f>IF(ISBLANK($C$3),Start!M68,MOVE!M68)</f>
        <v>1.1176180179305921</v>
      </c>
      <c r="N68" s="70">
        <f>IF(ISBLANK($C$3),Start!N68,MOVE!N68)</f>
        <v>1.1176726990204635</v>
      </c>
      <c r="O68" s="70">
        <f>IF(ISBLANK($C$3),Start!O68,MOVE!O68)</f>
        <v>1.1177764425736747</v>
      </c>
      <c r="P68" s="70">
        <f>IF(ISBLANK($C$3),Start!P68,MOVE!P68)</f>
        <v>1.1179456443895175</v>
      </c>
      <c r="Q68" s="70">
        <f>IF(ISBLANK($C$3),Start!Q68,MOVE!Q68)</f>
        <v>1.1182047284865813</v>
      </c>
      <c r="R68" s="70">
        <f>IF(ISBLANK($C$3),Start!R68,MOVE!R68)</f>
        <v>1.1185888373925037</v>
      </c>
      <c r="S68" s="70">
        <f>IF(ISBLANK($C$3),Start!S68,MOVE!S68)</f>
        <v>1.1191470883320311</v>
      </c>
      <c r="T68" s="70">
        <f>IF(ISBLANK($C$3),Start!T68,MOVE!T68)</f>
        <v>1.1199467490035342</v>
      </c>
      <c r="U68" s="70">
        <f>IF(ISBLANK($C$3),Start!U68,MOVE!U68)</f>
        <v>1.12107861516503</v>
      </c>
      <c r="V68" s="70">
        <f>IF(ISBLANK($C$3),Start!V68,MOVE!V68)</f>
        <v>1.1226639109236525</v>
      </c>
      <c r="W68" s="70">
        <f>IF(ISBLANK($C$3),Start!W68,MOVE!W68)</f>
        <v>1.1248631328745071</v>
      </c>
      <c r="X68" s="70">
        <f>IF(ISBLANK($C$3),Start!X68,MOVE!X68)</f>
        <v>1.127887420666321</v>
      </c>
      <c r="Y68" s="70">
        <f>IF(ISBLANK($C$3),Start!Y68,MOVE!Y68)</f>
        <v>1.1320132781507524</v>
      </c>
      <c r="Z68" s="70">
        <f>IF(ISBLANK($C$3),Start!Z68,MOVE!Z68)</f>
        <v>1.1376018241461181</v>
      </c>
      <c r="AA68" s="70">
        <f>IF(ISBLANK($C$3),Start!AA68,MOVE!AA68)</f>
        <v>1.1451242708275875</v>
      </c>
      <c r="AB68" s="70">
        <f>IF(ISBLANK($C$3),Start!AB68,MOVE!AB68)</f>
        <v>1.1551960898615006</v>
      </c>
      <c r="AC68" s="70">
        <f>IF(ISBLANK($C$3),Start!AC68,MOVE!AC68)</f>
        <v>1.1686234601847241</v>
      </c>
      <c r="AD68" s="70">
        <f>IF(ISBLANK($C$3),Start!AD68,MOVE!AD68)</f>
        <v>1.1864673159085573</v>
      </c>
      <c r="AE68" s="70">
        <f>IF(ISBLANK($C$3),Start!AE68,MOVE!AE68)</f>
        <v>1.2101330160951713</v>
      </c>
      <c r="AF68" s="70">
        <f>IF(ISBLANK($C$3),Start!AF68,MOVE!AF68)</f>
        <v>1.2414980465839507</v>
      </c>
      <c r="AG68" s="70">
        <f>IF(ISBLANK($C$3),Start!AG68,MOVE!AG68)</f>
        <v>1.2830975540420013</v>
      </c>
      <c r="AH68" s="70">
        <f>IF(ISBLANK($C$3),Start!AH68,MOVE!AH68)</f>
        <v>1.3384004118953681</v>
      </c>
      <c r="AI68" s="70">
        <f>IF(ISBLANK($C$3),Start!AI68,MOVE!AI68)</f>
        <v>1.4122318293301372</v>
      </c>
      <c r="AJ68" s="70">
        <f>IF(ISBLANK($C$3),Start!AJ68,MOVE!AJ68)</f>
        <v>1.5114421369097812</v>
      </c>
      <c r="AK68" s="70">
        <f>IF(ISBLANK($C$3),Start!AK68,MOVE!AK68)</f>
        <v>1.6460061316392487</v>
      </c>
      <c r="AL68" s="70">
        <f>IF(ISBLANK($C$3),Start!AL68,MOVE!AL68)</f>
        <v>1.8309092460884542</v>
      </c>
      <c r="AM68" s="70">
        <f>IF(ISBLANK($C$3),Start!AM68,MOVE!AM68)</f>
        <v>2.0895436858455576</v>
      </c>
      <c r="AN68" s="70">
        <f>IF(ISBLANK($C$3),Start!AN68,MOVE!AN68)</f>
        <v>2.4601705525444522</v>
      </c>
      <c r="AO68" s="70">
        <f>IF(ISBLANK($C$3),Start!AO68,MOVE!AO68)</f>
        <v>3.009040996758038</v>
      </c>
      <c r="AP68" s="70">
        <f>IF(ISBLANK($C$3),Start!AP68,MOVE!AP68)</f>
        <v>3.8592238186765391</v>
      </c>
      <c r="AQ68" s="70">
        <f>IF(ISBLANK($C$3),Start!AQ68,MOVE!AQ68)</f>
        <v>5.2605150176090127</v>
      </c>
      <c r="AR68" s="70">
        <f>IF(ISBLANK($C$3),Start!AR68,MOVE!AR68)</f>
        <v>7.7820680854930293</v>
      </c>
      <c r="AS68" s="70">
        <f>IF(ISBLANK($C$3),Start!AS68,MOVE!AS68)</f>
        <v>9.0088963014158185</v>
      </c>
      <c r="AT68" s="70">
        <f>IF(ISBLANK($C$3),Start!AT68,MOVE!AT68)</f>
        <v>9.5659509932466911</v>
      </c>
      <c r="AU68" s="70">
        <f>IF(ISBLANK($C$3),Start!AU68,MOVE!AU68)</f>
        <v>9.8115369739872147</v>
      </c>
      <c r="AV68" s="70">
        <f>IF(ISBLANK($C$3),Start!AV68,MOVE!AV68)</f>
        <v>9.9184038357224864</v>
      </c>
      <c r="AW68" s="70">
        <f>IF(ISBLANK($C$3),Start!AW68,MOVE!AW68)</f>
        <v>9.9645416521746846</v>
      </c>
      <c r="AX68" s="70">
        <f>IF(ISBLANK($C$3),Start!AX68,MOVE!AX68)</f>
        <v>9.9841216078461219</v>
      </c>
      <c r="AY68" s="70">
        <f>IF(ISBLANK($C$3),Start!AY68,MOVE!AY68)</f>
        <v>9.9916361220955014</v>
      </c>
      <c r="AZ68" s="90">
        <f>IF(ISBLANK($C$3),Start!AZ68,MOVE!AZ68)</f>
        <v>9.992259749244278</v>
      </c>
      <c r="BA68" s="165">
        <v>50</v>
      </c>
      <c r="BB68" s="178"/>
      <c r="BC68" s="175">
        <v>49</v>
      </c>
      <c r="BD68" s="176">
        <v>1470</v>
      </c>
      <c r="BE68" s="177" t="s">
        <v>53</v>
      </c>
      <c r="BF68" s="203" t="str">
        <f t="shared" si="1"/>
        <v>Wait</v>
      </c>
      <c r="BG68" s="188" t="str">
        <f>IF($C$5&lt;$BD68,"Wait",IF($C$5=$BD68,MOVE!$M$10,BG68))</f>
        <v>Wait</v>
      </c>
      <c r="BH68" s="195" t="str">
        <f>IF($C$5&lt;$BD68,"Wait",IF($C$5=$BD68,MOVE!$J$6,BH68))</f>
        <v>Wait</v>
      </c>
      <c r="BI68" s="195" t="str">
        <f>IF($C$5&lt;$BD68,"Wait",IF($C$5=$BD68,MOVE!$J$16,BI68))</f>
        <v>Wait</v>
      </c>
      <c r="BJ68" s="158" t="str">
        <f>IF($C$5&lt;$BD68,"Wait",IF($C$5=$BD68,MOVE!$J$14,BJ68))</f>
        <v>Wait</v>
      </c>
      <c r="BK68" s="262" t="str">
        <f>IF($C$5&lt;$BD68,"Wait",IF($C$5=$BD68,MOVE!$J$15,BK68))</f>
        <v>Wait</v>
      </c>
      <c r="BN68" s="207" t="str">
        <f>IF($C$5&lt;$BD68,"Wait",IF($C$5=$BD68,MOVE!$C$6,BN68))</f>
        <v>Wait</v>
      </c>
      <c r="BO68" s="167" t="str">
        <f>IF($C$5&lt;$BD68,"Wait",IF($C$5=$BD68,MOVE!$F$12,BO68))</f>
        <v>Wait</v>
      </c>
      <c r="BP68" s="158" t="str">
        <f>IF($C$5&lt;$BD68,"Wait",IF($C$5=$BD68,MOVE!$X$6,BP68))</f>
        <v>Wait</v>
      </c>
      <c r="BQ68" s="262" t="str">
        <f>IF($C$5&lt;$BD68,"Wait",IF($C$5=$BD68,MOVE!$AA$12,BQ68))</f>
        <v>Wait</v>
      </c>
    </row>
    <row r="69" spans="2:69" x14ac:dyDescent="0.2">
      <c r="B69" s="36"/>
      <c r="C69" s="37">
        <v>1</v>
      </c>
      <c r="D69" s="37">
        <v>2</v>
      </c>
      <c r="E69" s="37">
        <v>3</v>
      </c>
      <c r="F69" s="37">
        <v>4</v>
      </c>
      <c r="G69" s="37">
        <v>5</v>
      </c>
      <c r="H69" s="37">
        <v>6</v>
      </c>
      <c r="I69" s="37">
        <v>7</v>
      </c>
      <c r="J69" s="37">
        <v>8</v>
      </c>
      <c r="K69" s="37">
        <v>9</v>
      </c>
      <c r="L69" s="37">
        <v>10</v>
      </c>
      <c r="M69" s="37">
        <v>11</v>
      </c>
      <c r="N69" s="37">
        <v>12</v>
      </c>
      <c r="O69" s="37">
        <v>13</v>
      </c>
      <c r="P69" s="37">
        <v>14</v>
      </c>
      <c r="Q69" s="37">
        <v>15</v>
      </c>
      <c r="R69" s="37">
        <v>16</v>
      </c>
      <c r="S69" s="37">
        <v>17</v>
      </c>
      <c r="T69" s="37">
        <v>18</v>
      </c>
      <c r="U69" s="37">
        <v>19</v>
      </c>
      <c r="V69" s="37">
        <v>20</v>
      </c>
      <c r="W69" s="37">
        <v>21</v>
      </c>
      <c r="X69" s="37">
        <v>22</v>
      </c>
      <c r="Y69" s="37">
        <v>23</v>
      </c>
      <c r="Z69" s="37">
        <v>24</v>
      </c>
      <c r="AA69" s="37">
        <v>25</v>
      </c>
      <c r="AB69" s="37">
        <v>26</v>
      </c>
      <c r="AC69" s="37">
        <v>27</v>
      </c>
      <c r="AD69" s="37">
        <v>28</v>
      </c>
      <c r="AE69" s="37">
        <v>29</v>
      </c>
      <c r="AF69" s="37">
        <v>30</v>
      </c>
      <c r="AG69" s="37">
        <v>31</v>
      </c>
      <c r="AH69" s="37">
        <v>32</v>
      </c>
      <c r="AI69" s="37">
        <v>33</v>
      </c>
      <c r="AJ69" s="37">
        <v>34</v>
      </c>
      <c r="AK69" s="37">
        <v>35</v>
      </c>
      <c r="AL69" s="37">
        <v>36</v>
      </c>
      <c r="AM69" s="37">
        <v>37</v>
      </c>
      <c r="AN69" s="37">
        <v>38</v>
      </c>
      <c r="AO69" s="37">
        <v>39</v>
      </c>
      <c r="AP69" s="37">
        <v>40</v>
      </c>
      <c r="AQ69" s="37">
        <v>41</v>
      </c>
      <c r="AR69" s="37">
        <v>42</v>
      </c>
      <c r="AS69" s="37">
        <v>43</v>
      </c>
      <c r="AT69" s="37">
        <v>44</v>
      </c>
      <c r="AU69" s="37">
        <v>45</v>
      </c>
      <c r="AV69" s="37">
        <v>46</v>
      </c>
      <c r="AW69" s="37">
        <v>47</v>
      </c>
      <c r="AX69" s="37">
        <v>48</v>
      </c>
      <c r="AY69" s="37">
        <v>49</v>
      </c>
      <c r="AZ69" s="37">
        <v>50</v>
      </c>
      <c r="BA69" s="166"/>
      <c r="BB69" s="178"/>
      <c r="BC69" s="175">
        <v>50</v>
      </c>
      <c r="BD69" s="176">
        <v>1500</v>
      </c>
      <c r="BE69" s="177" t="s">
        <v>54</v>
      </c>
      <c r="BF69" s="203" t="str">
        <f t="shared" si="1"/>
        <v>Wait</v>
      </c>
      <c r="BG69" s="188" t="str">
        <f>IF($C$5&lt;$BD69,"Wait",IF($C$5=$BD69,MOVE!$M$10,BG69))</f>
        <v>Wait</v>
      </c>
      <c r="BH69" s="195" t="str">
        <f>IF($C$5&lt;$BD69,"Wait",IF($C$5=$BD69,MOVE!$J$6,BH69))</f>
        <v>Wait</v>
      </c>
      <c r="BI69" s="195" t="str">
        <f>IF($C$5&lt;$BD69,"Wait",IF($C$5=$BD69,MOVE!$J$16,BI69))</f>
        <v>Wait</v>
      </c>
      <c r="BJ69" s="158" t="str">
        <f>IF($C$5&lt;$BD69,"Wait",IF($C$5=$BD69,MOVE!$J$14,BJ69))</f>
        <v>Wait</v>
      </c>
      <c r="BK69" s="262" t="str">
        <f>IF($C$5&lt;$BD69,"Wait",IF($C$5=$BD69,MOVE!$J$15,BK69))</f>
        <v>Wait</v>
      </c>
      <c r="BN69" s="207" t="str">
        <f>IF($C$5&lt;$BD69,"Wait",IF($C$5=$BD69,MOVE!$C$6,BN69))</f>
        <v>Wait</v>
      </c>
      <c r="BO69" s="167" t="str">
        <f>IF($C$5&lt;$BD69,"Wait",IF($C$5=$BD69,MOVE!$F$12,BO69))</f>
        <v>Wait</v>
      </c>
      <c r="BP69" s="158" t="str">
        <f>IF($C$5&lt;$BD69,"Wait",IF($C$5=$BD69,MOVE!$X$6,BP69))</f>
        <v>Wait</v>
      </c>
      <c r="BQ69" s="262" t="str">
        <f>IF($C$5&lt;$BD69,"Wait",IF($C$5=$BD69,MOVE!$AA$12,BQ69))</f>
        <v>Wait</v>
      </c>
    </row>
    <row r="70" spans="2:69" x14ac:dyDescent="0.2">
      <c r="BB70" s="179"/>
      <c r="BC70" s="175">
        <v>51</v>
      </c>
      <c r="BD70" s="176">
        <v>1530</v>
      </c>
      <c r="BE70" s="122" t="s">
        <v>55</v>
      </c>
      <c r="BF70" s="200" t="str">
        <f t="shared" si="1"/>
        <v>Wait</v>
      </c>
      <c r="BG70" s="189" t="str">
        <f>IF($C$5&lt;$BD70,"Wait",IF($C$5=$BD70,MOVE!$M$10,BG70))</f>
        <v>Wait</v>
      </c>
      <c r="BH70" s="196" t="str">
        <f>IF($C$5&lt;$BD70,"Wait",IF($C$5=$BD70,MOVE!$J$6,BH70))</f>
        <v>Wait</v>
      </c>
      <c r="BI70" s="196" t="str">
        <f>IF($C$5&lt;$BD70,"Wait",IF($C$5=$BD70,MOVE!$J$16,BI70))</f>
        <v>Wait</v>
      </c>
      <c r="BJ70" s="158" t="str">
        <f>IF($C$5&lt;$BD70,"Wait",IF($C$5=$BD70,MOVE!$J$14,BJ70))</f>
        <v>Wait</v>
      </c>
      <c r="BK70" s="262" t="str">
        <f>IF($C$5&lt;$BD70,"Wait",IF($C$5=$BD70,MOVE!$J$15,BK70))</f>
        <v>Wait</v>
      </c>
      <c r="BN70" s="207" t="str">
        <f>IF($C$5&lt;$BD70,"Wait",IF($C$5=$BD70,MOVE!$C$6,BN70))</f>
        <v>Wait</v>
      </c>
      <c r="BO70" s="167" t="str">
        <f>IF($C$5&lt;$BD70,"Wait",IF($C$5=$BD70,MOVE!$F$12,BO70))</f>
        <v>Wait</v>
      </c>
      <c r="BP70" s="158" t="str">
        <f>IF($C$5&lt;$BD70,"Wait",IF($C$5=$BD70,MOVE!$X$6,BP70))</f>
        <v>Wait</v>
      </c>
      <c r="BQ70" s="262" t="str">
        <f>IF($C$5&lt;$BD70,"Wait",IF($C$5=$BD70,MOVE!$AA$12,BQ70))</f>
        <v>Wait</v>
      </c>
    </row>
    <row r="71" spans="2:69" x14ac:dyDescent="0.2">
      <c r="BB71" s="179"/>
      <c r="BC71" s="175">
        <v>52</v>
      </c>
      <c r="BD71" s="176">
        <v>1560</v>
      </c>
      <c r="BE71" s="122" t="s">
        <v>56</v>
      </c>
      <c r="BF71" s="200" t="str">
        <f t="shared" si="1"/>
        <v>Wait</v>
      </c>
      <c r="BG71" s="189" t="str">
        <f>IF($C$5&lt;$BD71,"Wait",IF($C$5=$BD71,MOVE!$M$10,BG71))</f>
        <v>Wait</v>
      </c>
      <c r="BH71" s="196" t="str">
        <f>IF($C$5&lt;$BD71,"Wait",IF($C$5=$BD71,MOVE!$J$6,BH71))</f>
        <v>Wait</v>
      </c>
      <c r="BI71" s="196" t="str">
        <f>IF($C$5&lt;$BD71,"Wait",IF($C$5=$BD71,MOVE!$J$16,BI71))</f>
        <v>Wait</v>
      </c>
      <c r="BJ71" s="158" t="str">
        <f>IF($C$5&lt;$BD71,"Wait",IF($C$5=$BD71,MOVE!$J$14,BJ71))</f>
        <v>Wait</v>
      </c>
      <c r="BK71" s="262" t="str">
        <f>IF($C$5&lt;$BD71,"Wait",IF($C$5=$BD71,MOVE!$J$15,BK71))</f>
        <v>Wait</v>
      </c>
      <c r="BN71" s="207" t="str">
        <f>IF($C$5&lt;$BD71,"Wait",IF($C$5=$BD71,MOVE!$C$6,BN71))</f>
        <v>Wait</v>
      </c>
      <c r="BO71" s="167" t="str">
        <f>IF($C$5&lt;$BD71,"Wait",IF($C$5=$BD71,MOVE!$F$12,BO71))</f>
        <v>Wait</v>
      </c>
      <c r="BP71" s="158" t="str">
        <f>IF($C$5&lt;$BD71,"Wait",IF($C$5=$BD71,MOVE!$X$6,BP71))</f>
        <v>Wait</v>
      </c>
      <c r="BQ71" s="262" t="str">
        <f>IF($C$5&lt;$BD71,"Wait",IF($C$5=$BD71,MOVE!$AA$12,BQ71))</f>
        <v>Wait</v>
      </c>
    </row>
    <row r="72" spans="2:69" x14ac:dyDescent="0.2">
      <c r="BB72" s="179"/>
      <c r="BC72" s="175">
        <v>53</v>
      </c>
      <c r="BD72" s="176">
        <v>1590</v>
      </c>
      <c r="BE72" s="122" t="s">
        <v>57</v>
      </c>
      <c r="BF72" s="200" t="str">
        <f t="shared" si="1"/>
        <v>Wait</v>
      </c>
      <c r="BG72" s="189" t="str">
        <f>IF($C$5&lt;$BD72,"Wait",IF($C$5=$BD72,MOVE!$M$10,BG72))</f>
        <v>Wait</v>
      </c>
      <c r="BH72" s="196" t="str">
        <f>IF($C$5&lt;$BD72,"Wait",IF($C$5=$BD72,MOVE!$J$6,BH72))</f>
        <v>Wait</v>
      </c>
      <c r="BI72" s="196" t="str">
        <f>IF($C$5&lt;$BD72,"Wait",IF($C$5=$BD72,MOVE!$J$16,BI72))</f>
        <v>Wait</v>
      </c>
      <c r="BJ72" s="158" t="str">
        <f>IF($C$5&lt;$BD72,"Wait",IF($C$5=$BD72,MOVE!$J$14,BJ72))</f>
        <v>Wait</v>
      </c>
      <c r="BK72" s="262" t="str">
        <f>IF($C$5&lt;$BD72,"Wait",IF($C$5=$BD72,MOVE!$J$15,BK72))</f>
        <v>Wait</v>
      </c>
      <c r="BN72" s="207" t="str">
        <f>IF($C$5&lt;$BD72,"Wait",IF($C$5=$BD72,MOVE!$C$6,BN72))</f>
        <v>Wait</v>
      </c>
      <c r="BO72" s="167" t="str">
        <f>IF($C$5&lt;$BD72,"Wait",IF($C$5=$BD72,MOVE!$F$12,BO72))</f>
        <v>Wait</v>
      </c>
      <c r="BP72" s="158" t="str">
        <f>IF($C$5&lt;$BD72,"Wait",IF($C$5=$BD72,MOVE!$X$6,BP72))</f>
        <v>Wait</v>
      </c>
      <c r="BQ72" s="262" t="str">
        <f>IF($C$5&lt;$BD72,"Wait",IF($C$5=$BD72,MOVE!$AA$12,BQ72))</f>
        <v>Wait</v>
      </c>
    </row>
    <row r="73" spans="2:69" x14ac:dyDescent="0.2">
      <c r="BB73" s="179"/>
      <c r="BC73" s="175">
        <v>54</v>
      </c>
      <c r="BD73" s="176">
        <v>1620</v>
      </c>
      <c r="BE73" s="122" t="s">
        <v>58</v>
      </c>
      <c r="BF73" s="200" t="str">
        <f t="shared" si="1"/>
        <v>Wait</v>
      </c>
      <c r="BG73" s="189" t="str">
        <f>IF($C$5&lt;$BD73,"Wait",IF($C$5=$BD73,MOVE!$M$10,BG73))</f>
        <v>Wait</v>
      </c>
      <c r="BH73" s="196" t="str">
        <f>IF($C$5&lt;$BD73,"Wait",IF($C$5=$BD73,MOVE!$J$6,BH73))</f>
        <v>Wait</v>
      </c>
      <c r="BI73" s="196" t="str">
        <f>IF($C$5&lt;$BD73,"Wait",IF($C$5=$BD73,MOVE!$J$16,BI73))</f>
        <v>Wait</v>
      </c>
      <c r="BJ73" s="158" t="str">
        <f>IF($C$5&lt;$BD73,"Wait",IF($C$5=$BD73,MOVE!$J$14,BJ73))</f>
        <v>Wait</v>
      </c>
      <c r="BK73" s="262" t="str">
        <f>IF($C$5&lt;$BD73,"Wait",IF($C$5=$BD73,MOVE!$J$15,BK73))</f>
        <v>Wait</v>
      </c>
      <c r="BN73" s="207" t="str">
        <f>IF($C$5&lt;$BD73,"Wait",IF($C$5=$BD73,MOVE!$C$6,BN73))</f>
        <v>Wait</v>
      </c>
      <c r="BO73" s="167" t="str">
        <f>IF($C$5&lt;$BD73,"Wait",IF($C$5=$BD73,MOVE!$F$12,BO73))</f>
        <v>Wait</v>
      </c>
      <c r="BP73" s="158" t="str">
        <f>IF($C$5&lt;$BD73,"Wait",IF($C$5=$BD73,MOVE!$X$6,BP73))</f>
        <v>Wait</v>
      </c>
      <c r="BQ73" s="262" t="str">
        <f>IF($C$5&lt;$BD73,"Wait",IF($C$5=$BD73,MOVE!$AA$12,BQ73))</f>
        <v>Wait</v>
      </c>
    </row>
    <row r="74" spans="2:69" x14ac:dyDescent="0.2">
      <c r="AX74" s="3" t="s">
        <v>8</v>
      </c>
      <c r="BB74" s="179"/>
      <c r="BC74" s="175">
        <v>55</v>
      </c>
      <c r="BD74" s="176">
        <v>1650</v>
      </c>
      <c r="BE74" s="122" t="s">
        <v>59</v>
      </c>
      <c r="BF74" s="200" t="str">
        <f t="shared" si="1"/>
        <v>Wait</v>
      </c>
      <c r="BG74" s="168" t="str">
        <f>IF($C$5&lt;$BD74,"Wait",IF($C$5=$BD74,MOVE!$M$10,BG74))</f>
        <v>Wait</v>
      </c>
      <c r="BH74" s="157" t="str">
        <f>IF($C$5&lt;$BD74,"Wait",IF($C$5=$BD74,MOVE!$J$6,BH74))</f>
        <v>Wait</v>
      </c>
      <c r="BI74" s="157" t="str">
        <f>IF($C$5&lt;$BD74,"Wait",IF($C$5=$BD74,MOVE!$J$16,BI74))</f>
        <v>Wait</v>
      </c>
      <c r="BJ74" s="158" t="str">
        <f>IF($C$5&lt;$BD74,"Wait",IF($C$5=$BD74,MOVE!$J$14,BJ74))</f>
        <v>Wait</v>
      </c>
      <c r="BK74" s="262" t="str">
        <f>IF($C$5&lt;$BD74,"Wait",IF($C$5=$BD74,MOVE!$J$15,BK74))</f>
        <v>Wait</v>
      </c>
      <c r="BN74" s="207" t="str">
        <f>IF($C$5&lt;$BD74,"Wait",IF($C$5=$BD74,MOVE!$C$6,BN74))</f>
        <v>Wait</v>
      </c>
      <c r="BO74" s="167" t="str">
        <f>IF($C$5&lt;$BD74,"Wait",IF($C$5=$BD74,MOVE!$F$12,BO74))</f>
        <v>Wait</v>
      </c>
      <c r="BP74" s="158" t="str">
        <f>IF($C$5&lt;$BD74,"Wait",IF($C$5=$BD74,MOVE!$X$6,BP74))</f>
        <v>Wait</v>
      </c>
      <c r="BQ74" s="262" t="str">
        <f>IF($C$5&lt;$BD74,"Wait",IF($C$5=$BD74,MOVE!$AA$12,BQ74))</f>
        <v>Wait</v>
      </c>
    </row>
    <row r="75" spans="2:69" x14ac:dyDescent="0.2">
      <c r="BB75" s="174">
        <v>1967</v>
      </c>
      <c r="BC75" s="175">
        <v>56</v>
      </c>
      <c r="BD75" s="176">
        <v>1680</v>
      </c>
      <c r="BE75" s="122" t="s">
        <v>60</v>
      </c>
      <c r="BF75" s="200" t="str">
        <f t="shared" si="1"/>
        <v>Wait</v>
      </c>
      <c r="BG75" s="168" t="str">
        <f>IF($C$5&lt;$BD75,"Wait",IF($C$5=$BD75,MOVE!$M$10,BG75))</f>
        <v>Wait</v>
      </c>
      <c r="BH75" s="157" t="str">
        <f>IF($C$5&lt;$BD75,"Wait",IF($C$5=$BD75,MOVE!$J$6,BH75))</f>
        <v>Wait</v>
      </c>
      <c r="BI75" s="157" t="str">
        <f>IF($C$5&lt;$BD75,"Wait",IF($C$5=$BD75,MOVE!$J$16,BI75))</f>
        <v>Wait</v>
      </c>
      <c r="BJ75" s="158" t="str">
        <f>IF($C$5&lt;$BD75,"Wait",IF($C$5=$BD75,MOVE!$J$14,BJ75))</f>
        <v>Wait</v>
      </c>
      <c r="BK75" s="262" t="str">
        <f>IF($C$5&lt;$BD75,"Wait",IF($C$5=$BD75,MOVE!$J$15,BK75))</f>
        <v>Wait</v>
      </c>
      <c r="BN75" s="207" t="str">
        <f>IF($C$5&lt;$BD75,"Wait",IF($C$5=$BD75,MOVE!$C$6,BN75))</f>
        <v>Wait</v>
      </c>
      <c r="BO75" s="167" t="str">
        <f>IF($C$5&lt;$BD75,"Wait",IF($C$5=$BD75,MOVE!$F$12,BO75))</f>
        <v>Wait</v>
      </c>
      <c r="BP75" s="158" t="str">
        <f>IF($C$5&lt;$BD75,"Wait",IF($C$5=$BD75,MOVE!$X$6,BP75))</f>
        <v>Wait</v>
      </c>
      <c r="BQ75" s="262" t="str">
        <f>IF($C$5&lt;$BD75,"Wait",IF($C$5=$BD75,MOVE!$AA$12,BQ75))</f>
        <v>Wait</v>
      </c>
    </row>
    <row r="76" spans="2:69" x14ac:dyDescent="0.2">
      <c r="BB76" s="120"/>
      <c r="BC76" s="175">
        <v>57</v>
      </c>
      <c r="BD76" s="176">
        <v>1710</v>
      </c>
      <c r="BE76" s="122" t="s">
        <v>61</v>
      </c>
      <c r="BF76" s="200" t="str">
        <f t="shared" si="1"/>
        <v>Wait</v>
      </c>
      <c r="BG76" s="168" t="str">
        <f>IF($C$5&lt;$BD76,"Wait",IF($C$5=$BD76,MOVE!$M$10,BG76))</f>
        <v>Wait</v>
      </c>
      <c r="BH76" s="157" t="str">
        <f>IF($C$5&lt;$BD76,"Wait",IF($C$5=$BD76,MOVE!$J$6,BH76))</f>
        <v>Wait</v>
      </c>
      <c r="BI76" s="157" t="str">
        <f>IF($C$5&lt;$BD76,"Wait",IF($C$5=$BD76,MOVE!$J$16,BI76))</f>
        <v>Wait</v>
      </c>
      <c r="BJ76" s="158" t="str">
        <f>IF($C$5&lt;$BD76,"Wait",IF($C$5=$BD76,MOVE!$J$14,BJ76))</f>
        <v>Wait</v>
      </c>
      <c r="BK76" s="262" t="str">
        <f>IF($C$5&lt;$BD76,"Wait",IF($C$5=$BD76,MOVE!$J$15,BK76))</f>
        <v>Wait</v>
      </c>
      <c r="BN76" s="207" t="str">
        <f>IF($C$5&lt;$BD76,"Wait",IF($C$5=$BD76,MOVE!$C$6,BN76))</f>
        <v>Wait</v>
      </c>
      <c r="BO76" s="167" t="str">
        <f>IF($C$5&lt;$BD76,"Wait",IF($C$5=$BD76,MOVE!$F$12,BO76))</f>
        <v>Wait</v>
      </c>
      <c r="BP76" s="158" t="str">
        <f>IF($C$5&lt;$BD76,"Wait",IF($C$5=$BD76,MOVE!$X$6,BP76))</f>
        <v>Wait</v>
      </c>
      <c r="BQ76" s="262" t="str">
        <f>IF($C$5&lt;$BD76,"Wait",IF($C$5=$BD76,MOVE!$AA$12,BQ76))</f>
        <v>Wait</v>
      </c>
    </row>
    <row r="77" spans="2:69" x14ac:dyDescent="0.2">
      <c r="BB77" s="120"/>
      <c r="BC77" s="175">
        <v>58</v>
      </c>
      <c r="BD77" s="176">
        <v>1740</v>
      </c>
      <c r="BE77" s="122" t="s">
        <v>62</v>
      </c>
      <c r="BF77" s="200" t="str">
        <f t="shared" si="1"/>
        <v>Wait</v>
      </c>
      <c r="BG77" s="168" t="str">
        <f>IF($C$5&lt;$BD77,"Wait",IF($C$5=$BD77,MOVE!$M$10,BG77))</f>
        <v>Wait</v>
      </c>
      <c r="BH77" s="157" t="str">
        <f>IF($C$5&lt;$BD77,"Wait",IF($C$5=$BD77,MOVE!$J$6,BH77))</f>
        <v>Wait</v>
      </c>
      <c r="BI77" s="157" t="str">
        <f>IF($C$5&lt;$BD77,"Wait",IF($C$5=$BD77,MOVE!$J$16,BI77))</f>
        <v>Wait</v>
      </c>
      <c r="BJ77" s="158" t="str">
        <f>IF($C$5&lt;$BD77,"Wait",IF($C$5=$BD77,MOVE!$J$14,BJ77))</f>
        <v>Wait</v>
      </c>
      <c r="BK77" s="262" t="str">
        <f>IF($C$5&lt;$BD77,"Wait",IF($C$5=$BD77,MOVE!$J$15,BK77))</f>
        <v>Wait</v>
      </c>
      <c r="BN77" s="207" t="str">
        <f>IF($C$5&lt;$BD77,"Wait",IF($C$5=$BD77,MOVE!$C$6,BN77))</f>
        <v>Wait</v>
      </c>
      <c r="BO77" s="167" t="str">
        <f>IF($C$5&lt;$BD77,"Wait",IF($C$5=$BD77,MOVE!$F$12,BO77))</f>
        <v>Wait</v>
      </c>
      <c r="BP77" s="158" t="str">
        <f>IF($C$5&lt;$BD77,"Wait",IF($C$5=$BD77,MOVE!$X$6,BP77))</f>
        <v>Wait</v>
      </c>
      <c r="BQ77" s="262" t="str">
        <f>IF($C$5&lt;$BD77,"Wait",IF($C$5=$BD77,MOVE!$AA$12,BQ77))</f>
        <v>Wait</v>
      </c>
    </row>
    <row r="78" spans="2:69" x14ac:dyDescent="0.2">
      <c r="BB78" s="120"/>
      <c r="BC78" s="175">
        <v>59</v>
      </c>
      <c r="BD78" s="176">
        <v>1770</v>
      </c>
      <c r="BE78" s="122" t="s">
        <v>63</v>
      </c>
      <c r="BF78" s="200" t="str">
        <f t="shared" si="1"/>
        <v>Wait</v>
      </c>
      <c r="BG78" s="168" t="str">
        <f>IF($C$5&lt;$BD78,"Wait",IF($C$5=$BD78,MOVE!$M$10,BG78))</f>
        <v>Wait</v>
      </c>
      <c r="BH78" s="157" t="str">
        <f>IF($C$5&lt;$BD78,"Wait",IF($C$5=$BD78,MOVE!$J$6,BH78))</f>
        <v>Wait</v>
      </c>
      <c r="BI78" s="157" t="str">
        <f>IF($C$5&lt;$BD78,"Wait",IF($C$5=$BD78,MOVE!$J$16,BI78))</f>
        <v>Wait</v>
      </c>
      <c r="BJ78" s="158" t="str">
        <f>IF($C$5&lt;$BD78,"Wait",IF($C$5=$BD78,MOVE!$J$14,BJ78))</f>
        <v>Wait</v>
      </c>
      <c r="BK78" s="262" t="str">
        <f>IF($C$5&lt;$BD78,"Wait",IF($C$5=$BD78,MOVE!$J$15,BK78))</f>
        <v>Wait</v>
      </c>
      <c r="BN78" s="207" t="str">
        <f>IF($C$5&lt;$BD78,"Wait",IF($C$5=$BD78,MOVE!$C$6,BN78))</f>
        <v>Wait</v>
      </c>
      <c r="BO78" s="167" t="str">
        <f>IF($C$5&lt;$BD78,"Wait",IF($C$5=$BD78,MOVE!$F$12,BO78))</f>
        <v>Wait</v>
      </c>
      <c r="BP78" s="158" t="str">
        <f>IF($C$5&lt;$BD78,"Wait",IF($C$5=$BD78,MOVE!$X$6,BP78))</f>
        <v>Wait</v>
      </c>
      <c r="BQ78" s="262" t="str">
        <f>IF($C$5&lt;$BD78,"Wait",IF($C$5=$BD78,MOVE!$AA$12,BQ78))</f>
        <v>Wait</v>
      </c>
    </row>
    <row r="79" spans="2:69" x14ac:dyDescent="0.2">
      <c r="BB79" s="123"/>
      <c r="BC79" s="180">
        <v>60</v>
      </c>
      <c r="BD79" s="181"/>
      <c r="BE79" s="119"/>
      <c r="BF79" s="117"/>
      <c r="BG79" s="181"/>
      <c r="BH79" s="181"/>
      <c r="BI79" s="181"/>
      <c r="BJ79" s="181"/>
      <c r="BK79" s="119"/>
      <c r="BN79" s="117"/>
      <c r="BO79" s="181"/>
      <c r="BP79" s="181"/>
      <c r="BQ79" s="119"/>
    </row>
    <row r="80" spans="2:69" x14ac:dyDescent="0.2">
      <c r="BB80" s="152"/>
      <c r="BC80" s="152"/>
      <c r="BD80" s="152"/>
      <c r="BE80" s="152"/>
      <c r="BF80" s="152"/>
    </row>
    <row r="81" spans="54:58" x14ac:dyDescent="0.2">
      <c r="BB81" s="152"/>
      <c r="BC81" s="152"/>
      <c r="BD81" s="152"/>
      <c r="BE81" s="152"/>
      <c r="BF81" s="152"/>
    </row>
    <row r="82" spans="54:58" x14ac:dyDescent="0.2">
      <c r="BB82" s="152"/>
      <c r="BC82" s="152"/>
      <c r="BD82" s="152"/>
      <c r="BE82" s="152"/>
      <c r="BF82" s="152"/>
    </row>
    <row r="83" spans="54:58" x14ac:dyDescent="0.2">
      <c r="BB83" s="152"/>
      <c r="BC83" s="152"/>
      <c r="BD83" s="152"/>
      <c r="BE83" s="152"/>
      <c r="BF83" s="152"/>
    </row>
    <row r="84" spans="54:58" x14ac:dyDescent="0.2">
      <c r="BB84" s="152"/>
      <c r="BC84" s="152"/>
      <c r="BD84" s="152"/>
      <c r="BE84" s="152"/>
      <c r="BF84" s="152"/>
    </row>
    <row r="85" spans="54:58" x14ac:dyDescent="0.2">
      <c r="BB85" s="152"/>
      <c r="BC85" s="152"/>
      <c r="BD85" s="152"/>
      <c r="BE85" s="152"/>
      <c r="BF85" s="152"/>
    </row>
    <row r="86" spans="54:58" x14ac:dyDescent="0.2">
      <c r="BB86" s="152"/>
      <c r="BC86" s="152"/>
      <c r="BD86" s="152"/>
      <c r="BE86" s="152"/>
      <c r="BF86" s="152"/>
    </row>
    <row r="87" spans="54:58" x14ac:dyDescent="0.2">
      <c r="BB87" s="152"/>
      <c r="BC87" s="152"/>
      <c r="BD87" s="152"/>
      <c r="BE87" s="152"/>
      <c r="BF87" s="152"/>
    </row>
    <row r="88" spans="54:58" x14ac:dyDescent="0.2">
      <c r="BB88" s="152"/>
      <c r="BC88" s="152"/>
      <c r="BD88" s="152"/>
      <c r="BE88" s="152"/>
      <c r="BF88" s="152"/>
    </row>
    <row r="89" spans="54:58" x14ac:dyDescent="0.2">
      <c r="BB89" s="152"/>
      <c r="BC89" s="152"/>
      <c r="BD89" s="152"/>
      <c r="BE89" s="152"/>
      <c r="BF89" s="152"/>
    </row>
    <row r="90" spans="54:58" x14ac:dyDescent="0.2">
      <c r="BB90" s="152"/>
      <c r="BC90" s="152"/>
      <c r="BD90" s="152"/>
      <c r="BE90" s="152"/>
      <c r="BF90" s="152"/>
    </row>
    <row r="91" spans="54:58" x14ac:dyDescent="0.2">
      <c r="BB91" s="152"/>
      <c r="BC91" s="152"/>
      <c r="BD91" s="152"/>
      <c r="BE91" s="152"/>
      <c r="BF91" s="152"/>
    </row>
    <row r="92" spans="54:58" x14ac:dyDescent="0.2">
      <c r="BB92" s="152"/>
      <c r="BC92" s="152"/>
      <c r="BD92" s="152"/>
      <c r="BE92" s="152"/>
      <c r="BF92" s="152"/>
    </row>
    <row r="93" spans="54:58" x14ac:dyDescent="0.2">
      <c r="BB93" s="152"/>
      <c r="BC93" s="152"/>
      <c r="BD93" s="152"/>
      <c r="BE93" s="152"/>
      <c r="BF93" s="152"/>
    </row>
    <row r="94" spans="54:58" x14ac:dyDescent="0.2">
      <c r="BB94" s="152"/>
      <c r="BC94" s="152"/>
      <c r="BD94" s="152"/>
      <c r="BE94" s="152"/>
      <c r="BF94" s="152"/>
    </row>
    <row r="95" spans="54:58" x14ac:dyDescent="0.2">
      <c r="BB95" s="152"/>
      <c r="BC95" s="152"/>
      <c r="BD95" s="152"/>
      <c r="BE95" s="152"/>
      <c r="BF95" s="152"/>
    </row>
    <row r="96" spans="54:58" x14ac:dyDescent="0.2">
      <c r="BB96" s="152"/>
      <c r="BC96" s="152"/>
      <c r="BD96" s="152"/>
      <c r="BE96" s="152"/>
      <c r="BF96" s="152"/>
    </row>
    <row r="97" spans="54:58" x14ac:dyDescent="0.2">
      <c r="BB97" s="152"/>
      <c r="BC97" s="152"/>
      <c r="BD97" s="152"/>
      <c r="BE97" s="152"/>
      <c r="BF97" s="152"/>
    </row>
    <row r="98" spans="54:58" x14ac:dyDescent="0.2">
      <c r="BB98" s="152"/>
      <c r="BC98" s="152"/>
      <c r="BD98" s="152"/>
      <c r="BE98" s="152"/>
      <c r="BF98" s="152"/>
    </row>
    <row r="99" spans="54:58" x14ac:dyDescent="0.2">
      <c r="BB99" s="152"/>
      <c r="BC99" s="152"/>
      <c r="BD99" s="152"/>
      <c r="BE99" s="152"/>
      <c r="BF99" s="152"/>
    </row>
    <row r="100" spans="54:58" x14ac:dyDescent="0.2">
      <c r="BB100" s="152"/>
      <c r="BC100" s="152"/>
      <c r="BD100" s="152"/>
      <c r="BE100" s="152"/>
      <c r="BF100" s="152"/>
    </row>
    <row r="101" spans="54:58" x14ac:dyDescent="0.2">
      <c r="BB101" s="152"/>
      <c r="BC101" s="152"/>
      <c r="BD101" s="152"/>
      <c r="BE101" s="152"/>
      <c r="BF101" s="152"/>
    </row>
    <row r="102" spans="54:58" x14ac:dyDescent="0.2">
      <c r="BB102" s="152"/>
      <c r="BC102" s="152"/>
      <c r="BD102" s="152"/>
      <c r="BE102" s="152"/>
      <c r="BF102" s="152"/>
    </row>
    <row r="103" spans="54:58" x14ac:dyDescent="0.2">
      <c r="BB103" s="152"/>
      <c r="BC103" s="152"/>
      <c r="BD103" s="152"/>
      <c r="BE103" s="152"/>
      <c r="BF103" s="152"/>
    </row>
    <row r="104" spans="54:58" x14ac:dyDescent="0.2">
      <c r="BB104" s="152"/>
      <c r="BC104" s="152"/>
      <c r="BD104" s="152"/>
      <c r="BE104" s="152"/>
      <c r="BF104" s="152"/>
    </row>
    <row r="105" spans="54:58" x14ac:dyDescent="0.2">
      <c r="BB105" s="152"/>
      <c r="BC105" s="152"/>
      <c r="BD105" s="152"/>
      <c r="BE105" s="152"/>
      <c r="BF105" s="152"/>
    </row>
    <row r="106" spans="54:58" x14ac:dyDescent="0.2">
      <c r="BB106" s="152"/>
      <c r="BC106" s="152"/>
      <c r="BD106" s="152"/>
      <c r="BE106" s="152"/>
      <c r="BF106" s="152"/>
    </row>
    <row r="107" spans="54:58" x14ac:dyDescent="0.2">
      <c r="BB107" s="152"/>
      <c r="BC107" s="152"/>
      <c r="BD107" s="152"/>
      <c r="BE107" s="152"/>
      <c r="BF107" s="152"/>
    </row>
  </sheetData>
  <pageMargins left="0.75" right="0.75" top="1" bottom="1" header="0.5" footer="0.5"/>
  <pageSetup paperSize="9" orientation="portrait" horizontalDpi="4294967293" verticalDpi="144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Line="0" autoPict="0" macro="[0]!_xludf.Run">
                <anchor moveWithCells="1" sizeWithCells="1">
                  <from>
                    <xdr:col>10</xdr:col>
                    <xdr:colOff>0</xdr:colOff>
                    <xdr:row>8</xdr:row>
                    <xdr:rowOff>144780</xdr:rowOff>
                  </from>
                  <to>
                    <xdr:col>11</xdr:col>
                    <xdr:colOff>274320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Line="0" autoPict="0" macro="[0]!Reset">
                <anchor moveWithCells="1" sizeWithCells="1">
                  <from>
                    <xdr:col>12</xdr:col>
                    <xdr:colOff>251460</xdr:colOff>
                    <xdr:row>9</xdr:row>
                    <xdr:rowOff>0</xdr:rowOff>
                  </from>
                  <to>
                    <xdr:col>14</xdr:col>
                    <xdr:colOff>68580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69"/>
  <sheetViews>
    <sheetView zoomScale="75" workbookViewId="0">
      <selection activeCell="T16" sqref="T16"/>
    </sheetView>
  </sheetViews>
  <sheetFormatPr defaultColWidth="9.109375" defaultRowHeight="10.199999999999999" x14ac:dyDescent="0.2"/>
  <cols>
    <col min="1" max="53" width="4.6640625" style="3" customWidth="1"/>
    <col min="54" max="16384" width="9.109375" style="3"/>
  </cols>
  <sheetData>
    <row r="1" spans="1:43" ht="13.2" x14ac:dyDescent="0.25">
      <c r="A1" s="3" t="s">
        <v>4</v>
      </c>
      <c r="M1" s="267" t="s">
        <v>85</v>
      </c>
      <c r="N1" s="268"/>
      <c r="T1" s="267" t="s">
        <v>10</v>
      </c>
      <c r="U1" s="268"/>
    </row>
    <row r="2" spans="1:43" ht="13.2" x14ac:dyDescent="0.25">
      <c r="A2" s="20" t="s">
        <v>17</v>
      </c>
      <c r="B2" s="21"/>
      <c r="C2" s="21"/>
      <c r="D2" s="22"/>
      <c r="H2" s="23"/>
      <c r="I2" s="8" t="s">
        <v>18</v>
      </c>
      <c r="J2" s="8"/>
      <c r="K2" s="9"/>
      <c r="M2" s="269" t="s">
        <v>84</v>
      </c>
      <c r="N2" s="270"/>
      <c r="O2" s="98"/>
      <c r="P2" s="99" t="s">
        <v>43</v>
      </c>
      <c r="Q2" s="99"/>
      <c r="R2" s="100"/>
      <c r="T2" s="269"/>
      <c r="U2" s="270"/>
      <c r="V2" s="11"/>
      <c r="W2" s="27" t="s">
        <v>20</v>
      </c>
      <c r="X2" s="17"/>
      <c r="Y2" s="7"/>
      <c r="AA2" s="11" t="s">
        <v>23</v>
      </c>
      <c r="AB2" s="126"/>
      <c r="AC2" s="126"/>
      <c r="AD2" s="127"/>
      <c r="AK2" s="69"/>
      <c r="AL2" s="69"/>
      <c r="AM2" s="69"/>
      <c r="AN2" s="69"/>
      <c r="AO2" s="69"/>
      <c r="AP2" s="69"/>
      <c r="AQ2" s="69"/>
    </row>
    <row r="3" spans="1:43" ht="13.2" x14ac:dyDescent="0.25">
      <c r="A3" s="18"/>
      <c r="C3" s="24" t="s">
        <v>0</v>
      </c>
      <c r="D3" s="16" t="s">
        <v>5</v>
      </c>
      <c r="H3" s="10"/>
      <c r="L3" s="240" t="s">
        <v>86</v>
      </c>
      <c r="M3" s="281">
        <f>-0.1575/30</f>
        <v>-5.2500000000000003E-3</v>
      </c>
      <c r="N3" s="282"/>
      <c r="O3" s="101"/>
      <c r="S3" s="240" t="s">
        <v>92</v>
      </c>
      <c r="T3" s="271">
        <f>Q$15*(1-(J11/Q$14))</f>
        <v>-69142.5</v>
      </c>
      <c r="U3" s="272"/>
      <c r="V3" s="25"/>
      <c r="AA3" s="128" t="s">
        <v>24</v>
      </c>
      <c r="AB3" s="129"/>
      <c r="AC3" s="129"/>
      <c r="AD3" s="130"/>
      <c r="AK3" s="69"/>
      <c r="AL3" s="60" t="s">
        <v>16</v>
      </c>
      <c r="AM3" s="61"/>
      <c r="AN3" s="61"/>
      <c r="AO3" s="61"/>
      <c r="AP3" s="62"/>
      <c r="AQ3" s="69"/>
    </row>
    <row r="4" spans="1:43" ht="13.2" x14ac:dyDescent="0.25">
      <c r="A4" s="18"/>
      <c r="C4" s="24" t="s">
        <v>2</v>
      </c>
      <c r="D4" s="16">
        <f>[1]N!C5</f>
        <v>0</v>
      </c>
      <c r="H4" s="10"/>
      <c r="L4" s="18" t="s">
        <v>87</v>
      </c>
      <c r="M4" s="283">
        <f>-0.0707/30</f>
        <v>-2.3566666666666666E-3</v>
      </c>
      <c r="N4" s="280"/>
      <c r="O4" s="101"/>
      <c r="S4" s="18" t="s">
        <v>93</v>
      </c>
      <c r="T4" s="276">
        <f>Q$15*(1-(J12/Q$14))</f>
        <v>-31037.299999999996</v>
      </c>
      <c r="U4" s="277"/>
      <c r="V4" s="25"/>
      <c r="AA4" s="128" t="s">
        <v>25</v>
      </c>
      <c r="AB4" s="129"/>
      <c r="AC4" s="129"/>
      <c r="AD4" s="130"/>
      <c r="AK4" s="69"/>
      <c r="AL4" s="54"/>
      <c r="AM4" s="55"/>
      <c r="AN4" s="55"/>
      <c r="AO4" s="55"/>
      <c r="AP4" s="56"/>
      <c r="AQ4" s="69"/>
    </row>
    <row r="5" spans="1:43" ht="13.2" x14ac:dyDescent="0.25">
      <c r="A5" s="18"/>
      <c r="H5" s="10"/>
      <c r="L5" s="19" t="s">
        <v>88</v>
      </c>
      <c r="M5" s="284">
        <f>M4/3</f>
        <v>-7.8555555555555551E-4</v>
      </c>
      <c r="N5" s="285"/>
      <c r="O5" s="101"/>
      <c r="S5" s="19" t="s">
        <v>94</v>
      </c>
      <c r="T5" s="274">
        <f>Q$15*(1-(J13/Q$14))</f>
        <v>-10345.766666666666</v>
      </c>
      <c r="U5" s="275"/>
      <c r="V5" s="25"/>
      <c r="AA5" s="128" t="s">
        <v>26</v>
      </c>
      <c r="AB5" s="129"/>
      <c r="AC5" s="129"/>
      <c r="AD5" s="130"/>
      <c r="AK5" s="69"/>
      <c r="AL5" s="54"/>
      <c r="AM5" s="55"/>
      <c r="AN5" s="55"/>
      <c r="AO5" s="55"/>
      <c r="AP5" s="56"/>
      <c r="AQ5" s="69"/>
    </row>
    <row r="6" spans="1:43" ht="11.4" x14ac:dyDescent="0.2">
      <c r="A6" s="18"/>
      <c r="B6" s="148" t="s">
        <v>6</v>
      </c>
      <c r="C6" s="243">
        <f>-LN(1-C16)/Q10</f>
        <v>2.4924212492354104E-3</v>
      </c>
      <c r="D6" s="244"/>
      <c r="H6" s="10"/>
      <c r="I6" s="148" t="s">
        <v>6</v>
      </c>
      <c r="J6" s="246">
        <f>-LN(1-J16)/Q10</f>
        <v>2.4924212492354104E-3</v>
      </c>
      <c r="K6" s="247"/>
      <c r="O6" s="101"/>
      <c r="P6" s="148" t="s">
        <v>6</v>
      </c>
      <c r="Q6" s="248">
        <v>0</v>
      </c>
      <c r="R6" s="249"/>
      <c r="U6" s="2"/>
      <c r="V6" s="25"/>
      <c r="W6" s="148" t="s">
        <v>6</v>
      </c>
      <c r="X6" s="251">
        <f>-LN(1-X16)/Q10</f>
        <v>2.4924212492354104E-3</v>
      </c>
      <c r="Y6" s="252"/>
      <c r="AA6" s="128" t="s">
        <v>27</v>
      </c>
      <c r="AB6" s="129"/>
      <c r="AC6" s="129"/>
      <c r="AD6" s="130"/>
      <c r="AH6" s="2"/>
      <c r="AK6" s="69"/>
      <c r="AL6" s="54"/>
      <c r="AM6" s="55"/>
      <c r="AN6" s="55"/>
      <c r="AO6" s="55"/>
      <c r="AP6" s="56"/>
      <c r="AQ6" s="69"/>
    </row>
    <row r="7" spans="1:43" ht="11.4" x14ac:dyDescent="0.2">
      <c r="A7" s="18"/>
      <c r="B7" s="228" t="s">
        <v>13</v>
      </c>
      <c r="C7" s="36">
        <v>0.02</v>
      </c>
      <c r="D7" s="245"/>
      <c r="H7" s="10"/>
      <c r="I7" s="228" t="s">
        <v>13</v>
      </c>
      <c r="J7" s="229">
        <v>0.02</v>
      </c>
      <c r="K7" s="239"/>
      <c r="O7" s="101"/>
      <c r="P7" s="228" t="s">
        <v>13</v>
      </c>
      <c r="Q7" s="80">
        <v>0.02</v>
      </c>
      <c r="R7" s="250"/>
      <c r="V7" s="25"/>
      <c r="W7" s="228" t="s">
        <v>13</v>
      </c>
      <c r="X7" s="93">
        <v>0.02</v>
      </c>
      <c r="Y7" s="133"/>
      <c r="AA7" s="128"/>
      <c r="AB7" s="129"/>
      <c r="AC7" s="129"/>
      <c r="AD7" s="130"/>
      <c r="AK7" s="69"/>
      <c r="AL7" s="54"/>
      <c r="AM7" s="55"/>
      <c r="AN7" s="55"/>
      <c r="AO7" s="55"/>
      <c r="AP7" s="56"/>
      <c r="AQ7" s="69"/>
    </row>
    <row r="8" spans="1:43" ht="11.4" x14ac:dyDescent="0.2">
      <c r="A8" s="18"/>
      <c r="H8" s="10"/>
      <c r="O8" s="101"/>
      <c r="V8" s="25"/>
      <c r="AA8" s="131"/>
      <c r="AB8" s="132"/>
      <c r="AC8" s="132"/>
      <c r="AD8" s="133"/>
      <c r="AK8" s="69"/>
      <c r="AL8" s="54"/>
      <c r="AM8" s="55"/>
      <c r="AN8" s="55"/>
      <c r="AO8" s="55"/>
      <c r="AP8" s="56"/>
      <c r="AQ8" s="69"/>
    </row>
    <row r="9" spans="1:43" ht="11.4" x14ac:dyDescent="0.2">
      <c r="A9" s="18"/>
      <c r="H9" s="10"/>
      <c r="K9" s="40"/>
      <c r="L9" s="114" t="s">
        <v>96</v>
      </c>
      <c r="M9" s="253"/>
      <c r="O9" s="101"/>
      <c r="P9" s="114" t="s">
        <v>81</v>
      </c>
      <c r="Q9" s="234"/>
      <c r="R9" s="234"/>
      <c r="S9" s="234"/>
      <c r="T9" s="116"/>
      <c r="V9" s="25"/>
      <c r="AK9" s="69"/>
      <c r="AL9" s="54"/>
      <c r="AM9" s="55"/>
      <c r="AN9" s="55"/>
      <c r="AO9" s="55"/>
      <c r="AP9" s="56"/>
      <c r="AQ9" s="69"/>
    </row>
    <row r="10" spans="1:43" ht="13.2" x14ac:dyDescent="0.25">
      <c r="A10" s="18"/>
      <c r="H10" s="10"/>
      <c r="J10" s="267" t="s">
        <v>95</v>
      </c>
      <c r="K10" s="286"/>
      <c r="L10" s="117" t="s">
        <v>97</v>
      </c>
      <c r="M10" s="254">
        <f>IF(AD14&lt;840,M11,IF(AD14&lt;1320,M11+90,M11))</f>
        <v>2195</v>
      </c>
      <c r="O10" s="101"/>
      <c r="P10" s="220" t="s">
        <v>36</v>
      </c>
      <c r="Q10" s="150">
        <v>7</v>
      </c>
      <c r="R10" s="150" t="s">
        <v>80</v>
      </c>
      <c r="S10" s="150">
        <v>3</v>
      </c>
      <c r="T10" s="219"/>
      <c r="V10" s="25"/>
      <c r="AC10" s="114"/>
      <c r="AD10" s="115" t="s">
        <v>21</v>
      </c>
      <c r="AE10" s="116"/>
      <c r="AK10" s="69"/>
      <c r="AL10" s="54"/>
      <c r="AM10" s="55"/>
      <c r="AN10" s="55"/>
      <c r="AO10" s="55"/>
      <c r="AP10" s="56"/>
      <c r="AQ10" s="69"/>
    </row>
    <row r="11" spans="1:43" ht="13.2" x14ac:dyDescent="0.25">
      <c r="A11" s="18"/>
      <c r="E11" s="148" t="s">
        <v>40</v>
      </c>
      <c r="F11" s="224">
        <f>IF(AD14=0,Q15,F12)</f>
        <v>2195</v>
      </c>
      <c r="H11" s="10"/>
      <c r="I11" s="240" t="s">
        <v>89</v>
      </c>
      <c r="J11" s="278">
        <f>Q14-M3</f>
        <v>5.4166666666666669E-3</v>
      </c>
      <c r="K11" s="279"/>
      <c r="L11" s="114" t="s">
        <v>40</v>
      </c>
      <c r="M11" s="226">
        <f>IF(AD14=0,Q15,M12)</f>
        <v>2195</v>
      </c>
      <c r="O11" s="101"/>
      <c r="P11" s="220" t="s">
        <v>37</v>
      </c>
      <c r="Q11" s="150">
        <v>0.25</v>
      </c>
      <c r="R11" s="150" t="s">
        <v>38</v>
      </c>
      <c r="S11" s="150">
        <v>541</v>
      </c>
      <c r="T11" s="219"/>
      <c r="V11" s="25"/>
      <c r="Z11" s="148" t="s">
        <v>40</v>
      </c>
      <c r="AA11" s="241">
        <f>IF(AD14=0,Q15,AA12)</f>
        <v>2195</v>
      </c>
      <c r="AC11" s="117"/>
      <c r="AD11" s="118" t="s">
        <v>22</v>
      </c>
      <c r="AE11" s="119"/>
      <c r="AK11" s="69"/>
      <c r="AL11" s="63"/>
      <c r="AM11" s="64"/>
      <c r="AN11" s="64"/>
      <c r="AO11" s="64"/>
      <c r="AP11" s="65"/>
      <c r="AQ11" s="69"/>
    </row>
    <row r="12" spans="1:43" ht="13.2" x14ac:dyDescent="0.25">
      <c r="A12" s="18"/>
      <c r="E12" s="228" t="s">
        <v>48</v>
      </c>
      <c r="F12" s="225">
        <f>F11+(C14*F11*(1-(F11/C15)))</f>
        <v>2195</v>
      </c>
      <c r="H12" s="10"/>
      <c r="I12" s="18" t="s">
        <v>90</v>
      </c>
      <c r="J12" s="278">
        <f>Q14-M4</f>
        <v>2.5233333333333332E-3</v>
      </c>
      <c r="K12" s="280"/>
      <c r="L12" s="117" t="s">
        <v>48</v>
      </c>
      <c r="M12" s="227">
        <f>M11+(J14*M11*(1-(M11/J15)))+(Q16*(F11-M11))</f>
        <v>2183.1104166666669</v>
      </c>
      <c r="N12" s="238"/>
      <c r="O12" s="101"/>
      <c r="P12" s="235" t="s">
        <v>77</v>
      </c>
      <c r="Q12" s="236"/>
      <c r="R12" s="236"/>
      <c r="S12" s="236"/>
      <c r="T12" s="237"/>
      <c r="V12" s="25"/>
      <c r="Z12" s="228" t="s">
        <v>48</v>
      </c>
      <c r="AA12" s="242">
        <f>AA11+(X14*AA11*(1-(AA11/X15)))</f>
        <v>2195</v>
      </c>
      <c r="AC12" s="134"/>
      <c r="AD12" s="135"/>
      <c r="AE12" s="136"/>
      <c r="AK12" s="69"/>
      <c r="AL12" s="69"/>
      <c r="AM12" s="69"/>
      <c r="AN12" s="69"/>
      <c r="AO12" s="69"/>
      <c r="AP12" s="69"/>
      <c r="AQ12" s="69"/>
    </row>
    <row r="13" spans="1:43" x14ac:dyDescent="0.2">
      <c r="A13" s="18"/>
      <c r="E13" s="204" t="s">
        <v>49</v>
      </c>
      <c r="F13" s="204"/>
      <c r="G13" s="205"/>
      <c r="H13" s="10"/>
      <c r="I13" s="19" t="s">
        <v>91</v>
      </c>
      <c r="J13" s="263">
        <f>Q14-M5</f>
        <v>9.5222222222222214E-4</v>
      </c>
      <c r="K13" s="264"/>
      <c r="L13" s="204" t="s">
        <v>49</v>
      </c>
      <c r="M13" s="204"/>
      <c r="N13" s="205"/>
      <c r="O13" s="101"/>
      <c r="P13" s="235" t="s">
        <v>78</v>
      </c>
      <c r="Q13" s="236"/>
      <c r="R13" s="236"/>
      <c r="S13" s="236"/>
      <c r="T13" s="237"/>
      <c r="V13" s="25"/>
      <c r="Z13" s="204" t="s">
        <v>49</v>
      </c>
      <c r="AA13" s="204"/>
      <c r="AB13" s="205"/>
      <c r="AC13" s="120"/>
      <c r="AD13" s="137"/>
      <c r="AE13" s="122"/>
    </row>
    <row r="14" spans="1:43" ht="13.2" x14ac:dyDescent="0.25">
      <c r="A14" s="18"/>
      <c r="B14" s="231" t="s">
        <v>79</v>
      </c>
      <c r="C14" s="302">
        <f>IF($AD$14&lt;1110,0,$M5)</f>
        <v>0</v>
      </c>
      <c r="D14" s="303"/>
      <c r="H14" s="10"/>
      <c r="I14" s="232" t="s">
        <v>79</v>
      </c>
      <c r="J14" s="295">
        <f>IF($AD$14&lt;60,M3,IF($AD$14&lt;720,M4,M5))</f>
        <v>-5.2500000000000003E-3</v>
      </c>
      <c r="K14" s="296"/>
      <c r="O14" s="101"/>
      <c r="P14" s="223" t="s">
        <v>9</v>
      </c>
      <c r="Q14" s="265">
        <f>0.005/30</f>
        <v>1.6666666666666666E-4</v>
      </c>
      <c r="R14" s="266"/>
      <c r="S14" s="218" t="s">
        <v>83</v>
      </c>
      <c r="T14" s="219"/>
      <c r="V14" s="25"/>
      <c r="W14" s="231" t="s">
        <v>79</v>
      </c>
      <c r="X14" s="289">
        <f>IF($AD$14&lt;1110,0,$M5)</f>
        <v>0</v>
      </c>
      <c r="Y14" s="290"/>
      <c r="AC14" s="120"/>
      <c r="AD14" s="39">
        <f>IF(N!C3&lt;&gt;"Y",0,AD14+1)</f>
        <v>0</v>
      </c>
      <c r="AE14" s="122"/>
    </row>
    <row r="15" spans="1:43" ht="13.2" x14ac:dyDescent="0.25">
      <c r="A15" s="18"/>
      <c r="B15" s="232" t="s">
        <v>10</v>
      </c>
      <c r="C15" s="300">
        <f>IF($AD$14&lt;1110,$Q15,$T5)</f>
        <v>2195</v>
      </c>
      <c r="D15" s="301"/>
      <c r="H15" s="10"/>
      <c r="I15" s="232" t="s">
        <v>10</v>
      </c>
      <c r="J15" s="295">
        <f>IF($AD$14&lt;60,T3,IF($AD$14&lt;720,T4,T5))</f>
        <v>-69142.5</v>
      </c>
      <c r="K15" s="299"/>
      <c r="O15" s="101"/>
      <c r="P15" s="223" t="s">
        <v>14</v>
      </c>
      <c r="Q15" s="150">
        <v>2195</v>
      </c>
      <c r="R15" s="150"/>
      <c r="S15" s="218"/>
      <c r="T15" s="219"/>
      <c r="V15" s="25"/>
      <c r="W15" s="232" t="s">
        <v>10</v>
      </c>
      <c r="X15" s="297">
        <f>IF($AD$14&lt;1110,$Q15,$T5)</f>
        <v>2195</v>
      </c>
      <c r="Y15" s="298"/>
      <c r="AC15" s="120"/>
      <c r="AD15" s="121"/>
      <c r="AE15" s="122"/>
    </row>
    <row r="16" spans="1:43" ht="13.2" x14ac:dyDescent="0.25">
      <c r="A16" s="19"/>
      <c r="B16" s="233" t="s">
        <v>39</v>
      </c>
      <c r="C16" s="287">
        <f>EXP(-(Q10-S10)*Q11*F11/S11)</f>
        <v>1.7295632017420064E-2</v>
      </c>
      <c r="D16" s="288"/>
      <c r="E16" s="204" t="s">
        <v>42</v>
      </c>
      <c r="F16" s="204"/>
      <c r="G16" s="204"/>
      <c r="H16" s="12"/>
      <c r="I16" s="233" t="s">
        <v>39</v>
      </c>
      <c r="J16" s="293">
        <f>EXP(-(Q10-S10)*Q11*M10/S11)</f>
        <v>1.7295632017420064E-2</v>
      </c>
      <c r="K16" s="294"/>
      <c r="L16" s="204" t="s">
        <v>42</v>
      </c>
      <c r="M16" s="204"/>
      <c r="N16" s="204"/>
      <c r="O16" s="102"/>
      <c r="P16" s="230" t="s">
        <v>82</v>
      </c>
      <c r="Q16" s="273">
        <v>5.0000000000000001E-4</v>
      </c>
      <c r="R16" s="273"/>
      <c r="S16" s="221"/>
      <c r="T16" s="222"/>
      <c r="V16" s="26"/>
      <c r="W16" s="233" t="s">
        <v>39</v>
      </c>
      <c r="X16" s="291">
        <f>EXP(-(Q10-S10)*Q11*AA11/S11)</f>
        <v>1.7295632017420064E-2</v>
      </c>
      <c r="Y16" s="292"/>
      <c r="Z16" s="204" t="s">
        <v>42</v>
      </c>
      <c r="AA16" s="204"/>
      <c r="AB16" s="204"/>
      <c r="AC16" s="123"/>
      <c r="AD16" s="124"/>
      <c r="AE16" s="125"/>
    </row>
    <row r="18" spans="2:53" x14ac:dyDescent="0.2">
      <c r="B18" s="31"/>
      <c r="C18" s="32">
        <v>1</v>
      </c>
      <c r="D18" s="32">
        <v>2</v>
      </c>
      <c r="E18" s="32">
        <v>3</v>
      </c>
      <c r="F18" s="32">
        <v>4</v>
      </c>
      <c r="G18" s="32">
        <v>5</v>
      </c>
      <c r="H18" s="32">
        <v>6</v>
      </c>
      <c r="I18" s="32">
        <v>7</v>
      </c>
      <c r="J18" s="32">
        <v>8</v>
      </c>
      <c r="K18" s="32">
        <v>9</v>
      </c>
      <c r="L18" s="32">
        <v>10</v>
      </c>
      <c r="M18" s="32">
        <v>11</v>
      </c>
      <c r="N18" s="32">
        <v>12</v>
      </c>
      <c r="O18" s="32">
        <v>13</v>
      </c>
      <c r="P18" s="32">
        <v>14</v>
      </c>
      <c r="Q18" s="32">
        <v>15</v>
      </c>
      <c r="R18" s="32">
        <v>16</v>
      </c>
      <c r="S18" s="32">
        <v>17</v>
      </c>
      <c r="T18" s="32">
        <v>18</v>
      </c>
      <c r="U18" s="32">
        <v>19</v>
      </c>
      <c r="V18" s="32">
        <v>20</v>
      </c>
      <c r="W18" s="32">
        <v>21</v>
      </c>
      <c r="X18" s="32">
        <v>22</v>
      </c>
      <c r="Y18" s="32">
        <v>23</v>
      </c>
      <c r="Z18" s="32">
        <v>24</v>
      </c>
      <c r="AA18" s="32">
        <v>25</v>
      </c>
      <c r="AB18" s="32">
        <v>26</v>
      </c>
      <c r="AC18" s="32">
        <v>27</v>
      </c>
      <c r="AD18" s="32">
        <v>28</v>
      </c>
      <c r="AE18" s="32">
        <v>29</v>
      </c>
      <c r="AF18" s="32">
        <v>30</v>
      </c>
      <c r="AG18" s="32">
        <v>31</v>
      </c>
      <c r="AH18" s="32">
        <v>32</v>
      </c>
      <c r="AI18" s="32">
        <v>33</v>
      </c>
      <c r="AJ18" s="32">
        <v>34</v>
      </c>
      <c r="AK18" s="32">
        <v>35</v>
      </c>
      <c r="AL18" s="32">
        <v>36</v>
      </c>
      <c r="AM18" s="32">
        <v>37</v>
      </c>
      <c r="AN18" s="32">
        <v>38</v>
      </c>
      <c r="AO18" s="32">
        <v>39</v>
      </c>
      <c r="AP18" s="32">
        <v>40</v>
      </c>
      <c r="AQ18" s="32">
        <v>41</v>
      </c>
      <c r="AR18" s="32">
        <v>42</v>
      </c>
      <c r="AS18" s="32">
        <v>43</v>
      </c>
      <c r="AT18" s="32">
        <v>44</v>
      </c>
      <c r="AU18" s="32">
        <v>45</v>
      </c>
      <c r="AV18" s="32">
        <v>46</v>
      </c>
      <c r="AW18" s="32">
        <v>47</v>
      </c>
      <c r="AX18" s="32">
        <v>48</v>
      </c>
      <c r="AY18" s="32">
        <v>49</v>
      </c>
      <c r="AZ18" s="32">
        <v>50</v>
      </c>
      <c r="BA18" s="33"/>
    </row>
    <row r="19" spans="2:53" x14ac:dyDescent="0.2">
      <c r="B19" s="34">
        <v>1</v>
      </c>
      <c r="C19" s="71">
        <f>N!D20</f>
        <v>99.999999864389579</v>
      </c>
      <c r="D19" s="70">
        <f>N!D19+($C$7*(SUM(N!C19,N!E19,N!D20)-(3*N!D19)))+(Rstar!D19*N!D19*(1-(N!D19/Kstar!D19)))</f>
        <v>99.750757767646775</v>
      </c>
      <c r="E19" s="70">
        <f>N!E19+($C$7*(SUM(N!D19,N!F19,N!E20)-(3*N!E19)))+(Rstar!E19*N!E19*(1-(N!E19/Kstar!E19)))</f>
        <v>99.750757762975724</v>
      </c>
      <c r="F19" s="70">
        <f>N!F19+($C$7*(SUM(N!E19,N!G19,N!F20)-(3*N!F19)))+(Rstar!F19*N!F19*(1-(N!F19/Kstar!F19)))</f>
        <v>99.750757746150597</v>
      </c>
      <c r="G19" s="70">
        <f>N!G19+($C$7*(SUM(N!F19,N!H19,N!G20)-(3*N!G19)))+(Rstar!G19*N!G19*(1-(N!G19/Kstar!G19)))</f>
        <v>99.750757748638463</v>
      </c>
      <c r="H19" s="70">
        <f>N!H19+($C$7*(SUM(N!G19,N!I19,N!H20)-(3*N!H19)))+(Rstar!H19*N!H19*(1-(N!H19/Kstar!H19)))</f>
        <v>99.750757744727409</v>
      </c>
      <c r="I19" s="70">
        <f>N!I19+($C$7*(SUM(N!H19,N!J19,N!I20)-(3*N!I19)))+(Rstar!I19*N!I19*(1-(N!I19/Kstar!I19)))</f>
        <v>99.750757729643041</v>
      </c>
      <c r="J19" s="70">
        <f>N!J19+($C$7*(SUM(N!I19,N!K19,N!J20)-(3*N!J19)))+(Rstar!J19*N!J19*(1-(N!J19/Kstar!J19)))</f>
        <v>99.750757711746544</v>
      </c>
      <c r="K19" s="70">
        <f>N!K19+($C$7*(SUM(N!J19,N!L19,N!K20)-(3*N!K19)))+(Rstar!K19*N!K19*(1-(N!K19/Kstar!K19)))</f>
        <v>99.750757730020467</v>
      </c>
      <c r="L19" s="70">
        <f>N!L19+($C$7*(SUM(N!K19,N!M19,N!L20)-(3*N!L19)))+(Rstar!L19*N!L19*(1-(N!L19/Kstar!L19)))</f>
        <v>99.750757742559614</v>
      </c>
      <c r="M19" s="70">
        <f>N!M19+($C$7*(SUM(N!L19,N!N19,N!M20)-(3*N!M19)))+(Rstar!M19*N!M19*(1-(N!M19/Kstar!M19)))</f>
        <v>99.750757739249295</v>
      </c>
      <c r="N19" s="70">
        <f>N!N19+($C$7*(SUM(N!M19,N!O19,N!N20)-(3*N!N19)))+(Rstar!N19*N!N19*(1-(N!N19/Kstar!N19)))</f>
        <v>99.750757716237601</v>
      </c>
      <c r="O19" s="70">
        <f>N!O19+($C$7*(SUM(N!N19,N!P19,N!O20)-(3*N!O19)))+(Rstar!O19*N!O19*(1-(N!O19/Kstar!O19)))</f>
        <v>99.750757669546672</v>
      </c>
      <c r="P19" s="70">
        <f>N!P19+($C$7*(SUM(N!O19,N!Q19,N!P20)-(3*N!P19)))+(Rstar!P19*N!P19*(1-(N!P19/Kstar!P19)))</f>
        <v>99.750757593370153</v>
      </c>
      <c r="Q19" s="70">
        <f>N!Q19+($C$7*(SUM(N!P19,N!R19,N!Q20)-(3*N!Q19)))+(Rstar!Q19*N!Q19*(1-(N!Q19/Kstar!Q19)))</f>
        <v>99.750757479526271</v>
      </c>
      <c r="R19" s="70">
        <f>N!R19+($C$7*(SUM(N!Q19,N!S19,N!R20)-(3*N!R19)))+(Rstar!R19*N!R19*(1-(N!R19/Kstar!R19)))</f>
        <v>99.750757316726123</v>
      </c>
      <c r="S19" s="70">
        <f>N!S19+($C$7*(SUM(N!R19,N!T19,N!S20)-(3*N!S19)))+(Rstar!S19*N!S19*(1-(N!S19/Kstar!S19)))</f>
        <v>99.750757088051145</v>
      </c>
      <c r="T19" s="70">
        <f>N!T19+($C$7*(SUM(N!S19,N!U19,N!T20)-(3*N!T19)))+(Rstar!T19*N!T19*(1-(N!T19/Kstar!T19)))</f>
        <v>99.750756763144111</v>
      </c>
      <c r="U19" s="70">
        <f>N!U19+($C$7*(SUM(N!T19,N!V19,N!U20)-(3*N!U19)))+(Rstar!U19*N!U19*(1-(N!U19/Kstar!U19)))</f>
        <v>99.750756277140411</v>
      </c>
      <c r="V19" s="70">
        <f>N!V19+($C$7*(SUM(N!U19,N!W19,N!V20)-(3*N!V19)))+(Rstar!V19*N!V19*(1-(N!V19/Kstar!V19)))</f>
        <v>99.750755478438407</v>
      </c>
      <c r="W19" s="70">
        <f>N!W19+($C$7*(SUM(N!V19,N!X19,N!W20)-(3*N!W19)))+(Rstar!W19*N!W19*(1-(N!W19/Kstar!W19)))</f>
        <v>99.750754005051888</v>
      </c>
      <c r="X19" s="70">
        <f>N!X19+($C$7*(SUM(N!W19,N!Y19,N!X20)-(3*N!X19)))+(Rstar!X19*N!X19*(1-(N!X19/Kstar!X19)))</f>
        <v>99.750750997786724</v>
      </c>
      <c r="Y19" s="70">
        <f>N!Y19+($C$7*(SUM(N!X19,N!Z19,N!Y20)-(3*N!Y19)))+(Rstar!Y19*N!Y19*(1-(N!Y19/Kstar!Y19)))</f>
        <v>99.750744438382924</v>
      </c>
      <c r="Z19" s="70">
        <f>N!Z19+($C$7*(SUM(N!Y19,N!AA19,N!Z20)-(3*N!Z19)))+(Rstar!Z19*N!Z19*(1-(N!Z19/Kstar!Z19)))</f>
        <v>99.750729620534869</v>
      </c>
      <c r="AA19" s="70">
        <f>N!AA19+($C$7*(SUM(N!Z19,N!AB19,N!AA20)-(3*N!AA19)))+(Rstar!AA19*N!AA19*(1-(N!AA19/Kstar!AA19)))</f>
        <v>99.750695610336621</v>
      </c>
      <c r="AB19" s="70">
        <f>N!AB19+($C$7*(SUM(N!AA19,N!AC19,N!AB20)-(3*N!AB19)))+(Rstar!AB19*N!AB19*(1-(N!AB19/Kstar!AB19)))</f>
        <v>99.750617042515913</v>
      </c>
      <c r="AC19" s="70">
        <f>N!AC19+($C$7*(SUM(N!AB19,N!AD19,N!AC20)-(3*N!AC19)))+(Rstar!AC19*N!AC19*(1-(N!AC19/Kstar!AC19)))</f>
        <v>99.750435098676419</v>
      </c>
      <c r="AD19" s="70">
        <f>N!AD19+($C$7*(SUM(N!AC19,N!AE19,N!AD20)-(3*N!AD19)))+(Rstar!AD19*N!AD19*(1-(N!AD19/Kstar!AD19)))</f>
        <v>99.75001339952945</v>
      </c>
      <c r="AE19" s="70">
        <f>N!AE19+($C$7*(SUM(N!AD19,N!AF19,N!AE20)-(3*N!AE19)))+(Rstar!AE19*N!AE19*(1-(N!AE19/Kstar!AE19)))</f>
        <v>99.749035729847776</v>
      </c>
      <c r="AF19" s="70">
        <f>N!AF19+($C$7*(SUM(N!AE19,N!AG19,N!AF20)-(3*N!AF19)))+(Rstar!AF19*N!AF19*(1-(N!AF19/Kstar!AF19)))</f>
        <v>99.746768896512322</v>
      </c>
      <c r="AG19" s="70">
        <f>N!AG19+($C$7*(SUM(N!AF19,N!AH19,N!AG20)-(3*N!AG19)))+(Rstar!AG19*N!AG19*(1-(N!AG19/Kstar!AG19)))</f>
        <v>99.741512905351556</v>
      </c>
      <c r="AH19" s="70">
        <f>N!AH19+($C$7*(SUM(N!AG19,N!AI19,N!AH20)-(3*N!AH19)))+(Rstar!AH19*N!AH19*(1-(N!AH19/Kstar!AH19)))</f>
        <v>99.729326319027507</v>
      </c>
      <c r="AI19" s="70">
        <f>N!AI19+($C$7*(SUM(N!AH19,N!AJ19,N!AI20)-(3*N!AI19)))+(Rstar!AI19*N!AI19*(1-(N!AI19/Kstar!AI19)))</f>
        <v>99.701072048694272</v>
      </c>
      <c r="AJ19" s="70">
        <f>N!AJ19+($C$7*(SUM(N!AI19,N!AK19,N!AJ20)-(3*N!AJ19)))+(Rstar!AJ19*N!AJ19*(1-(N!AJ19/Kstar!AJ19)))</f>
        <v>99.635574555264071</v>
      </c>
      <c r="AK19" s="70">
        <f>N!AK19+($C$7*(SUM(N!AJ19,N!AL19,N!AK20)-(3*N!AK19)))+(Rstar!AK19*N!AK19*(1-(N!AK19/Kstar!AK19)))</f>
        <v>99.483791991823608</v>
      </c>
      <c r="AL19" s="70">
        <f>N!AL19+($C$7*(SUM(N!AK19,N!AM19,N!AL20)-(3*N!AL19)))+(Rstar!AL19*N!AL19*(1-(N!AL19/Kstar!AL19)))</f>
        <v>99.132323670531477</v>
      </c>
      <c r="AM19" s="70">
        <f>N!AM19+($C$7*(SUM(N!AL19,N!AN19,N!AM20)-(3*N!AM19)))+(Rstar!AM19*N!AM19*(1-(N!AM19/Kstar!AM19)))</f>
        <v>98.319908281382311</v>
      </c>
      <c r="AN19" s="70">
        <f>N!AN19+($C$7*(SUM(N!AM19,N!AO19,N!AN20)-(3*N!AN19)))+(Rstar!AN19*N!AN19*(1-(N!AN19/Kstar!AN19)))</f>
        <v>96.449752241396595</v>
      </c>
      <c r="AO19" s="70">
        <f>N!AO19+($C$7*(SUM(N!AN19,N!AP19,N!AO20)-(3*N!AO19)))+(Rstar!AO19*N!AO19*(1-(N!AO19/Kstar!AO19)))</f>
        <v>92.185774454808183</v>
      </c>
      <c r="AP19" s="70">
        <f>N!AP19+($C$7*(SUM(N!AO19,N!AQ19,N!AP20)-(3*N!AP19)))+(Rstar!AP19*N!AP19*(1-(N!AP19/Kstar!AP19)))</f>
        <v>82.678352647422145</v>
      </c>
      <c r="AQ19" s="70">
        <f>N!AQ19+($C$7*(SUM(N!AP19,N!AR19,N!AQ20)-(3*N!AQ19)))+(Rstar!AQ19*N!AQ19*(1-(N!AQ19/Kstar!AQ19)))</f>
        <v>62.558095468839348</v>
      </c>
      <c r="AR19" s="70">
        <f>N!AR19+($C$7*(SUM(N!AQ19,N!AS19,N!AR20)-(3*N!AR19)))+(Rstar!AR19*N!AR19*(1-(N!AR19/Kstar!AR19)))</f>
        <v>24.943973459989593</v>
      </c>
      <c r="AS19" s="70">
        <f>N!AS19+($C$7*(SUM(N!AR19,N!AT19,N!AS20)-(3*N!AS19)))+(Rstar!AS19*N!AS19*(1-(N!AS19/Kstar!AS19)))</f>
        <v>15.403608155389252</v>
      </c>
      <c r="AT19" s="70">
        <f>N!AT19+($C$7*(SUM(N!AS19,N!AU19,N!AT20)-(3*N!AT19)))+(Rstar!AT19*N!AT19*(1-(N!AT19/Kstar!AT19)))</f>
        <v>12.150338802403676</v>
      </c>
      <c r="AU19" s="70">
        <f>N!AU19+($C$7*(SUM(N!AT19,N!AV19,N!AU20)-(3*N!AU19)))+(Rstar!AU19*N!AU19*(1-(N!AU19/Kstar!AU19)))</f>
        <v>10.884292604425349</v>
      </c>
      <c r="AV19" s="70">
        <f>N!AV19+($C$7*(SUM(N!AU19,N!AW19,N!AV20)-(3*N!AV19)))+(Rstar!AV19*N!AV19*(1-(N!AV19/Kstar!AV19)))</f>
        <v>10.362336118908921</v>
      </c>
      <c r="AW19" s="70">
        <f>N!AW19+($C$7*(SUM(N!AV19,N!AX19,N!AW20)-(3*N!AW19)))+(Rstar!AW19*N!AW19*(1-(N!AW19/Kstar!AW19)))</f>
        <v>10.142170979049986</v>
      </c>
      <c r="AX19" s="70">
        <f>N!AX19+($C$7*(SUM(N!AW19,N!AY19,N!AX20)-(3*N!AX19)))+(Rstar!AX19*N!AX19*(1-(N!AX19/Kstar!AX19)))</f>
        <v>10.049658663202804</v>
      </c>
      <c r="AY19" s="70">
        <f>N!AY19+($C$7*(SUM(N!AX19,N!AZ19,N!AY20)-(3*N!AY19)))+(Rstar!AY19*N!AY19*(1-(N!AY19/Kstar!AY19)))</f>
        <v>10.014301002216795</v>
      </c>
      <c r="AZ19" s="85">
        <f>N!AY20</f>
        <v>10.036404422934122</v>
      </c>
      <c r="BA19" s="35">
        <v>1</v>
      </c>
    </row>
    <row r="20" spans="2:53" x14ac:dyDescent="0.2">
      <c r="B20" s="34">
        <v>2</v>
      </c>
      <c r="C20" s="72">
        <f>N!C20+($X$7*(SUM(N!C19,N!D20,N!C21)-(3*N!C20)))+(Rstar!C20*N!C20*(1-(N!C20/Kstar!C20)))</f>
        <v>99.750757745696546</v>
      </c>
      <c r="D20" s="31">
        <f>N!D20+($C$7*(SUM(N!C20,N!D19,N!E20,N!D21)-(4*N!D20)))+(Rstar!D20*N!D20*(1-(N!D20/Kstar!D20)))</f>
        <v>99.750757740329917</v>
      </c>
      <c r="E20" s="76">
        <f>N!E20+($C$7*(SUM(N!D20,N!E19,N!F20,N!E21)-(4*N!E20)))+(Rstar!E20*N!E20*(1-(N!E20/Kstar!E20)))</f>
        <v>99.750757712747685</v>
      </c>
      <c r="F20" s="76">
        <f>N!F20+($C$7*(SUM(N!E20,N!F19,N!G20,N!F21)-(4*N!F20)))+(Rstar!F20*N!F20*(1-(N!F20/Kstar!F20)))</f>
        <v>99.750757658081142</v>
      </c>
      <c r="G20" s="76">
        <f>N!G20+($C$7*(SUM(N!F20,N!G19,N!H20,N!G21)-(4*N!G20)))+(Rstar!G20*N!G20*(1-(N!G20/Kstar!G20)))</f>
        <v>99.750757684860872</v>
      </c>
      <c r="H20" s="76">
        <f>N!H20+($C$7*(SUM(N!G20,N!H19,N!I20,N!H21)-(4*N!H20)))+(Rstar!H20*N!H20*(1-(N!H20/Kstar!H20)))</f>
        <v>99.750757683545203</v>
      </c>
      <c r="I20" s="76">
        <f>N!I20+($C$7*(SUM(N!H20,N!I19,N!J20,N!I21)-(4*N!I20)))+(Rstar!I20*N!I20*(1-(N!I20/Kstar!I20)))</f>
        <v>99.750757651941569</v>
      </c>
      <c r="J20" s="76">
        <f>N!J20+($C$7*(SUM(N!I20,N!J19,N!K20,N!J21)-(4*N!J20)))+(Rstar!J20*N!J20*(1-(N!J20/Kstar!J20)))</f>
        <v>99.750757589418697</v>
      </c>
      <c r="K20" s="76">
        <f>N!K20+($C$7*(SUM(N!J20,N!K19,N!L20,N!K21)-(4*N!K20)))+(Rstar!K20*N!K20*(1-(N!K20/Kstar!K20)))</f>
        <v>99.750757655183492</v>
      </c>
      <c r="L20" s="76">
        <f>N!L20+($C$7*(SUM(N!K20,N!L19,N!M20,N!L21)-(4*N!L20)))+(Rstar!L20*N!L20*(1-(N!L20/Kstar!L20)))</f>
        <v>99.750757684738502</v>
      </c>
      <c r="M20" s="76">
        <f>N!M20+($C$7*(SUM(N!L20,N!M19,N!N20,N!M21)-(4*N!M20)))+(Rstar!M20*N!M20*(1-(N!M20/Kstar!M20)))</f>
        <v>99.750757683434941</v>
      </c>
      <c r="N20" s="76">
        <f>N!N20+($C$7*(SUM(N!M20,N!N19,N!O20,N!N21)-(4*N!N20)))+(Rstar!N20*N!N20*(1-(N!N20/Kstar!N20)))</f>
        <v>99.750757651671748</v>
      </c>
      <c r="O20" s="76">
        <f>N!O20+($C$7*(SUM(N!N20,N!O19,N!P20,N!O21)-(4*N!O20)))+(Rstar!O20*N!O20*(1-(N!O20/Kstar!O20)))</f>
        <v>99.750757584934561</v>
      </c>
      <c r="P20" s="76">
        <f>N!P20+($C$7*(SUM(N!O20,N!P19,N!Q20,N!P21)-(4*N!P20)))+(Rstar!P20*N!P20*(1-(N!P20/Kstar!P20)))</f>
        <v>99.750757474625345</v>
      </c>
      <c r="Q20" s="76">
        <f>N!Q20+($C$7*(SUM(N!P20,N!Q19,N!R20,N!Q21)-(4*N!Q20)))+(Rstar!Q20*N!Q20*(1-(N!Q20/Kstar!Q20)))</f>
        <v>99.750757308396928</v>
      </c>
      <c r="R20" s="76">
        <f>N!R20+($C$7*(SUM(N!Q20,N!R19,N!S20,N!R21)-(4*N!R20)))+(Rstar!R20*N!R20*(1-(N!R20/Kstar!R20)))</f>
        <v>99.750757070249307</v>
      </c>
      <c r="S20" s="76">
        <f>N!S20+($C$7*(SUM(N!R20,N!S19,N!T20,N!S21)-(4*N!S20)))+(Rstar!S20*N!S20*(1-(N!S20/Kstar!S20)))</f>
        <v>99.750756739246796</v>
      </c>
      <c r="T20" s="76">
        <f>N!T20+($C$7*(SUM(N!S20,N!T19,N!U20,N!T21)-(4*N!T20)))+(Rstar!T20*N!T20*(1-(N!T20/Kstar!T20)))</f>
        <v>99.750756283389222</v>
      </c>
      <c r="U20" s="76">
        <f>N!U20+($C$7*(SUM(N!T20,N!U19,N!V20,N!U21)-(4*N!U20)))+(Rstar!U20*N!U20*(1-(N!U20/Kstar!U20)))</f>
        <v>99.75075564026784</v>
      </c>
      <c r="V20" s="76">
        <f>N!V20+($C$7*(SUM(N!U20,N!V19,N!W20,N!V21)-(4*N!V20)))+(Rstar!V20*N!V20*(1-(N!V20/Kstar!V20)))</f>
        <v>99.750754665786161</v>
      </c>
      <c r="W20" s="76">
        <f>N!W20+($C$7*(SUM(N!V20,N!W19,N!X20,N!W21)-(4*N!W20)))+(Rstar!W20*N!W20*(1-(N!W20/Kstar!W20)))</f>
        <v>99.750753009798387</v>
      </c>
      <c r="X20" s="76">
        <f>N!X20+($C$7*(SUM(N!W20,N!X19,N!Y20,N!X21)-(4*N!X20)))+(Rstar!X20*N!X20*(1-(N!X20/Kstar!X20)))</f>
        <v>99.750749826678714</v>
      </c>
      <c r="Y20" s="76">
        <f>N!Y20+($C$7*(SUM(N!X20,N!Y19,N!Z20,N!Y21)-(4*N!Y20)))+(Rstar!Y20*N!Y20*(1-(N!Y20/Kstar!Y20)))</f>
        <v>99.750743109978757</v>
      </c>
      <c r="Z20" s="76">
        <f>N!Z20+($C$7*(SUM(N!Y20,N!Z19,N!AA20,N!Z21)-(4*N!Z20)))+(Rstar!Z20*N!Z20*(1-(N!Z20/Kstar!Z20)))</f>
        <v>99.750728160827862</v>
      </c>
      <c r="AA20" s="76">
        <f>N!AA20+($C$7*(SUM(N!Z20,N!AA19,N!AB20,N!AA21)-(4*N!AA20)))+(Rstar!AA20*N!AA20*(1-(N!AA20/Kstar!AA20)))</f>
        <v>99.750694047634767</v>
      </c>
      <c r="AB20" s="76">
        <f>N!AB20+($C$7*(SUM(N!AA20,N!AB19,N!AC20,N!AB21)-(4*N!AB20)))+(Rstar!AB20*N!AB20*(1-(N!AB20/Kstar!AB20)))</f>
        <v>99.750615403221616</v>
      </c>
      <c r="AC20" s="76">
        <f>N!AC20+($C$7*(SUM(N!AB20,N!AC19,N!AD20,N!AC21)-(4*N!AC20)))+(Rstar!AC20*N!AC20*(1-(N!AC20/Kstar!AC20)))</f>
        <v>99.750433404704722</v>
      </c>
      <c r="AD20" s="76">
        <f>N!AD20+($C$7*(SUM(N!AC20,N!AD19,N!AE20,N!AD21)-(4*N!AD20)))+(Rstar!AD20*N!AD20*(1-(N!AD20/Kstar!AD20)))</f>
        <v>99.750011667265085</v>
      </c>
      <c r="AE20" s="76">
        <f>N!AE20+($C$7*(SUM(N!AD20,N!AE19,N!AF20,N!AE21)-(4*N!AE20)))+(Rstar!AE20*N!AE20*(1-(N!AE20/Kstar!AE20)))</f>
        <v>99.74903397010192</v>
      </c>
      <c r="AF20" s="76">
        <f>N!AF20+($C$7*(SUM(N!AE20,N!AF19,N!AG20,N!AF21)-(4*N!AF20)))+(Rstar!AF20*N!AF20*(1-(N!AF20/Kstar!AF20)))</f>
        <v>99.746767114866586</v>
      </c>
      <c r="AG20" s="76">
        <f>N!AG20+($C$7*(SUM(N!AF20,N!AG19,N!AH20,N!AG21)-(4*N!AG20)))+(Rstar!AG20*N!AG20*(1-(N!AG20/Kstar!AG20)))</f>
        <v>99.741511102396416</v>
      </c>
      <c r="AH20" s="76">
        <f>N!AH20+($C$7*(SUM(N!AG20,N!AH19,N!AI20,N!AH21)-(4*N!AH20)))+(Rstar!AH20*N!AH20*(1-(N!AH20/Kstar!AH20)))</f>
        <v>99.729324490170711</v>
      </c>
      <c r="AI20" s="76">
        <f>N!AI20+($C$7*(SUM(N!AH20,N!AI19,N!AJ20,N!AI21)-(4*N!AI20)))+(Rstar!AI20*N!AI20*(1-(N!AI20/Kstar!AI20)))</f>
        <v>99.701070183376117</v>
      </c>
      <c r="AJ20" s="76">
        <f>N!AJ20+($C$7*(SUM(N!AI20,N!AJ19,N!AK20,N!AJ21)-(4*N!AJ20)))+(Rstar!AJ20*N!AJ20*(1-(N!AJ20/Kstar!AJ20)))</f>
        <v>99.635572635589767</v>
      </c>
      <c r="AK20" s="76">
        <f>N!AK20+($C$7*(SUM(N!AJ20,N!AK19,N!AL20,N!AK21)-(4*N!AK20)))+(Rstar!AK20*N!AK20*(1-(N!AK20/Kstar!AK20)))</f>
        <v>99.483789990915142</v>
      </c>
      <c r="AL20" s="76">
        <f>N!AL20+($C$7*(SUM(N!AK20,N!AL19,N!AM20,N!AL21)-(4*N!AL20)))+(Rstar!AL20*N!AL20*(1-(N!AL20/Kstar!AL20)))</f>
        <v>99.132321551558846</v>
      </c>
      <c r="AM20" s="76">
        <f>N!AM20+($C$7*(SUM(N!AL20,N!AM19,N!AN20,N!AM21)-(4*N!AM20)))+(Rstar!AM20*N!AM20*(1-(N!AM20/Kstar!AM20)))</f>
        <v>98.319905999843911</v>
      </c>
      <c r="AN20" s="76">
        <f>N!AN20+($C$7*(SUM(N!AM20,N!AN19,N!AO20,N!AN21)-(4*N!AN20)))+(Rstar!AN20*N!AN20*(1-(N!AN20/Kstar!AN20)))</f>
        <v>96.449749757242614</v>
      </c>
      <c r="AO20" s="76">
        <f>N!AO20+($C$7*(SUM(N!AN20,N!AO19,N!AP20,N!AO21)-(4*N!AO20)))+(Rstar!AO20*N!AO20*(1-(N!AO20/Kstar!AO20)))</f>
        <v>92.185771770626246</v>
      </c>
      <c r="AP20" s="76">
        <f>N!AP20+($C$7*(SUM(N!AO20,N!AP19,N!AQ20,N!AP21)-(4*N!AP20)))+(Rstar!AP20*N!AP20*(1-(N!AP20/Kstar!AP20)))</f>
        <v>82.678349907635791</v>
      </c>
      <c r="AQ20" s="33">
        <f>N!AQ20+($C$7*(SUM(N!AP20,N!AQ19,N!AR20,N!AQ21)-(4*N!AQ20)))+(Rstar!AQ20*N!AQ20*(1-(N!AQ20/Kstar!AQ20)))</f>
        <v>62.558093162093613</v>
      </c>
      <c r="AR20" s="91">
        <f>N!AR20+($X$7*(SUM(N!AQ20,N!AR19,N!AS20,N!AR21)-(4*N!AR20)))+(Rstar!AR20*N!AR20*(1-(N!AR20/Kstar!AR20)))</f>
        <v>24.943972581443379</v>
      </c>
      <c r="AS20" s="84">
        <f>N!AS20+($X$7*(SUM(N!AR20,N!AS19,N!AT20,N!AS21)-(4*N!AS20)))+(Rstar!AS20*N!AS20*(1-(N!AS20/Kstar!AS20)))</f>
        <v>15.403606299676259</v>
      </c>
      <c r="AT20" s="84">
        <f>N!AT20+($X$7*(SUM(N!AS20,N!AT19,N!AU20,N!AT21)-(4*N!AT20)))+(Rstar!AT20*N!AT20*(1-(N!AT20/Kstar!AT20)))</f>
        <v>12.150332382108477</v>
      </c>
      <c r="AU20" s="84">
        <f>N!AU20+($X$7*(SUM(N!AT20,N!AU19,N!AV20,N!AU21)-(4*N!AU20)))+(Rstar!AU20*N!AU20*(1-(N!AU20/Kstar!AU20)))</f>
        <v>10.884271101471361</v>
      </c>
      <c r="AV20" s="84">
        <f>N!AV20+($X$7*(SUM(N!AU20,N!AV19,N!AW20,N!AV21)-(4*N!AV20)))+(Rstar!AV20*N!AV20*(1-(N!AV20/Kstar!AV20)))</f>
        <v>10.362265944077508</v>
      </c>
      <c r="AW20" s="84">
        <f>N!AW20+($X$7*(SUM(N!AV20,N!AW19,N!AX20,N!AW21)-(4*N!AW20)))+(Rstar!AW20*N!AW20*(1-(N!AW20/Kstar!AW20)))</f>
        <v>10.141938859305414</v>
      </c>
      <c r="AX20" s="84">
        <f>N!AX20+($X$7*(SUM(N!AW20,N!AX19,N!AY20,N!AX21)-(4*N!AX20)))+(Rstar!AX20*N!AX20*(1-(N!AX20/Kstar!AX20)))</f>
        <v>10.048859416373116</v>
      </c>
      <c r="AY20" s="111">
        <f>N!AY20+($X$7*(SUM(N!AX20,N!AY19,N!AZ20,N!AY21)-(4*N!AY20)))+(Rstar!AY20*N!AY20*(1-(N!AY20/Kstar!AY20)))</f>
        <v>10.011389475570741</v>
      </c>
      <c r="AZ20" s="72">
        <f>N!AZ20+($X$7*(SUM(N!AY20,N!AZ19,N!AZ21)-(3*N!AZ20)))+(Rstar!AZ20*N!AZ20*(1-(N!AZ20/Kstar!AZ20)))</f>
        <v>10.00007145712736</v>
      </c>
      <c r="BA20" s="35">
        <v>2</v>
      </c>
    </row>
    <row r="21" spans="2:53" x14ac:dyDescent="0.2">
      <c r="B21" s="34">
        <v>3</v>
      </c>
      <c r="C21" s="72">
        <f>N!C21+($X$7*(SUM(N!C20,N!D21,N!C22)-(3*N!C21)))+(Rstar!C21*N!C21*(1-(N!C21/Kstar!C21)))</f>
        <v>99.750757684952191</v>
      </c>
      <c r="D21" s="74">
        <f>N!D21+($C$7*(SUM(N!C21,N!D20,N!E21,N!D22)-(4*N!D21)))+(Rstar!D21*N!D21*(1-(N!D21/Kstar!D21)))</f>
        <v>99.750757660302071</v>
      </c>
      <c r="E21" s="75">
        <f>N!E21+($C$7*(SUM(N!D21,N!E20,N!F21,N!E22)-(4*N!E21)))+(Rstar!E21*N!E21*(1-(N!E21/Kstar!E21)))</f>
        <v>99.750757602417409</v>
      </c>
      <c r="F21" s="75">
        <f>N!F21+($C$7*(SUM(N!E21,N!F20,N!G21,N!F22)-(4*N!F21)))+(Rstar!F21*N!F21*(1-(N!F21/Kstar!F21)))</f>
        <v>99.750757503695993</v>
      </c>
      <c r="G21" s="75">
        <f>N!G21+($C$7*(SUM(N!F21,N!G20,N!H21,N!G22)-(4*N!G21)))+(Rstar!G21*N!G21*(1-(N!G21/Kstar!G21)))</f>
        <v>99.750757552257255</v>
      </c>
      <c r="H21" s="75">
        <f>N!H21+($C$7*(SUM(N!G21,N!H20,N!I21,N!H22)-(4*N!H21)))+(Rstar!H21*N!H21*(1-(N!H21/Kstar!H21)))</f>
        <v>99.750757551834226</v>
      </c>
      <c r="I21" s="75">
        <f>N!I21+($C$7*(SUM(N!H21,N!I20,N!J21,N!I22)-(4*N!I21)))+(Rstar!I21*N!I21*(1-(N!I21/Kstar!I21)))</f>
        <v>99.750757498370604</v>
      </c>
      <c r="J21" s="75">
        <f>N!J21+($C$7*(SUM(N!I21,N!J20,N!K21,N!J22)-(4*N!J21)))+(Rstar!J21*N!J21*(1-(N!J21/Kstar!J21)))</f>
        <v>99.750757389701022</v>
      </c>
      <c r="K21" s="75">
        <f>N!K21+($C$7*(SUM(N!J21,N!K20,N!L21,N!K22)-(4*N!K21)))+(Rstar!K21*N!K21*(1-(N!K21/Kstar!K21)))</f>
        <v>99.750757499288468</v>
      </c>
      <c r="L21" s="75">
        <f>N!L21+($C$7*(SUM(N!K21,N!L20,N!M21,N!L22)-(4*N!L21)))+(Rstar!L21*N!L21*(1-(N!L21/Kstar!L21)))</f>
        <v>99.750757552257255</v>
      </c>
      <c r="M21" s="75">
        <f>N!M21+($C$7*(SUM(N!L21,N!M20,N!N21,N!M22)-(4*N!M21)))+(Rstar!M21*N!M21*(1-(N!M21/Kstar!M21)))</f>
        <v>99.750757551834226</v>
      </c>
      <c r="N21" s="75">
        <f>N!N21+($C$7*(SUM(N!M21,N!N20,N!O21,N!N22)-(4*N!N21)))+(Rstar!N21*N!N21*(1-(N!N21/Kstar!N21)))</f>
        <v>99.750757498370604</v>
      </c>
      <c r="O21" s="75">
        <f>N!O21+($C$7*(SUM(N!N21,N!O20,N!P21,N!O22)-(4*N!O21)))+(Rstar!O21*N!O21*(1-(N!O21/Kstar!O21)))</f>
        <v>99.750757383487311</v>
      </c>
      <c r="P21" s="75">
        <f>N!P21+($C$7*(SUM(N!O21,N!P20,N!Q21,N!P22)-(4*N!P21)))+(Rstar!P21*N!P21*(1-(N!P21/Kstar!P21)))</f>
        <v>99.750757190646723</v>
      </c>
      <c r="Q21" s="75">
        <f>N!Q21+($C$7*(SUM(N!P21,N!Q20,N!R21,N!Q22)-(4*N!Q21)))+(Rstar!Q21*N!Q21*(1-(N!Q21/Kstar!Q21)))</f>
        <v>99.750756896139734</v>
      </c>
      <c r="R21" s="75">
        <f>N!R21+($C$7*(SUM(N!Q21,N!R20,N!S21,N!R22)-(4*N!R21)))+(Rstar!R21*N!R21*(1-(N!R21/Kstar!R21)))</f>
        <v>99.750756470822395</v>
      </c>
      <c r="S21" s="75">
        <f>N!S21+($C$7*(SUM(N!R21,N!S20,N!T21,N!S22)-(4*N!S21)))+(Rstar!S21*N!S21*(1-(N!S21/Kstar!S21)))</f>
        <v>99.750755881942794</v>
      </c>
      <c r="T21" s="75">
        <f>N!T21+($C$7*(SUM(N!S21,N!T20,N!U21,N!T22)-(4*N!T21)))+(Rstar!T21*N!T21*(1-(N!T21/Kstar!T21)))</f>
        <v>99.750755091656572</v>
      </c>
      <c r="U21" s="75">
        <f>N!U21+($C$7*(SUM(N!T21,N!U20,N!V21,N!U22)-(4*N!U21)))+(Rstar!U21*N!U21*(1-(N!U21/Kstar!U21)))</f>
        <v>99.750754042850843</v>
      </c>
      <c r="V21" s="75">
        <f>N!V21+($C$7*(SUM(N!U21,N!V20,N!W21,N!V22)-(4*N!V21)))+(Rstar!V21*N!V21*(1-(N!V21/Kstar!V21)))</f>
        <v>99.750752611148897</v>
      </c>
      <c r="W21" s="75">
        <f>N!W21+($C$7*(SUM(N!V21,N!W20,N!X21,N!W22)-(4*N!W21)))+(Rstar!W21*N!W21*(1-(N!W21/Kstar!W21)))</f>
        <v>99.750750478963241</v>
      </c>
      <c r="X21" s="75">
        <f>N!X21+($C$7*(SUM(N!W21,N!X20,N!Y21,N!X22)-(4*N!X21)))+(Rstar!X21*N!X21*(1-(N!X21/Kstar!X21)))</f>
        <v>99.750746838464678</v>
      </c>
      <c r="Y21" s="75">
        <f>N!Y21+($C$7*(SUM(N!X21,N!Y20,N!Z21,N!Y22)-(4*N!Y21)))+(Rstar!Y21*N!Y21*(1-(N!Y21/Kstar!Y21)))</f>
        <v>99.750739715702508</v>
      </c>
      <c r="Z21" s="75">
        <f>N!Z21+($C$7*(SUM(N!Y21,N!Z20,N!AA21,N!Z22)-(4*N!Z21)))+(Rstar!Z21*N!Z21*(1-(N!Z21/Kstar!Z21)))</f>
        <v>99.750724431373783</v>
      </c>
      <c r="AA21" s="75">
        <f>N!AA21+($C$7*(SUM(N!Z21,N!AA20,N!AB21,N!AA22)-(4*N!AA21)))+(Rstar!AA21*N!AA21*(1-(N!AA21/Kstar!AA21)))</f>
        <v>99.750690058873474</v>
      </c>
      <c r="AB21" s="75">
        <f>N!AB21+($C$7*(SUM(N!AA21,N!AB20,N!AC21,N!AB22)-(4*N!AB21)))+(Rstar!AB21*N!AB21*(1-(N!AB21/Kstar!AB21)))</f>
        <v>99.750611224594493</v>
      </c>
      <c r="AC21" s="75">
        <f>N!AC21+($C$7*(SUM(N!AB21,N!AC20,N!AD21,N!AC22)-(4*N!AC21)))+(Rstar!AC21*N!AC21*(1-(N!AC21/Kstar!AC21)))</f>
        <v>99.750429092781133</v>
      </c>
      <c r="AD21" s="75">
        <f>N!AD21+($C$7*(SUM(N!AC21,N!AD20,N!AE21,N!AD22)-(4*N!AD21)))+(Rstar!AD21*N!AD21*(1-(N!AD21/Kstar!AD21)))</f>
        <v>99.750007263626202</v>
      </c>
      <c r="AE21" s="75">
        <f>N!AE21+($C$7*(SUM(N!AD21,N!AE20,N!AF21,N!AE22)-(4*N!AE21)))+(Rstar!AE21*N!AE21*(1-(N!AE21/Kstar!AE21)))</f>
        <v>99.749029501830918</v>
      </c>
      <c r="AF21" s="75">
        <f>N!AF21+($C$7*(SUM(N!AE21,N!AF20,N!AG21,N!AF22)-(4*N!AF21)))+(Rstar!AF21*N!AF21*(1-(N!AF21/Kstar!AF21)))</f>
        <v>99.74676259590909</v>
      </c>
      <c r="AG21" s="75">
        <f>N!AG21+($C$7*(SUM(N!AF21,N!AG20,N!AH21,N!AG22)-(4*N!AG21)))+(Rstar!AG21*N!AG21*(1-(N!AG21/Kstar!AG21)))</f>
        <v>99.741506534502122</v>
      </c>
      <c r="AH21" s="75">
        <f>N!AH21+($C$7*(SUM(N!AG21,N!AH20,N!AI21,N!AH22)-(4*N!AH21)))+(Rstar!AH21*N!AH21*(1-(N!AH21/Kstar!AH21)))</f>
        <v>99.729319862626454</v>
      </c>
      <c r="AI21" s="75">
        <f>N!AI21+($C$7*(SUM(N!AH21,N!AI20,N!AJ21,N!AI22)-(4*N!AI21)))+(Rstar!AI21*N!AI21*(1-(N!AI21/Kstar!AI21)))</f>
        <v>99.701065471155161</v>
      </c>
      <c r="AJ21" s="75">
        <f>N!AJ21+($C$7*(SUM(N!AI21,N!AJ20,N!AK21,N!AJ22)-(4*N!AJ21)))+(Rstar!AJ21*N!AJ21*(1-(N!AJ21/Kstar!AJ21)))</f>
        <v>99.635567795963198</v>
      </c>
      <c r="AK21" s="75">
        <f>N!AK21+($C$7*(SUM(N!AJ21,N!AK20,N!AL21,N!AK22)-(4*N!AK21)))+(Rstar!AK21*N!AK21*(1-(N!AK21/Kstar!AK21)))</f>
        <v>99.483784959287632</v>
      </c>
      <c r="AL21" s="75">
        <f>N!AL21+($C$7*(SUM(N!AK21,N!AL20,N!AM21,N!AL22)-(4*N!AL21)))+(Rstar!AL21*N!AL21*(1-(N!AL21/Kstar!AL21)))</f>
        <v>99.132316238949016</v>
      </c>
      <c r="AM21" s="75">
        <f>N!AM21+($C$7*(SUM(N!AL21,N!AM20,N!AN21,N!AM22)-(4*N!AM21)))+(Rstar!AM21*N!AM21*(1-(N!AM21/Kstar!AM21)))</f>
        <v>98.319900298545832</v>
      </c>
      <c r="AN21" s="75">
        <f>N!AN21+($C$7*(SUM(N!AM21,N!AN20,N!AO21,N!AN22)-(4*N!AN21)))+(Rstar!AN21*N!AN21*(1-(N!AN21/Kstar!AN21)))</f>
        <v>96.449743571499368</v>
      </c>
      <c r="AO21" s="75">
        <f>N!AO21+($C$7*(SUM(N!AN21,N!AO20,N!AP21,N!AO22)-(4*N!AO21)))+(Rstar!AO21*N!AO21*(1-(N!AO21/Kstar!AO21)))</f>
        <v>92.185765113778942</v>
      </c>
      <c r="AP21" s="75">
        <f>N!AP21+($C$7*(SUM(N!AO21,N!AP20,N!AQ21,N!AP22)-(4*N!AP21)))+(Rstar!AP21*N!AP21*(1-(N!AP21/Kstar!AP21)))</f>
        <v>82.678343155280373</v>
      </c>
      <c r="AQ21" s="94">
        <f>N!AQ21+($C$7*(SUM(N!AP21,N!AQ20,N!AR21,N!AQ22)-(4*N!AQ21)))+(Rstar!AQ21*N!AQ21*(1-(N!AQ21/Kstar!AQ21)))</f>
        <v>62.558087570479735</v>
      </c>
      <c r="AR21" s="92">
        <f>N!AR21+($X$7*(SUM(N!AQ21,N!AR20,N!AS21,N!AR22)-(4*N!AR21)))+(Rstar!AR21*N!AR21*(1-(N!AR21/Kstar!AR21)))</f>
        <v>24.943970711040762</v>
      </c>
      <c r="AS21" s="86">
        <f>N!AS21+($X$7*(SUM(N!AR21,N!AS20,N!AT21,N!AS22)-(4*N!AS21)))+(Rstar!AS21*N!AS21*(1-(N!AS21/Kstar!AS21)))</f>
        <v>15.403603319865059</v>
      </c>
      <c r="AT21" s="86">
        <f>N!AT21+($X$7*(SUM(N!AS21,N!AT20,N!AU21,N!AT22)-(4*N!AT21)))+(Rstar!AT21*N!AT21*(1-(N!AT21/Kstar!AT21)))</f>
        <v>12.15032317294772</v>
      </c>
      <c r="AU21" s="86">
        <f>N!AU21+($X$7*(SUM(N!AT21,N!AU20,N!AV21,N!AU22)-(4*N!AU21)))+(Rstar!AU21*N!AU21*(1-(N!AU21/Kstar!AU21)))</f>
        <v>10.884242635792047</v>
      </c>
      <c r="AV21" s="86">
        <f>N!AV21+($X$7*(SUM(N!AU21,N!AV20,N!AW21,N!AV22)-(4*N!AV21)))+(Rstar!AV21*N!AV21*(1-(N!AV21/Kstar!AV21)))</f>
        <v>10.362182161989777</v>
      </c>
      <c r="AW21" s="86">
        <f>N!AW21+($X$7*(SUM(N!AV21,N!AW20,N!AX21,N!AW22)-(4*N!AW21)))+(Rstar!AW21*N!AW21*(1-(N!AW21/Kstar!AW21)))</f>
        <v>10.141699891509649</v>
      </c>
      <c r="AX21" s="86">
        <f>N!AX21+($X$7*(SUM(N!AW21,N!AX20,N!AY21,N!AX22)-(4*N!AX21)))+(Rstar!AX21*N!AX21*(1-(N!AX21/Kstar!AX21)))</f>
        <v>10.048197729355207</v>
      </c>
      <c r="AY21" s="87">
        <f>N!AY21+($X$7*(SUM(N!AX21,N!AY20,N!AZ21,N!AY22)-(4*N!AY21)))+(Rstar!AY21*N!AY21*(1-(N!AY21/Kstar!AY21)))</f>
        <v>10.009660455253593</v>
      </c>
      <c r="AZ21" s="72">
        <f>N!AZ21+($X$7*(SUM(N!AY21,N!AZ20,N!AZ22)-(3*N!AZ21)))+(Rstar!AZ21*N!AZ21*(1-(N!AZ21/Kstar!AZ21)))</f>
        <v>9.9962291616658145</v>
      </c>
      <c r="BA21" s="35">
        <v>3</v>
      </c>
    </row>
    <row r="22" spans="2:53" x14ac:dyDescent="0.2">
      <c r="B22" s="34">
        <v>4</v>
      </c>
      <c r="C22" s="72">
        <f>N!C22+($X$7*(SUM(N!C21,N!D22,N!C23)-(3*N!C22)))+(Rstar!C22*N!C22*(1-(N!C22/Kstar!C22)))</f>
        <v>99.750757543271675</v>
      </c>
      <c r="D22" s="74">
        <f>N!D22+($C$7*(SUM(N!C22,N!D21,N!E22,N!D23)-(4*N!D22)))+(Rstar!D22*N!D22*(1-(N!D22/Kstar!D22)))</f>
        <v>99.750757494417272</v>
      </c>
      <c r="E22" s="75">
        <f>N!E22+($C$7*(SUM(N!D22,N!E21,N!F22,N!E23)-(4*N!E22)))+(Rstar!E22*N!E22*(1-(N!E22/Kstar!E22)))</f>
        <v>99.750757386529912</v>
      </c>
      <c r="F22" s="75">
        <f>N!F22+($C$7*(SUM(N!E22,N!F21,N!G22,N!F23)-(4*N!F22)))+(Rstar!F22*N!F22*(1-(N!F22/Kstar!F22)))</f>
        <v>99.75075720696924</v>
      </c>
      <c r="G22" s="75">
        <f>N!G22+($C$7*(SUM(N!F22,N!G21,N!H22,N!G23)-(4*N!G22)))+(Rstar!G22*N!G22*(1-(N!G22/Kstar!G22)))</f>
        <v>99.750757294832056</v>
      </c>
      <c r="H22" s="75">
        <f>N!H22+($C$7*(SUM(N!G22,N!H21,N!I22,N!H23)-(4*N!H22)))+(Rstar!H22*N!H22*(1-(N!H22/Kstar!H22)))</f>
        <v>99.750757294702183</v>
      </c>
      <c r="I22" s="75">
        <f>N!I22+($C$7*(SUM(N!H22,N!I21,N!J22,N!I23)-(4*N!I22)))+(Rstar!I22*N!I22*(1-(N!I22/Kstar!I22)))</f>
        <v>99.750757198727754</v>
      </c>
      <c r="J22" s="75">
        <f>N!J22+($C$7*(SUM(N!I22,N!J21,N!K22,N!J23)-(4*N!J22)))+(Rstar!J22*N!J22*(1-(N!J22/Kstar!J22)))</f>
        <v>99.750757000952419</v>
      </c>
      <c r="K22" s="75">
        <f>N!K22+($C$7*(SUM(N!J22,N!K21,N!L22,N!K23)-(4*N!K22)))+(Rstar!K22*N!K22*(1-(N!K22/Kstar!K22)))</f>
        <v>99.750757198976729</v>
      </c>
      <c r="L22" s="75">
        <f>N!L22+($C$7*(SUM(N!K22,N!L21,N!M22,N!L23)-(4*N!L22)))+(Rstar!L22*N!L22*(1-(N!L22/Kstar!L22)))</f>
        <v>99.750757294832056</v>
      </c>
      <c r="M22" s="75">
        <f>N!M22+($C$7*(SUM(N!L22,N!M21,N!N22,N!M23)-(4*N!M22)))+(Rstar!M22*N!M22*(1-(N!M22/Kstar!M22)))</f>
        <v>99.750757294702183</v>
      </c>
      <c r="N22" s="75">
        <f>N!N22+($C$7*(SUM(N!M22,N!N21,N!O22,N!N23)-(4*N!N22)))+(Rstar!N22*N!N22*(1-(N!N22/Kstar!N22)))</f>
        <v>99.750757198727754</v>
      </c>
      <c r="O22" s="75">
        <f>N!O22+($C$7*(SUM(N!N22,N!O21,N!P22,N!O23)-(4*N!O22)))+(Rstar!O22*N!O22*(1-(N!O22/Kstar!O22)))</f>
        <v>99.750756989550837</v>
      </c>
      <c r="P22" s="75">
        <f>N!P22+($C$7*(SUM(N!O22,N!P21,N!Q22,N!P23)-(4*N!P22)))+(Rstar!P22*N!P22*(1-(N!P22/Kstar!P22)))</f>
        <v>99.75075663269304</v>
      </c>
      <c r="Q22" s="75">
        <f>N!Q22+($C$7*(SUM(N!P22,N!Q21,N!R22,N!Q23)-(4*N!Q22)))+(Rstar!Q22*N!Q22*(1-(N!Q22/Kstar!Q22)))</f>
        <v>99.75075607825039</v>
      </c>
      <c r="R22" s="75">
        <f>N!R22+($C$7*(SUM(N!Q22,N!R21,N!S22,N!R23)-(4*N!R22)))+(Rstar!R22*N!R22*(1-(N!R22/Kstar!R22)))</f>
        <v>99.750755265485125</v>
      </c>
      <c r="S22" s="75">
        <f>N!S22+($C$7*(SUM(N!R22,N!S21,N!T22,N!S23)-(4*N!S22)))+(Rstar!S22*N!S22*(1-(N!S22/Kstar!S22)))</f>
        <v>99.750754131219651</v>
      </c>
      <c r="T22" s="75">
        <f>N!T22+($C$7*(SUM(N!S22,N!T21,N!U22,N!T23)-(4*N!T22)))+(Rstar!T22*N!T22*(1-(N!T22/Kstar!T22)))</f>
        <v>99.750752619412751</v>
      </c>
      <c r="U22" s="75">
        <f>N!U22+($C$7*(SUM(N!T22,N!U21,N!V22,N!U23)-(4*N!U22)))+(Rstar!U22*N!U22*(1-(N!U22/Kstar!U22)))</f>
        <v>99.750750680698019</v>
      </c>
      <c r="V22" s="75">
        <f>N!V22+($C$7*(SUM(N!U22,N!V21,N!W22,N!V23)-(4*N!V22)))+(Rstar!V22*N!V22*(1-(N!V22/Kstar!V22)))</f>
        <v>99.75074823467925</v>
      </c>
      <c r="W22" s="75">
        <f>N!W22+($C$7*(SUM(N!V22,N!W21,N!X22,N!W23)-(4*N!W22)))+(Rstar!W22*N!W22*(1-(N!W22/Kstar!W22)))</f>
        <v>99.750745041815591</v>
      </c>
      <c r="X22" s="75">
        <f>N!X22+($C$7*(SUM(N!W22,N!X21,N!Y22,N!X23)-(4*N!X22)))+(Rstar!X22*N!X22*(1-(N!X22/Kstar!X22)))</f>
        <v>99.750740386741313</v>
      </c>
      <c r="Y22" s="75">
        <f>N!Y22+($C$7*(SUM(N!X22,N!Y21,N!Z22,N!Y23)-(4*N!Y22)))+(Rstar!Y22*N!Y22*(1-(N!Y22/Kstar!Y22)))</f>
        <v>99.750732373454227</v>
      </c>
      <c r="Z22" s="75">
        <f>N!Z22+($C$7*(SUM(N!Y22,N!Z21,N!AA22,N!Z23)-(4*N!Z22)))+(Rstar!Z22*N!Z22*(1-(N!Z22/Kstar!Z22)))</f>
        <v>99.750716366378327</v>
      </c>
      <c r="AA22" s="75">
        <f>N!AA22+($C$7*(SUM(N!Z22,N!AA21,N!AB22,N!AA23)-(4*N!AA22)))+(Rstar!AA22*N!AA22*(1-(N!AA22/Kstar!AA22)))</f>
        <v>99.750681446120893</v>
      </c>
      <c r="AB22" s="75">
        <f>N!AB22+($C$7*(SUM(N!AA22,N!AB21,N!AC22,N!AB23)-(4*N!AB22)))+(Rstar!AB22*N!AB22*(1-(N!AB22/Kstar!AB22)))</f>
        <v>99.7506022198436</v>
      </c>
      <c r="AC22" s="75">
        <f>N!AC22+($C$7*(SUM(N!AB22,N!AC21,N!AD22,N!AC23)-(4*N!AC22)))+(Rstar!AC22*N!AC22*(1-(N!AC22/Kstar!AC22)))</f>
        <v>99.750419819464398</v>
      </c>
      <c r="AD22" s="75">
        <f>N!AD22+($C$7*(SUM(N!AC22,N!AD21,N!AE22,N!AD23)-(4*N!AD22)))+(Rstar!AD22*N!AD22*(1-(N!AD22/Kstar!AD22)))</f>
        <v>99.749997810217849</v>
      </c>
      <c r="AE22" s="75">
        <f>N!AE22+($C$7*(SUM(N!AD22,N!AE21,N!AF22,N!AE23)-(4*N!AE22)))+(Rstar!AE22*N!AE22*(1-(N!AE22/Kstar!AE22)))</f>
        <v>99.749019924829966</v>
      </c>
      <c r="AF22" s="75">
        <f>N!AF22+($C$7*(SUM(N!AE22,N!AF21,N!AG22,N!AF23)-(4*N!AF22)))+(Rstar!AF22*N!AF22*(1-(N!AF22/Kstar!AF22)))</f>
        <v>99.746752924214874</v>
      </c>
      <c r="AG22" s="75">
        <f>N!AG22+($C$7*(SUM(N!AF22,N!AG21,N!AH22,N!AG23)-(4*N!AG22)))+(Rstar!AG22*N!AG22*(1-(N!AG22/Kstar!AG22)))</f>
        <v>99.74149677238681</v>
      </c>
      <c r="AH22" s="75">
        <f>N!AH22+($C$7*(SUM(N!AG22,N!AH21,N!AI22,N!AH23)-(4*N!AH22)))+(Rstar!AH22*N!AH22*(1-(N!AH22/Kstar!AH22)))</f>
        <v>99.729309989763522</v>
      </c>
      <c r="AI22" s="75">
        <f>N!AI22+($C$7*(SUM(N!AH22,N!AI21,N!AJ22,N!AI23)-(4*N!AI22)))+(Rstar!AI22*N!AI22*(1-(N!AI22/Kstar!AI22)))</f>
        <v>99.701055439047465</v>
      </c>
      <c r="AJ22" s="75">
        <f>N!AJ22+($C$7*(SUM(N!AI22,N!AJ21,N!AK22,N!AJ23)-(4*N!AJ22)))+(Rstar!AJ22*N!AJ22*(1-(N!AJ22/Kstar!AJ22)))</f>
        <v>99.635557520922617</v>
      </c>
      <c r="AK22" s="75">
        <f>N!AK22+($C$7*(SUM(N!AJ22,N!AK21,N!AL22,N!AK23)-(4*N!AK22)))+(Rstar!AK22*N!AK22*(1-(N!AK22/Kstar!AK22)))</f>
        <v>99.483774313550612</v>
      </c>
      <c r="AL22" s="75">
        <f>N!AL22+($C$7*(SUM(N!AK22,N!AL21,N!AM22,N!AL23)-(4*N!AL22)))+(Rstar!AL22*N!AL22*(1-(N!AL22/Kstar!AL22)))</f>
        <v>99.132305044988627</v>
      </c>
      <c r="AM22" s="75">
        <f>N!AM22+($C$7*(SUM(N!AL22,N!AM21,N!AN22,N!AM23)-(4*N!AM22)))+(Rstar!AM22*N!AM22*(1-(N!AM22/Kstar!AM22)))</f>
        <v>98.319888340416369</v>
      </c>
      <c r="AN22" s="75">
        <f>N!AN22+($C$7*(SUM(N!AM22,N!AN21,N!AO22,N!AN23)-(4*N!AN22)))+(Rstar!AN22*N!AN22*(1-(N!AN22/Kstar!AN22)))</f>
        <v>96.449730659028234</v>
      </c>
      <c r="AO22" s="75">
        <f>N!AO22+($C$7*(SUM(N!AN22,N!AO21,N!AP22,N!AO23)-(4*N!AO22)))+(Rstar!AO22*N!AO22*(1-(N!AO22/Kstar!AO22)))</f>
        <v>92.185751287845449</v>
      </c>
      <c r="AP22" s="75">
        <f>N!AP22+($C$7*(SUM(N!AO22,N!AP21,N!AQ22,N!AP23)-(4*N!AP22)))+(Rstar!AP22*N!AP22*(1-(N!AP22/Kstar!AP22)))</f>
        <v>82.678329224440517</v>
      </c>
      <c r="AQ22" s="94">
        <f>N!AQ22+($C$7*(SUM(N!AP22,N!AQ21,N!AR22,N!AQ23)-(4*N!AQ22)))+(Rstar!AQ22*N!AQ22*(1-(N!AQ22/Kstar!AQ22)))</f>
        <v>62.55807621058247</v>
      </c>
      <c r="AR22" s="92">
        <f>N!AR22+($X$7*(SUM(N!AQ22,N!AR21,N!AS22,N!AR23)-(4*N!AR22)))+(Rstar!AR22*N!AR22*(1-(N!AR22/Kstar!AR22)))</f>
        <v>24.943967361007001</v>
      </c>
      <c r="AS22" s="86">
        <f>N!AS22+($X$7*(SUM(N!AR22,N!AS21,N!AT22,N!AS23)-(4*N!AS22)))+(Rstar!AS22*N!AS22*(1-(N!AS22/Kstar!AS22)))</f>
        <v>15.403599795429523</v>
      </c>
      <c r="AT22" s="86">
        <f>N!AT22+($X$7*(SUM(N!AS22,N!AT21,N!AU22,N!AT23)-(4*N!AT22)))+(Rstar!AT22*N!AT22*(1-(N!AT22/Kstar!AT22)))</f>
        <v>12.150314354103031</v>
      </c>
      <c r="AU22" s="86">
        <f>N!AU22+($X$7*(SUM(N!AT22,N!AU21,N!AV22,N!AU23)-(4*N!AU22)))+(Rstar!AU22*N!AU22*(1-(N!AU22/Kstar!AU22)))</f>
        <v>10.884218070960992</v>
      </c>
      <c r="AV22" s="86">
        <f>N!AV22+($X$7*(SUM(N!AU22,N!AV21,N!AW22,N!AV23)-(4*N!AV22)))+(Rstar!AV22*N!AV22*(1-(N!AV22/Kstar!AV22)))</f>
        <v>10.362116956772494</v>
      </c>
      <c r="AW22" s="86">
        <f>N!AW22+($X$7*(SUM(N!AV22,N!AW21,N!AX22,N!AW23)-(4*N!AW22)))+(Rstar!AW22*N!AW22*(1-(N!AW22/Kstar!AW22)))</f>
        <v>10.141536410181281</v>
      </c>
      <c r="AX22" s="86">
        <f>N!AX22+($X$7*(SUM(N!AW22,N!AX21,N!AY22,N!AX23)-(4*N!AX22)))+(Rstar!AX22*N!AX22*(1-(N!AX22/Kstar!AX22)))</f>
        <v>10.047814654363957</v>
      </c>
      <c r="AY22" s="87">
        <f>N!AY22+($X$7*(SUM(N!AX22,N!AY21,N!AZ22,N!AY23)-(4*N!AY22)))+(Rstar!AY22*N!AY22*(1-(N!AY22/Kstar!AY22)))</f>
        <v>10.008853908777201</v>
      </c>
      <c r="AZ22" s="72">
        <f>N!AZ22+($X$7*(SUM(N!AY22,N!AZ21,N!AZ23)-(3*N!AZ22)))+(Rstar!AZ22*N!AZ22*(1-(N!AZ22/Kstar!AZ22)))</f>
        <v>9.9948542652021235</v>
      </c>
      <c r="BA22" s="35">
        <v>4</v>
      </c>
    </row>
    <row r="23" spans="2:53" x14ac:dyDescent="0.2">
      <c r="B23" s="34">
        <v>5</v>
      </c>
      <c r="C23" s="72">
        <f>N!C23+($X$7*(SUM(N!C22,N!D23,N!C24)-(3*N!C23)))+(Rstar!C23*N!C23*(1-(N!C23/Kstar!C23)))</f>
        <v>99.750757266677496</v>
      </c>
      <c r="D23" s="74">
        <f>N!D23+($C$7*(SUM(N!C23,N!D22,N!E23,N!D24)-(4*N!D23)))+(Rstar!D23*N!D23*(1-(N!D23/Kstar!D23)))</f>
        <v>99.750757177112575</v>
      </c>
      <c r="E23" s="75">
        <f>N!E23+($C$7*(SUM(N!D23,N!E22,N!F23,N!E24)-(4*N!E23)))+(Rstar!E23*N!E23*(1-(N!E23/Kstar!E23)))</f>
        <v>99.750756980985472</v>
      </c>
      <c r="F23" s="75">
        <f>N!F23+($C$7*(SUM(N!E23,N!F22,N!G23,N!F24)-(4*N!F23)))+(Rstar!F23*N!F23*(1-(N!F23/Kstar!F23)))</f>
        <v>99.750756655296598</v>
      </c>
      <c r="G23" s="75">
        <f>N!G23+($C$7*(SUM(N!F23,N!G22,N!H23,N!G24)-(4*N!G23)))+(Rstar!G23*N!G23*(1-(N!G23/Kstar!G23)))</f>
        <v>99.750756813930323</v>
      </c>
      <c r="H23" s="75">
        <f>N!H23+($C$7*(SUM(N!G23,N!H22,N!I23,N!H24)-(4*N!H23)))+(Rstar!H23*N!H23*(1-(N!H23/Kstar!H23)))</f>
        <v>99.750756813880557</v>
      </c>
      <c r="I23" s="75">
        <f>N!I23+($C$7*(SUM(N!H23,N!I22,N!J23,N!I24)-(4*N!I23)))+(Rstar!I23*N!I23*(1-(N!I23/Kstar!I23)))</f>
        <v>99.750756640657869</v>
      </c>
      <c r="J23" s="75">
        <f>N!J23+($C$7*(SUM(N!I23,N!J22,N!K23,N!J24)-(4*N!J23)))+(Rstar!J23*N!J23*(1-(N!J23/Kstar!J23)))</f>
        <v>99.750756279331966</v>
      </c>
      <c r="K23" s="75">
        <f>N!K23+($C$7*(SUM(N!J23,N!K22,N!L23,N!K24)-(4*N!K23)))+(Rstar!K23*N!K23*(1-(N!K23/Kstar!K23)))</f>
        <v>99.750756640744882</v>
      </c>
      <c r="L23" s="75">
        <f>N!L23+($C$7*(SUM(N!K23,N!L22,N!M23,N!L24)-(4*N!L23)))+(Rstar!L23*N!L23*(1-(N!L23/Kstar!L23)))</f>
        <v>99.750756813930323</v>
      </c>
      <c r="M23" s="75">
        <f>N!M23+($C$7*(SUM(N!L23,N!M22,N!N23,N!M24)-(4*N!M23)))+(Rstar!M23*N!M23*(1-(N!M23/Kstar!M23)))</f>
        <v>99.750756813880557</v>
      </c>
      <c r="N23" s="75">
        <f>N!N23+($C$7*(SUM(N!M23,N!N22,N!O23,N!N24)-(4*N!N23)))+(Rstar!N23*N!N23*(1-(N!N23/Kstar!N23)))</f>
        <v>99.750756640657869</v>
      </c>
      <c r="O23" s="75">
        <f>N!O23+($C$7*(SUM(N!N23,N!O22,N!P23,N!O24)-(4*N!O23)))+(Rstar!O23*N!O23*(1-(N!O23/Kstar!O23)))</f>
        <v>99.750756258257113</v>
      </c>
      <c r="P23" s="75">
        <f>N!P23+($C$7*(SUM(N!O23,N!P22,N!Q23,N!P24)-(4*N!P23)))+(Rstar!P23*N!P23*(1-(N!P23/Kstar!P23)))</f>
        <v>99.750755594083387</v>
      </c>
      <c r="Q23" s="75">
        <f>N!Q23+($C$7*(SUM(N!P23,N!Q22,N!R23,N!Q24)-(4*N!Q23)))+(Rstar!Q23*N!Q23*(1-(N!Q23/Kstar!Q23)))</f>
        <v>99.750754540573269</v>
      </c>
      <c r="R23" s="75">
        <f>N!R23+($C$7*(SUM(N!Q23,N!R22,N!S23,N!R24)-(4*N!R23)))+(Rstar!R23*N!R23*(1-(N!R23/Kstar!R23)))</f>
        <v>99.750752963836561</v>
      </c>
      <c r="S23" s="75">
        <f>N!S23+($C$7*(SUM(N!R23,N!S22,N!T23,N!S24)-(4*N!S23)))+(Rstar!S23*N!S23*(1-(N!S23/Kstar!S23)))</f>
        <v>99.750750724775344</v>
      </c>
      <c r="T23" s="75">
        <f>N!T23+($C$7*(SUM(N!S23,N!T22,N!U23,N!T24)-(4*N!T23)))+(Rstar!T23*N!T23*(1-(N!T23/Kstar!T23)))</f>
        <v>99.75074771377173</v>
      </c>
      <c r="U23" s="75">
        <f>N!U23+($C$7*(SUM(N!T23,N!U22,N!V23,N!U24)-(4*N!U23)))+(Rstar!U23*N!U23*(1-(N!U23/Kstar!U23)))</f>
        <v>99.750743885685509</v>
      </c>
      <c r="V23" s="75">
        <f>N!V23+($C$7*(SUM(N!U23,N!V22,N!W23,N!V24)-(4*N!V23)))+(Rstar!V23*N!V23*(1-(N!V23/Kstar!V23)))</f>
        <v>99.75073925375915</v>
      </c>
      <c r="W23" s="75">
        <f>N!W23+($C$7*(SUM(N!V23,N!W22,N!X23,N!W24)-(4*N!W23)))+(Rstar!W23*N!W23*(1-(N!W23/Kstar!W23)))</f>
        <v>99.750733762566142</v>
      </c>
      <c r="X23" s="75">
        <f>N!X23+($C$7*(SUM(N!W23,N!X22,N!Y23,N!X24)-(4*N!X23)))+(Rstar!X23*N!X23*(1-(N!X23/Kstar!X23)))</f>
        <v>99.7507269212024</v>
      </c>
      <c r="Y23" s="75">
        <f>N!Y23+($C$7*(SUM(N!X23,N!Y22,N!Z23,N!Y24)-(4*N!Y23)))+(Rstar!Y23*N!Y23*(1-(N!Y23/Kstar!Y23)))</f>
        <v>99.750717017643453</v>
      </c>
      <c r="Z23" s="75">
        <f>N!Z23+($C$7*(SUM(N!Y23,N!Z22,N!AA23,N!Z24)-(4*N!Z23)))+(Rstar!Z23*N!Z23*(1-(N!Z23/Kstar!Z23)))</f>
        <v>99.750699509575313</v>
      </c>
      <c r="AA23" s="75">
        <f>N!AA23+($C$7*(SUM(N!Z23,N!AA22,N!AB23,N!AA24)-(4*N!AA23)))+(Rstar!AA23*N!AA23*(1-(N!AA23/Kstar!AA23)))</f>
        <v>99.750663480992486</v>
      </c>
      <c r="AB23" s="75">
        <f>N!AB23+($C$7*(SUM(N!AA23,N!AB22,N!AC23,N!AB24)-(4*N!AB23)))+(Rstar!AB23*N!AB23*(1-(N!AB23/Kstar!AB23)))</f>
        <v>99.750583483792639</v>
      </c>
      <c r="AC23" s="75">
        <f>N!AC23+($C$7*(SUM(N!AB23,N!AC22,N!AD23,N!AC24)-(4*N!AC23)))+(Rstar!AC23*N!AC23*(1-(N!AC23/Kstar!AC23)))</f>
        <v>99.750400570791598</v>
      </c>
      <c r="AD23" s="75">
        <f>N!AD23+($C$7*(SUM(N!AC23,N!AD22,N!AE23,N!AD24)-(4*N!AD23)))+(Rstar!AD23*N!AD23*(1-(N!AD23/Kstar!AD23)))</f>
        <v>99.749978228325077</v>
      </c>
      <c r="AE23" s="75">
        <f>N!AE23+($C$7*(SUM(N!AD23,N!AE22,N!AF23,N!AE24)-(4*N!AE23)))+(Rstar!AE23*N!AE23*(1-(N!AE23/Kstar!AE23)))</f>
        <v>99.749000121405828</v>
      </c>
      <c r="AF23" s="75">
        <f>N!AF23+($C$7*(SUM(N!AE23,N!AF22,N!AG23,N!AF24)-(4*N!AF23)))+(Rstar!AF23*N!AF23*(1-(N!AF23/Kstar!AF23)))</f>
        <v>99.74673295570696</v>
      </c>
      <c r="AG23" s="75">
        <f>N!AG23+($C$7*(SUM(N!AF23,N!AG22,N!AH23,N!AG24)-(4*N!AG23)))+(Rstar!AG23*N!AG23*(1-(N!AG23/Kstar!AG23)))</f>
        <v>99.741476648198883</v>
      </c>
      <c r="AH23" s="75">
        <f>N!AH23+($C$7*(SUM(N!AG23,N!AH22,N!AI23,N!AH24)-(4*N!AH23)))+(Rstar!AH23*N!AH23*(1-(N!AH23/Kstar!AH23)))</f>
        <v>99.729289673549616</v>
      </c>
      <c r="AI23" s="75">
        <f>N!AI23+($C$7*(SUM(N!AH23,N!AI22,N!AJ23,N!AI24)-(4*N!AI23)))+(Rstar!AI23*N!AI23*(1-(N!AI23/Kstar!AI23)))</f>
        <v>99.701034842171993</v>
      </c>
      <c r="AJ23" s="75">
        <f>N!AJ23+($C$7*(SUM(N!AI23,N!AJ22,N!AK23,N!AJ24)-(4*N!AJ23)))+(Rstar!AJ23*N!AJ23*(1-(N!AJ23/Kstar!AJ23)))</f>
        <v>99.635536488522931</v>
      </c>
      <c r="AK23" s="75">
        <f>N!AK23+($C$7*(SUM(N!AJ23,N!AK22,N!AL23,N!AK24)-(4*N!AK23)))+(Rstar!AK23*N!AK23*(1-(N!AK23/Kstar!AK23)))</f>
        <v>99.483752606277406</v>
      </c>
      <c r="AL23" s="75">
        <f>N!AL23+($C$7*(SUM(N!AK23,N!AL22,N!AM23,N!AL24)-(4*N!AL23)))+(Rstar!AL23*N!AL23*(1-(N!AL23/Kstar!AL23)))</f>
        <v>99.132282326386388</v>
      </c>
      <c r="AM23" s="75">
        <f>N!AM23+($C$7*(SUM(N!AL23,N!AM22,N!AN23,N!AM24)-(4*N!AM23)))+(Rstar!AM23*N!AM23*(1-(N!AM23/Kstar!AM23)))</f>
        <v>98.319864197700653</v>
      </c>
      <c r="AN23" s="75">
        <f>N!AN23+($C$7*(SUM(N!AM23,N!AN22,N!AO23,N!AN24)-(4*N!AN23)))+(Rstar!AN23*N!AN23*(1-(N!AN23/Kstar!AN23)))</f>
        <v>96.449704729652197</v>
      </c>
      <c r="AO23" s="75">
        <f>N!AO23+($C$7*(SUM(N!AN23,N!AO22,N!AP23,N!AO24)-(4*N!AO23)))+(Rstar!AO23*N!AO23*(1-(N!AO23/Kstar!AO23)))</f>
        <v>92.185723670228015</v>
      </c>
      <c r="AP23" s="75">
        <f>N!AP23+($C$7*(SUM(N!AO23,N!AP22,N!AQ23,N!AP24)-(4*N!AP23)))+(Rstar!AP23*N!AP23*(1-(N!AP23/Kstar!AP23)))</f>
        <v>82.678301556271663</v>
      </c>
      <c r="AQ23" s="94">
        <f>N!AQ23+($C$7*(SUM(N!AP23,N!AQ22,N!AR23,N!AQ24)-(4*N!AQ23)))+(Rstar!AQ23*N!AQ23*(1-(N!AQ23/Kstar!AQ23)))</f>
        <v>62.558053878046813</v>
      </c>
      <c r="AR23" s="92">
        <f>N!AR23+($X$7*(SUM(N!AQ23,N!AR22,N!AS23,N!AR24)-(4*N!AR23)))+(Rstar!AR23*N!AR23*(1-(N!AR23/Kstar!AR23)))</f>
        <v>24.943961280369958</v>
      </c>
      <c r="AS23" s="86">
        <f>N!AS23+($X$7*(SUM(N!AR23,N!AS22,N!AT23,N!AS24)-(4*N!AS23)))+(Rstar!AS23*N!AS23*(1-(N!AS23/Kstar!AS23)))</f>
        <v>15.403595591290516</v>
      </c>
      <c r="AT23" s="86">
        <f>N!AT23+($X$7*(SUM(N!AS23,N!AT22,N!AU23,N!AT24)-(4*N!AT23)))+(Rstar!AT23*N!AT23*(1-(N!AT23/Kstar!AT23)))</f>
        <v>12.150307026197103</v>
      </c>
      <c r="AU23" s="86">
        <f>N!AU23+($X$7*(SUM(N!AT23,N!AU22,N!AV23,N!AU24)-(4*N!AU23)))+(Rstar!AU23*N!AU23*(1-(N!AU23/Kstar!AU23)))</f>
        <v>10.884200611081654</v>
      </c>
      <c r="AV23" s="86">
        <f>N!AV23+($X$7*(SUM(N!AU23,N!AV22,N!AW23,N!AV24)-(4*N!AV23)))+(Rstar!AV23*N!AV23*(1-(N!AV23/Kstar!AV23)))</f>
        <v>10.362075323374844</v>
      </c>
      <c r="AW23" s="86">
        <f>N!AW23+($X$7*(SUM(N!AV23,N!AW22,N!AX23,N!AW24)-(4*N!AW23)))+(Rstar!AW23*N!AW23*(1-(N!AW23/Kstar!AW23)))</f>
        <v>10.141443064921242</v>
      </c>
      <c r="AX23" s="86">
        <f>N!AX23+($X$7*(SUM(N!AW23,N!AX22,N!AY23,N!AX24)-(4*N!AX23)))+(Rstar!AX23*N!AX23*(1-(N!AX23/Kstar!AX23)))</f>
        <v>10.047622585538239</v>
      </c>
      <c r="AY23" s="87">
        <f>N!AY23+($X$7*(SUM(N!AX23,N!AY22,N!AZ23,N!AY24)-(4*N!AY23)))+(Rstar!AY23*N!AY23*(1-(N!AY23/Kstar!AY23)))</f>
        <v>10.008505674774181</v>
      </c>
      <c r="AZ23" s="72">
        <f>N!AZ23+($X$7*(SUM(N!AY23,N!AZ22,N!AZ24)-(3*N!AZ23)))+(Rstar!AZ23*N!AZ23*(1-(N!AZ23/Kstar!AZ23)))</f>
        <v>9.9943430258847368</v>
      </c>
      <c r="BA23" s="35">
        <v>5</v>
      </c>
    </row>
    <row r="24" spans="2:53" x14ac:dyDescent="0.2">
      <c r="B24" s="34">
        <v>6</v>
      </c>
      <c r="C24" s="72">
        <f>N!C24+($X$7*(SUM(N!C23,N!D24,N!C25)-(3*N!C24)))+(Rstar!C24*N!C24*(1-(N!C24/Kstar!C24)))</f>
        <v>99.750756743614261</v>
      </c>
      <c r="D24" s="74">
        <f>N!D24+($C$7*(SUM(N!C24,N!D23,N!E24,N!D25)-(4*N!D24)))+(Rstar!D24*N!D24*(1-(N!D24/Kstar!D24)))</f>
        <v>99.75075658160246</v>
      </c>
      <c r="E24" s="75">
        <f>N!E24+($C$7*(SUM(N!D24,N!E23,N!F24,N!E25)-(4*N!E24)))+(Rstar!E24*N!E24*(1-(N!E24/Kstar!E24)))</f>
        <v>99.75075622820583</v>
      </c>
      <c r="F24" s="75">
        <f>N!F24+($C$7*(SUM(N!E24,N!F23,N!G24,N!F25)-(4*N!F24)))+(Rstar!F24*N!F24*(1-(N!F24/Kstar!F24)))</f>
        <v>99.750755642155383</v>
      </c>
      <c r="G24" s="75">
        <f>N!G24+($C$7*(SUM(N!F24,N!G23,N!H24,N!G25)-(4*N!G24)))+(Rstar!G24*N!G24*(1-(N!G24/Kstar!G24)))</f>
        <v>99.750755923942435</v>
      </c>
      <c r="H24" s="75">
        <f>N!H24+($C$7*(SUM(N!G24,N!H23,N!I24,N!H25)-(4*N!H24)))+(Rstar!H24*N!H24*(1-(N!H24/Kstar!H24)))</f>
        <v>99.750755923883148</v>
      </c>
      <c r="I24" s="75">
        <f>N!I24+($C$7*(SUM(N!H24,N!I23,N!J24,N!I25)-(4*N!I24)))+(Rstar!I24*N!I24*(1-(N!I24/Kstar!I24)))</f>
        <v>99.750755615849826</v>
      </c>
      <c r="J24" s="75">
        <f>N!J24+($C$7*(SUM(N!I24,N!J23,N!K24,N!J25)-(4*N!J24)))+(Rstar!J24*N!J24*(1-(N!J24/Kstar!J24)))</f>
        <v>99.750754965068936</v>
      </c>
      <c r="K24" s="75">
        <f>N!K24+($C$7*(SUM(N!J24,N!K23,N!L24,N!K25)-(4*N!K24)))+(Rstar!K24*N!K24*(1-(N!K24/Kstar!K24)))</f>
        <v>99.750755615946915</v>
      </c>
      <c r="L24" s="75">
        <f>N!L24+($C$7*(SUM(N!K24,N!L23,N!M24,N!L25)-(4*N!L24)))+(Rstar!L24*N!L24*(1-(N!L24/Kstar!L24)))</f>
        <v>99.750755923942435</v>
      </c>
      <c r="M24" s="75">
        <f>N!M24+($C$7*(SUM(N!L24,N!M23,N!N24,N!M25)-(4*N!M24)))+(Rstar!M24*N!M24*(1-(N!M24/Kstar!M24)))</f>
        <v>99.750755923883148</v>
      </c>
      <c r="N24" s="75">
        <f>N!N24+($C$7*(SUM(N!M24,N!N23,N!O24,N!N25)-(4*N!N24)))+(Rstar!N24*N!N24*(1-(N!N24/Kstar!N24)))</f>
        <v>99.750755615849826</v>
      </c>
      <c r="O24" s="75">
        <f>N!O24+($C$7*(SUM(N!N24,N!O23,N!P24,N!O25)-(4*N!O24)))+(Rstar!O24*N!O24*(1-(N!O24/Kstar!O24)))</f>
        <v>99.750754926594709</v>
      </c>
      <c r="P24" s="75">
        <f>N!P24+($C$7*(SUM(N!O24,N!P23,N!Q24,N!P25)-(4*N!P24)))+(Rstar!P24*N!P24*(1-(N!P24/Kstar!P24)))</f>
        <v>99.750753705266661</v>
      </c>
      <c r="Q24" s="75">
        <f>N!Q24+($C$7*(SUM(N!P24,N!Q23,N!R24,N!Q25)-(4*N!Q24)))+(Rstar!Q24*N!Q24*(1-(N!Q24/Kstar!Q24)))</f>
        <v>99.750751720922906</v>
      </c>
      <c r="R24" s="75">
        <f>N!R24+($C$7*(SUM(N!Q24,N!R23,N!S24,N!R25)-(4*N!R24)))+(Rstar!R24*N!R24*(1-(N!R24/Kstar!R24)))</f>
        <v>99.750748674093899</v>
      </c>
      <c r="S24" s="75">
        <f>N!S24+($C$7*(SUM(N!R24,N!S23,N!T24,N!S25)-(4*N!S24)))+(Rstar!S24*N!S24*(1-(N!S24/Kstar!S24)))</f>
        <v>99.75074423981809</v>
      </c>
      <c r="T24" s="75">
        <f>N!T24+($C$7*(SUM(N!S24,N!T23,N!U24,N!T25)-(4*N!T24)))+(Rstar!T24*N!T24*(1-(N!T24/Kstar!T24)))</f>
        <v>99.750738156644729</v>
      </c>
      <c r="U24" s="75">
        <f>N!U24+($C$7*(SUM(N!T24,N!U23,N!V24,N!U25)-(4*N!U24)))+(Rstar!U24*N!U24*(1-(N!U24/Kstar!U24)))</f>
        <v>99.750730351362435</v>
      </c>
      <c r="V24" s="75">
        <f>N!V24+($C$7*(SUM(N!U24,N!V23,N!W24,N!V25)-(4*N!V24)))+(Rstar!V24*N!V24*(1-(N!V24/Kstar!V24)))</f>
        <v>99.750721028691714</v>
      </c>
      <c r="W24" s="75">
        <f>N!W24+($C$7*(SUM(N!V24,N!W23,N!X24,N!W25)-(4*N!W24)))+(Rstar!W24*N!W24*(1-(N!W24/Kstar!W24)))</f>
        <v>99.750710569479637</v>
      </c>
      <c r="X24" s="75">
        <f>N!X24+($C$7*(SUM(N!W24,N!X23,N!Y24,N!X25)-(4*N!X24)))+(Rstar!X24*N!X24*(1-(N!X24/Kstar!X24)))</f>
        <v>99.750699036839748</v>
      </c>
      <c r="Y24" s="75">
        <f>N!Y24+($C$7*(SUM(N!X24,N!Y23,N!Z24,N!Y25)-(4*N!Y24)))+(Rstar!Y24*N!Y24*(1-(N!Y24/Kstar!Y24)))</f>
        <v>99.750685154864343</v>
      </c>
      <c r="Z24" s="75">
        <f>N!Z24+($C$7*(SUM(N!Y24,N!Z23,N!AA24,N!Z25)-(4*N!Z24)))+(Rstar!Z24*N!Z24*(1-(N!Z24/Kstar!Z24)))</f>
        <v>99.750664572216849</v>
      </c>
      <c r="AA24" s="75">
        <f>N!AA24+($C$7*(SUM(N!Z24,N!AA23,N!AB24,N!AA25)-(4*N!AA24)))+(Rstar!AA24*N!AA24*(1-(N!AA24/Kstar!AA24)))</f>
        <v>99.75062634358909</v>
      </c>
      <c r="AB24" s="75">
        <f>N!AB24+($C$7*(SUM(N!AA24,N!AB23,N!AC24,N!AB25)-(4*N!AB24)))+(Rstar!AB24*N!AB24*(1-(N!AB24/Kstar!AB24)))</f>
        <v>99.750544866424107</v>
      </c>
      <c r="AC24" s="75">
        <f>N!AC24+($C$7*(SUM(N!AB24,N!AC23,N!AD24,N!AC25)-(4*N!AC24)))+(Rstar!AC24*N!AC24*(1-(N!AC24/Kstar!AC24)))</f>
        <v>99.750361002558009</v>
      </c>
      <c r="AD24" s="75">
        <f>N!AD24+($C$7*(SUM(N!AC24,N!AD23,N!AE24,N!AD25)-(4*N!AD24)))+(Rstar!AD24*N!AD24*(1-(N!AD24/Kstar!AD24)))</f>
        <v>99.74993806328186</v>
      </c>
      <c r="AE24" s="75">
        <f>N!AE24+($C$7*(SUM(N!AD24,N!AE23,N!AF24,N!AE25)-(4*N!AE24)))+(Rstar!AE24*N!AE24*(1-(N!AE24/Kstar!AE24)))</f>
        <v>99.748959573324157</v>
      </c>
      <c r="AF24" s="75">
        <f>N!AF24+($C$7*(SUM(N!AE24,N!AF23,N!AG24,N!AF25)-(4*N!AF24)))+(Rstar!AF24*N!AF24*(1-(N!AF24/Kstar!AF24)))</f>
        <v>99.746692130709377</v>
      </c>
      <c r="AG24" s="75">
        <f>N!AG24+($C$7*(SUM(N!AF24,N!AG23,N!AH24,N!AG25)-(4*N!AG24)))+(Rstar!AG24*N!AG24*(1-(N!AG24/Kstar!AG24)))</f>
        <v>99.741435565301671</v>
      </c>
      <c r="AH24" s="75">
        <f>N!AH24+($C$7*(SUM(N!AG24,N!AH23,N!AI24,N!AH25)-(4*N!AH24)))+(Rstar!AH24*N!AH24*(1-(N!AH24/Kstar!AH24)))</f>
        <v>99.729248269459205</v>
      </c>
      <c r="AI24" s="75">
        <f>N!AI24+($C$7*(SUM(N!AH24,N!AI23,N!AJ24,N!AI25)-(4*N!AI24)))+(Rstar!AI24*N!AI24*(1-(N!AI24/Kstar!AI24)))</f>
        <v>99.700992959528548</v>
      </c>
      <c r="AJ24" s="75">
        <f>N!AJ24+($C$7*(SUM(N!AI24,N!AJ23,N!AK24,N!AJ25)-(4*N!AJ24)))+(Rstar!AJ24*N!AJ24*(1-(N!AJ24/Kstar!AJ24)))</f>
        <v>99.635493848727279</v>
      </c>
      <c r="AK24" s="75">
        <f>N!AK24+($C$7*(SUM(N!AJ24,N!AK23,N!AL24,N!AK25)-(4*N!AK24)))+(Rstar!AK24*N!AK24*(1-(N!AK24/Kstar!AK24)))</f>
        <v>99.483708772587931</v>
      </c>
      <c r="AL24" s="75">
        <f>N!AL24+($C$7*(SUM(N!AK24,N!AL23,N!AM24,N!AL25)-(4*N!AL24)))+(Rstar!AL24*N!AL24*(1-(N!AL24/Kstar!AL24)))</f>
        <v>99.132236676220202</v>
      </c>
      <c r="AM24" s="75">
        <f>N!AM24+($C$7*(SUM(N!AL24,N!AM23,N!AN24,N!AM25)-(4*N!AM24)))+(Rstar!AM24*N!AM24*(1-(N!AM24/Kstar!AM24)))</f>
        <v>98.319815958365027</v>
      </c>
      <c r="AN24" s="75">
        <f>N!AN24+($C$7*(SUM(N!AM24,N!AN23,N!AO24,N!AN25)-(4*N!AN24)))+(Rstar!AN24*N!AN24*(1-(N!AN24/Kstar!AN24)))</f>
        <v>96.449653220638012</v>
      </c>
      <c r="AO24" s="75">
        <f>N!AO24+($C$7*(SUM(N!AN24,N!AO23,N!AP24,N!AO25)-(4*N!AO24)))+(Rstar!AO24*N!AO24*(1-(N!AO24/Kstar!AO24)))</f>
        <v>92.185669105363715</v>
      </c>
      <c r="AP24" s="75">
        <f>N!AP24+($C$7*(SUM(N!AO24,N!AP23,N!AQ24,N!AP25)-(4*N!AP24)))+(Rstar!AP24*N!AP24*(1-(N!AP24/Kstar!AP24)))</f>
        <v>82.678247163238581</v>
      </c>
      <c r="AQ24" s="94">
        <f>N!AQ24+($C$7*(SUM(N!AP24,N!AQ23,N!AR24,N!AQ25)-(4*N!AQ24)))+(Rstar!AQ24*N!AQ24*(1-(N!AQ24/Kstar!AQ24)))</f>
        <v>62.558010245546114</v>
      </c>
      <c r="AR24" s="92">
        <f>N!AR24+($X$7*(SUM(N!AQ24,N!AR23,N!AS24,N!AR25)-(4*N!AR24)))+(Rstar!AR24*N!AR24*(1-(N!AR24/Kstar!AR24)))</f>
        <v>24.943949843335158</v>
      </c>
      <c r="AS24" s="86">
        <f>N!AS24+($X$7*(SUM(N!AR24,N!AS23,N!AT24,N!AS25)-(4*N!AS24)))+(Rstar!AS24*N!AS24*(1-(N!AS24/Kstar!AS24)))</f>
        <v>15.403589655464302</v>
      </c>
      <c r="AT24" s="86">
        <f>N!AT24+($X$7*(SUM(N!AS24,N!AT23,N!AU24,N!AT25)-(4*N!AT24)))+(Rstar!AT24*N!AT24*(1-(N!AT24/Kstar!AT24)))</f>
        <v>12.150300598485503</v>
      </c>
      <c r="AU24" s="86">
        <f>N!AU24+($X$7*(SUM(N!AT24,N!AU23,N!AV24,N!AU25)-(4*N!AU24)))+(Rstar!AU24*N!AU24*(1-(N!AU24/Kstar!AU24)))</f>
        <v>10.884188995251517</v>
      </c>
      <c r="AV24" s="86">
        <f>N!AV24+($X$7*(SUM(N!AU24,N!AV23,N!AW24,N!AV25)-(4*N!AV24)))+(Rstar!AV24*N!AV24*(1-(N!AV24/Kstar!AV24)))</f>
        <v>10.362051264269166</v>
      </c>
      <c r="AW24" s="86">
        <f>N!AW24+($X$7*(SUM(N!AV24,N!AW23,N!AX24,N!AW25)-(4*N!AW24)))+(Rstar!AW24*N!AW24*(1-(N!AW24/Kstar!AW24)))</f>
        <v>10.141394592396979</v>
      </c>
      <c r="AX24" s="86">
        <f>N!AX24+($X$7*(SUM(N!AW24,N!AX23,N!AY24,N!AX25)-(4*N!AX24)))+(Rstar!AX24*N!AX24*(1-(N!AX24/Kstar!AX24)))</f>
        <v>10.047532858252778</v>
      </c>
      <c r="AY24" s="87">
        <f>N!AY24+($X$7*(SUM(N!AX24,N!AY23,N!AZ24,N!AY25)-(4*N!AY24)))+(Rstar!AY24*N!AY24*(1-(N!AY24/Kstar!AY24)))</f>
        <v>10.008359686454449</v>
      </c>
      <c r="AZ24" s="72">
        <f>N!AZ24+($X$7*(SUM(N!AY24,N!AZ23,N!AZ25)-(3*N!AZ24)))+(Rstar!AZ24*N!AZ24*(1-(N!AZ24/Kstar!AZ24)))</f>
        <v>9.9941475293764732</v>
      </c>
      <c r="BA24" s="35">
        <v>6</v>
      </c>
    </row>
    <row r="25" spans="2:53" x14ac:dyDescent="0.2">
      <c r="B25" s="34">
        <v>7</v>
      </c>
      <c r="C25" s="72">
        <f>N!C25+($X$7*(SUM(N!C24,N!D25,N!C26)-(3*N!C25)))+(Rstar!C25*N!C25*(1-(N!C25/Kstar!C25)))</f>
        <v>99.750755759362647</v>
      </c>
      <c r="D25" s="74">
        <f>N!D25+($C$7*(SUM(N!C25,N!D24,N!E25,N!D26)-(4*N!D25)))+(Rstar!D25*N!D25*(1-(N!D25/Kstar!D25)))</f>
        <v>99.750755466489167</v>
      </c>
      <c r="E25" s="75">
        <f>N!E25+($C$7*(SUM(N!D25,N!E24,N!F25,N!E26)-(4*N!E25)))+(Rstar!E25*N!E25*(1-(N!E25/Kstar!E25)))</f>
        <v>99.750754832054469</v>
      </c>
      <c r="F25" s="75">
        <f>N!F25+($C$7*(SUM(N!E25,N!F24,N!G25,N!F26)-(4*N!F25)))+(Rstar!F25*N!F25*(1-(N!F25/Kstar!F25)))</f>
        <v>99.750753786124918</v>
      </c>
      <c r="G25" s="75">
        <f>N!G25+($C$7*(SUM(N!F25,N!G24,N!H25,N!G26)-(4*N!G25)))+(Rstar!G25*N!G25*(1-(N!G25/Kstar!G25)))</f>
        <v>99.750754274797657</v>
      </c>
      <c r="H25" s="75">
        <f>N!H25+($C$7*(SUM(N!G25,N!H24,N!I25,N!H26)-(4*N!H25)))+(Rstar!H25*N!H25*(1-(N!H25/Kstar!H25)))</f>
        <v>99.750754274616924</v>
      </c>
      <c r="I25" s="75">
        <f>N!I25+($C$7*(SUM(N!H25,N!I24,N!J25,N!I26)-(4*N!I25)))+(Rstar!I25*N!I25*(1-(N!I25/Kstar!I25)))</f>
        <v>99.750753739358984</v>
      </c>
      <c r="J25" s="75">
        <f>N!J25+($C$7*(SUM(N!I25,N!J24,N!K25,N!J26)-(4*N!J25)))+(Rstar!J25*N!J25*(1-(N!J25/Kstar!J25)))</f>
        <v>99.750752592943613</v>
      </c>
      <c r="K25" s="75">
        <f>N!K25+($C$7*(SUM(N!J25,N!K24,N!L25,N!K26)-(4*N!K25)))+(Rstar!K25*N!K25*(1-(N!K25/Kstar!K25)))</f>
        <v>99.750753739651927</v>
      </c>
      <c r="L25" s="75">
        <f>N!L25+($C$7*(SUM(N!K25,N!L24,N!M25,N!L26)-(4*N!L25)))+(Rstar!L25*N!L25*(1-(N!L25/Kstar!L25)))</f>
        <v>99.750754274797657</v>
      </c>
      <c r="M25" s="75">
        <f>N!M25+($C$7*(SUM(N!L25,N!M24,N!N25,N!M26)-(4*N!M25)))+(Rstar!M25*N!M25*(1-(N!M25/Kstar!M25)))</f>
        <v>99.750754274616924</v>
      </c>
      <c r="N25" s="75">
        <f>N!N25+($C$7*(SUM(N!M25,N!N24,N!O25,N!N26)-(4*N!N25)))+(Rstar!N25*N!N25*(1-(N!N25/Kstar!N25)))</f>
        <v>99.750753739358984</v>
      </c>
      <c r="O25" s="75">
        <f>N!O25+($C$7*(SUM(N!N25,N!O24,N!P25,N!O26)-(4*N!O25)))+(Rstar!O25*N!O25*(1-(N!O25/Kstar!O25)))</f>
        <v>99.750752524137724</v>
      </c>
      <c r="P25" s="75">
        <f>N!P25+($C$7*(SUM(N!O25,N!P24,N!Q25,N!P26)-(4*N!P25)))+(Rstar!P25*N!P25*(1-(N!P25/Kstar!P25)))</f>
        <v>99.750750322833028</v>
      </c>
      <c r="Q25" s="75">
        <f>N!Q25+($C$7*(SUM(N!P25,N!Q24,N!R25,N!Q26)-(4*N!Q25)))+(Rstar!Q25*N!Q25*(1-(N!Q25/Kstar!Q25)))</f>
        <v>99.750746648112568</v>
      </c>
      <c r="R25" s="75">
        <f>N!R25+($C$7*(SUM(N!Q25,N!R24,N!S25,N!R26)-(4*N!R25)))+(Rstar!R25*N!R25*(1-(N!R25/Kstar!R25)))</f>
        <v>99.750740834614973</v>
      </c>
      <c r="S25" s="75">
        <f>N!S25+($C$7*(SUM(N!R25,N!S24,N!T25,N!S26)-(4*N!S25)))+(Rstar!S25*N!S25*(1-(N!S25/Kstar!S25)))</f>
        <v>99.750732111343964</v>
      </c>
      <c r="T25" s="75">
        <f>N!T25+($C$7*(SUM(N!S25,N!T24,N!U25,N!T26)-(4*N!T25)))+(Rstar!T25*N!T25*(1-(N!T25/Kstar!T25)))</f>
        <v>99.750719799464434</v>
      </c>
      <c r="U25" s="75">
        <f>N!U25+($C$7*(SUM(N!T25,N!U24,N!V25,N!U26)-(4*N!U25)))+(Rstar!U25*N!U25*(1-(N!U25/Kstar!U25)))</f>
        <v>99.750703656596315</v>
      </c>
      <c r="V25" s="75">
        <f>N!V25+($C$7*(SUM(N!U25,N!V24,N!W25,N!V26)-(4*N!V25)))+(Rstar!V25*N!V25*(1-(N!V25/Kstar!V25)))</f>
        <v>99.750684251870553</v>
      </c>
      <c r="W25" s="75">
        <f>N!W25+($C$7*(SUM(N!V25,N!W24,N!X25,N!W26)-(4*N!W25)))+(Rstar!W25*N!W25*(1-(N!W25/Kstar!W25)))</f>
        <v>99.750663007575184</v>
      </c>
      <c r="X25" s="75">
        <f>N!X25+($C$7*(SUM(N!W25,N!X24,N!Y25,N!X26)-(4*N!X25)))+(Rstar!X25*N!X25*(1-(N!X25/Kstar!X25)))</f>
        <v>99.75064139216299</v>
      </c>
      <c r="Y25" s="75">
        <f>N!Y25+($C$7*(SUM(N!X25,N!Y24,N!Z25,N!Y26)-(4*N!Y25)))+(Rstar!Y25*N!Y25*(1-(N!Y25/Kstar!Y25)))</f>
        <v>99.750619171066475</v>
      </c>
      <c r="Z25" s="75">
        <f>N!Z25+($C$7*(SUM(N!Y25,N!Z24,N!AA25,N!Z26)-(4*N!Z25)))+(Rstar!Z25*N!Z25*(1-(N!Z25/Kstar!Z25)))</f>
        <v>99.750592356811424</v>
      </c>
      <c r="AA25" s="75">
        <f>N!AA25+($C$7*(SUM(N!Z25,N!AA24,N!AB25,N!AA26)-(4*N!AA25)))+(Rstar!AA25*N!AA25*(1-(N!AA25/Kstar!AA25)))</f>
        <v>99.750549833251881</v>
      </c>
      <c r="AB25" s="75">
        <f>N!AB25+($C$7*(SUM(N!AA25,N!AB24,N!AC25,N!AB26)-(4*N!AB25)))+(Rstar!AB25*N!AB25*(1-(N!AB25/Kstar!AB25)))</f>
        <v>99.750465576554816</v>
      </c>
      <c r="AC25" s="75">
        <f>N!AC25+($C$7*(SUM(N!AB25,N!AC24,N!AD25,N!AC26)-(4*N!AC25)))+(Rstar!AC25*N!AC25*(1-(N!AC25/Kstar!AC25)))</f>
        <v>99.750279994571827</v>
      </c>
      <c r="AD25" s="75">
        <f>N!AD25+($C$7*(SUM(N!AC25,N!AD24,N!AE25,N!AD26)-(4*N!AD25)))+(Rstar!AD25*N!AD25*(1-(N!AD25/Kstar!AD25)))</f>
        <v>99.74985601757075</v>
      </c>
      <c r="AE25" s="75">
        <f>N!AE25+($C$7*(SUM(N!AD25,N!AE24,N!AF25,N!AE26)-(4*N!AE25)))+(Rstar!AE25*N!AE25*(1-(N!AE25/Kstar!AE25)))</f>
        <v>99.74887688627301</v>
      </c>
      <c r="AF25" s="75">
        <f>N!AF25+($C$7*(SUM(N!AE25,N!AF24,N!AG25,N!AF26)-(4*N!AF25)))+(Rstar!AF25*N!AF25*(1-(N!AF25/Kstar!AF25)))</f>
        <v>99.746608994443747</v>
      </c>
      <c r="AG25" s="75">
        <f>N!AG25+($C$7*(SUM(N!AF25,N!AG24,N!AH25,N!AG26)-(4*N!AG25)))+(Rstar!AG25*N!AG25*(1-(N!AG25/Kstar!AG25)))</f>
        <v>99.741352015379348</v>
      </c>
      <c r="AH25" s="75">
        <f>N!AH25+($C$7*(SUM(N!AG25,N!AH24,N!AI25,N!AH26)-(4*N!AH25)))+(Rstar!AH25*N!AH25*(1-(N!AH25/Kstar!AH25)))</f>
        <v>99.729164197784002</v>
      </c>
      <c r="AI25" s="75">
        <f>N!AI25+($C$7*(SUM(N!AH25,N!AI24,N!AJ25,N!AI26)-(4*N!AI25)))+(Rstar!AI25*N!AI25*(1-(N!AI25/Kstar!AI25)))</f>
        <v>99.700908093398638</v>
      </c>
      <c r="AJ25" s="75">
        <f>N!AJ25+($C$7*(SUM(N!AI25,N!AJ24,N!AK25,N!AJ26)-(4*N!AJ25)))+(Rstar!AJ25*N!AJ25*(1-(N!AJ25/Kstar!AJ25)))</f>
        <v>99.635407698735946</v>
      </c>
      <c r="AK25" s="75">
        <f>N!AK25+($C$7*(SUM(N!AJ25,N!AK24,N!AL25,N!AK26)-(4*N!AK25)))+(Rstar!AK25*N!AK25*(1-(N!AK25/Kstar!AK25)))</f>
        <v>99.483620559375552</v>
      </c>
      <c r="AL25" s="75">
        <f>N!AL25+($C$7*(SUM(N!AK25,N!AL24,N!AM25,N!AL26)-(4*N!AL25)))+(Rstar!AL25*N!AL25*(1-(N!AL25/Kstar!AL25)))</f>
        <v>99.132145270960336</v>
      </c>
      <c r="AM25" s="75">
        <f>N!AM25+($C$7*(SUM(N!AL25,N!AM24,N!AN25,N!AM26)-(4*N!AM25)))+(Rstar!AM25*N!AM25*(1-(N!AM25/Kstar!AM25)))</f>
        <v>98.319719940885506</v>
      </c>
      <c r="AN25" s="75">
        <f>N!AN25+($C$7*(SUM(N!AM25,N!AN24,N!AO25,N!AN26)-(4*N!AN25)))+(Rstar!AN25*N!AN25*(1-(N!AN25/Kstar!AN25)))</f>
        <v>96.44955133439629</v>
      </c>
      <c r="AO25" s="75">
        <f>N!AO25+($C$7*(SUM(N!AN25,N!AO24,N!AP25,N!AO26)-(4*N!AO25)))+(Rstar!AO25*N!AO25*(1-(N!AO25/Kstar!AO25)))</f>
        <v>92.185561801802976</v>
      </c>
      <c r="AP25" s="75">
        <f>N!AP25+($C$7*(SUM(N!AO25,N!AP24,N!AQ25,N!AP26)-(4*N!AP25)))+(Rstar!AP25*N!AP25*(1-(N!AP25/Kstar!AP25)))</f>
        <v>82.678140718745993</v>
      </c>
      <c r="AQ25" s="94">
        <f>N!AQ25+($C$7*(SUM(N!AP25,N!AQ24,N!AR25,N!AQ26)-(4*N!AQ25)))+(Rstar!AQ25*N!AQ25*(1-(N!AQ25/Kstar!AQ25)))</f>
        <v>62.557925229262224</v>
      </c>
      <c r="AR25" s="92">
        <f>N!AR25+($X$7*(SUM(N!AQ25,N!AR24,N!AS25,N!AR26)-(4*N!AR25)))+(Rstar!AR25*N!AR25*(1-(N!AR25/Kstar!AR25)))</f>
        <v>24.943927905490831</v>
      </c>
      <c r="AS25" s="86">
        <f>N!AS25+($X$7*(SUM(N!AR25,N!AS24,N!AT25,N!AS26)-(4*N!AS25)))+(Rstar!AS25*N!AS25*(1-(N!AS25/Kstar!AS25)))</f>
        <v>15.403579739182751</v>
      </c>
      <c r="AT25" s="86">
        <f>N!AT25+($X$7*(SUM(N!AS25,N!AT24,N!AU25,N!AT26)-(4*N!AT25)))+(Rstar!AT25*N!AT25*(1-(N!AT25/Kstar!AT25)))</f>
        <v>12.150293418914655</v>
      </c>
      <c r="AU25" s="86">
        <f>N!AU25+($X$7*(SUM(N!AT25,N!AU24,N!AV25,N!AU26)-(4*N!AU25)))+(Rstar!AU25*N!AU25*(1-(N!AU25/Kstar!AU25)))</f>
        <v>10.884180522893734</v>
      </c>
      <c r="AV25" s="86">
        <f>N!AV25+($X$7*(SUM(N!AU25,N!AV24,N!AW25,N!AV26)-(4*N!AV25)))+(Rstar!AV25*N!AV25*(1-(N!AV25/Kstar!AV25)))</f>
        <v>10.362037515120759</v>
      </c>
      <c r="AW25" s="86">
        <f>N!AW25+($X$7*(SUM(N!AV25,N!AW24,N!AX25,N!AW26)-(4*N!AW25)))+(Rstar!AW25*N!AW25*(1-(N!AW25/Kstar!AW25)))</f>
        <v>10.141370394244197</v>
      </c>
      <c r="AX25" s="86">
        <f>N!AX25+($X$7*(SUM(N!AW25,N!AX24,N!AY25,N!AX26)-(4*N!AX25)))+(Rstar!AX25*N!AX25*(1-(N!AX25/Kstar!AX25)))</f>
        <v>10.047492281999453</v>
      </c>
      <c r="AY25" s="87">
        <f>N!AY25+($X$7*(SUM(N!AX25,N!AY24,N!AZ25,N!AY26)-(4*N!AY25)))+(Rstar!AY25*N!AY25*(1-(N!AY25/Kstar!AY25)))</f>
        <v>10.00829901609317</v>
      </c>
      <c r="AZ25" s="72">
        <f>N!AZ25+($X$7*(SUM(N!AY25,N!AZ24,N!AZ26)-(3*N!AZ25)))+(Rstar!AZ25*N!AZ25*(1-(N!AZ25/Kstar!AZ25)))</f>
        <v>9.994071117569332</v>
      </c>
      <c r="BA25" s="35">
        <v>7</v>
      </c>
    </row>
    <row r="26" spans="2:53" x14ac:dyDescent="0.2">
      <c r="B26" s="34">
        <v>8</v>
      </c>
      <c r="C26" s="72">
        <f>N!C26+($X$7*(SUM(N!C25,N!D26,N!C27)-(3*N!C26)))+(Rstar!C26*N!C26*(1-(N!C26/Kstar!C26)))</f>
        <v>99.750753905967514</v>
      </c>
      <c r="D26" s="74">
        <f>N!D26+($C$7*(SUM(N!C26,N!D25,N!E26,N!D27)-(4*N!D26)))+(Rstar!D26*N!D26*(1-(N!D26/Kstar!D26)))</f>
        <v>99.750753372925601</v>
      </c>
      <c r="E26" s="75">
        <f>N!E26+($C$7*(SUM(N!D26,N!E25,N!F26,N!E27)-(4*N!E26)))+(Rstar!E26*N!E26*(1-(N!E26/Kstar!E26)))</f>
        <v>99.750752232008637</v>
      </c>
      <c r="F26" s="75">
        <f>N!F26+($C$7*(SUM(N!E26,N!F25,N!G26,N!F27)-(4*N!F26)))+(Rstar!F26*N!F26*(1-(N!F26/Kstar!F26)))</f>
        <v>99.75075037549378</v>
      </c>
      <c r="G26" s="75">
        <f>N!G26+($C$7*(SUM(N!F26,N!G25,N!H26,N!G27)-(4*N!G26)))+(Rstar!G26*N!G26*(1-(N!G26/Kstar!G26)))</f>
        <v>99.750751198373877</v>
      </c>
      <c r="H26" s="75">
        <f>N!H26+($C$7*(SUM(N!G26,N!H25,N!I26,N!H27)-(4*N!H26)))+(Rstar!H26*N!H26*(1-(N!H26/Kstar!H26)))</f>
        <v>99.750751197729187</v>
      </c>
      <c r="I26" s="75">
        <f>N!I26+($C$7*(SUM(N!H26,N!I25,N!J26,N!I27)-(4*N!I26)))+(Rstar!I26*N!I26*(1-(N!I26/Kstar!I26)))</f>
        <v>99.750750293434862</v>
      </c>
      <c r="J26" s="75">
        <f>N!J26+($C$7*(SUM(N!I26,N!J25,N!K26,N!J27)-(4*N!J26)))+(Rstar!J26*N!J26*(1-(N!J26/Kstar!J26)))</f>
        <v>99.750748328786798</v>
      </c>
      <c r="K26" s="75">
        <f>N!K26+($C$7*(SUM(N!J26,N!K25,N!L26,N!K27)-(4*N!K26)))+(Rstar!K26*N!K26*(1-(N!K26/Kstar!K26)))</f>
        <v>99.750750294479829</v>
      </c>
      <c r="L26" s="75">
        <f>N!L26+($C$7*(SUM(N!K26,N!L25,N!M26,N!L27)-(4*N!L26)))+(Rstar!L26*N!L26*(1-(N!L26/Kstar!L26)))</f>
        <v>99.750751198373877</v>
      </c>
      <c r="M26" s="75">
        <f>N!M26+($C$7*(SUM(N!L26,N!M25,N!N26,N!M27)-(4*N!M26)))+(Rstar!M26*N!M26*(1-(N!M26/Kstar!M26)))</f>
        <v>99.750751197729187</v>
      </c>
      <c r="N26" s="75">
        <f>N!N26+($C$7*(SUM(N!M26,N!N25,N!O26,N!N27)-(4*N!N26)))+(Rstar!N26*N!N26*(1-(N!N26/Kstar!N26)))</f>
        <v>99.750750293434862</v>
      </c>
      <c r="O26" s="75">
        <f>N!O26+($C$7*(SUM(N!N26,N!O25,N!P26,N!O27)-(4*N!O26)))+(Rstar!O26*N!O26*(1-(N!O26/Kstar!O26)))</f>
        <v>99.750748208919148</v>
      </c>
      <c r="P26" s="75">
        <f>N!P26+($C$7*(SUM(N!O26,N!P25,N!Q26,N!P27)-(4*N!P26)))+(Rstar!P26*N!P26*(1-(N!P26/Kstar!P26)))</f>
        <v>99.750744342273222</v>
      </c>
      <c r="Q26" s="75">
        <f>N!Q26+($C$7*(SUM(N!P26,N!Q25,N!R26,N!Q27)-(4*N!Q26)))+(Rstar!Q26*N!Q26*(1-(N!Q26/Kstar!Q26)))</f>
        <v>99.750737691936621</v>
      </c>
      <c r="R26" s="75">
        <f>N!R26+($C$7*(SUM(N!Q26,N!R25,N!S26,N!R27)-(4*N!R26)))+(Rstar!R26*N!R26*(1-(N!R26/Kstar!R26)))</f>
        <v>99.750726807826027</v>
      </c>
      <c r="S26" s="75">
        <f>N!S26+($C$7*(SUM(N!R26,N!S25,N!T26,N!S27)-(4*N!S26)))+(Rstar!S26*N!S26*(1-(N!S26/Kstar!S26)))</f>
        <v>99.750709874738106</v>
      </c>
      <c r="T26" s="75">
        <f>N!T26+($C$7*(SUM(N!S26,N!T25,N!U26,N!T27)-(4*N!T26)))+(Rstar!T26*N!T26*(1-(N!T26/Kstar!T26)))</f>
        <v>99.750685098698796</v>
      </c>
      <c r="U26" s="75">
        <f>N!U26+($C$7*(SUM(N!T26,N!U25,N!V26,N!U27)-(4*N!U26)))+(Rstar!U26*N!U26*(1-(N!U26/Kstar!U26)))</f>
        <v>99.75065155829536</v>
      </c>
      <c r="V26" s="75">
        <f>N!V26+($C$7*(SUM(N!U26,N!V25,N!W26,N!V27)-(4*N!V26)))+(Rstar!V26*N!V26*(1-(N!V26/Kstar!V26)))</f>
        <v>99.750610407250178</v>
      </c>
      <c r="W26" s="75">
        <f>N!W26+($C$7*(SUM(N!V26,N!W25,N!X26,N!W27)-(4*N!W26)))+(Rstar!W26*N!W26*(1-(N!W26/Kstar!W26)))</f>
        <v>99.750565563571186</v>
      </c>
      <c r="X26" s="75">
        <f>N!X26+($C$7*(SUM(N!W26,N!X25,N!Y26,N!X27)-(4*N!X26)))+(Rstar!X26*N!X26*(1-(N!X26/Kstar!X26)))</f>
        <v>99.750522200860686</v>
      </c>
      <c r="Y26" s="75">
        <f>N!Y26+($C$7*(SUM(N!X26,N!Y25,N!Z26,N!Y27)-(4*N!Y26)))+(Rstar!Y26*N!Y26*(1-(N!Y26/Kstar!Y26)))</f>
        <v>99.750482580456932</v>
      </c>
      <c r="Z26" s="75">
        <f>N!Z26+($C$7*(SUM(N!Y26,N!Z25,N!AA26,N!Z27)-(4*N!Z26)))+(Rstar!Z26*N!Z26*(1-(N!Z26/Kstar!Z26)))</f>
        <v>99.750443299170001</v>
      </c>
      <c r="AA26" s="75">
        <f>N!AA26+($C$7*(SUM(N!Z26,N!AA25,N!AB26,N!AA27)-(4*N!AA26)))+(Rstar!AA26*N!AA26*(1-(N!AA26/Kstar!AA26)))</f>
        <v>99.750392559837536</v>
      </c>
      <c r="AB26" s="75">
        <f>N!AB26+($C$7*(SUM(N!AA26,N!AB25,N!AC26,N!AB27)-(4*N!AB26)))+(Rstar!AB26*N!AB26*(1-(N!AB26/Kstar!AB26)))</f>
        <v>99.750303218025891</v>
      </c>
      <c r="AC26" s="75">
        <f>N!AC26+($C$7*(SUM(N!AB26,N!AC25,N!AD26,N!AC27)-(4*N!AC26)))+(Rstar!AC26*N!AC26*(1-(N!AC26/Kstar!AC26)))</f>
        <v>99.750114625469806</v>
      </c>
      <c r="AD26" s="75">
        <f>N!AD26+($C$7*(SUM(N!AC26,N!AD25,N!AE26,N!AD27)-(4*N!AD26)))+(Rstar!AD26*N!AD26*(1-(N!AD26/Kstar!AD26)))</f>
        <v>99.749688904239804</v>
      </c>
      <c r="AE26" s="75">
        <f>N!AE26+($C$7*(SUM(N!AD26,N!AE25,N!AF26,N!AE27)-(4*N!AE26)))+(Rstar!AE26*N!AE26*(1-(N!AE26/Kstar!AE26)))</f>
        <v>99.748708736974663</v>
      </c>
      <c r="AF26" s="75">
        <f>N!AF26+($C$7*(SUM(N!AE26,N!AF25,N!AG26,N!AF27)-(4*N!AF26)))+(Rstar!AF26*N!AF26*(1-(N!AF26/Kstar!AF26)))</f>
        <v>99.746440142381104</v>
      </c>
      <c r="AG26" s="75">
        <f>N!AG26+($C$7*(SUM(N!AF26,N!AG25,N!AH26,N!AG27)-(4*N!AG26)))+(Rstar!AG26*N!AG26*(1-(N!AG26/Kstar!AG26)))</f>
        <v>99.741182521983234</v>
      </c>
      <c r="AH26" s="75">
        <f>N!AH26+($C$7*(SUM(N!AG26,N!AH25,N!AI26,N!AH27)-(4*N!AH26)))+(Rstar!AH26*N!AH26*(1-(N!AH26/Kstar!AH26)))</f>
        <v>99.728993882244097</v>
      </c>
      <c r="AI26" s="75">
        <f>N!AI26+($C$7*(SUM(N!AH26,N!AI25,N!AJ26,N!AI27)-(4*N!AI26)))+(Rstar!AI26*N!AI26*(1-(N!AI26/Kstar!AI26)))</f>
        <v>99.700736495593119</v>
      </c>
      <c r="AJ26" s="75">
        <f>N!AJ26+($C$7*(SUM(N!AI26,N!AJ25,N!AK26,N!AJ27)-(4*N!AJ26)))+(Rstar!AJ26*N!AJ26*(1-(N!AJ26/Kstar!AJ26)))</f>
        <v>99.635233981529595</v>
      </c>
      <c r="AK26" s="75">
        <f>N!AK26+($C$7*(SUM(N!AJ26,N!AK25,N!AL26,N!AK27)-(4*N!AK26)))+(Rstar!AK26*N!AK26*(1-(N!AK26/Kstar!AK26)))</f>
        <v>99.483443366790254</v>
      </c>
      <c r="AL26" s="75">
        <f>N!AL26+($C$7*(SUM(N!AK26,N!AL25,N!AM26,N!AL27)-(4*N!AL26)))+(Rstar!AL26*N!AL26*(1-(N!AL26/Kstar!AL26)))</f>
        <v>99.131962604357383</v>
      </c>
      <c r="AM26" s="75">
        <f>N!AM26+($C$7*(SUM(N!AL26,N!AM25,N!AN26,N!AM27)-(4*N!AM26)))+(Rstar!AM26*N!AM26*(1-(N!AM26/Kstar!AM26)))</f>
        <v>98.319529248437291</v>
      </c>
      <c r="AN26" s="75">
        <f>N!AN26+($C$7*(SUM(N!AM26,N!AN25,N!AO26,N!AN27)-(4*N!AN26)))+(Rstar!AN26*N!AN26*(1-(N!AN26/Kstar!AN26)))</f>
        <v>96.44935035216885</v>
      </c>
      <c r="AO26" s="75">
        <f>N!AO26+($C$7*(SUM(N!AN26,N!AO25,N!AP26,N!AO27)-(4*N!AO26)))+(Rstar!AO26*N!AO26*(1-(N!AO26/Kstar!AO26)))</f>
        <v>92.185351493610014</v>
      </c>
      <c r="AP26" s="75">
        <f>N!AP26+($C$7*(SUM(N!AO26,N!AP25,N!AQ26,N!AP27)-(4*N!AP26)))+(Rstar!AP26*N!AP26*(1-(N!AP26/Kstar!AP26)))</f>
        <v>82.677933202320233</v>
      </c>
      <c r="AQ26" s="94">
        <f>N!AQ26+($C$7*(SUM(N!AP26,N!AQ25,N!AR26,N!AQ27)-(4*N!AQ26)))+(Rstar!AQ26*N!AQ26*(1-(N!AQ26/Kstar!AQ26)))</f>
        <v>62.557760149845066</v>
      </c>
      <c r="AR26" s="92">
        <f>N!AR26+($X$7*(SUM(N!AQ26,N!AR25,N!AS26,N!AR27)-(4*N!AR26)))+(Rstar!AR26*N!AR26*(1-(N!AR26/Kstar!AR26)))</f>
        <v>24.943885605684329</v>
      </c>
      <c r="AS26" s="86">
        <f>N!AS26+($X$7*(SUM(N!AR26,N!AS25,N!AT26,N!AS27)-(4*N!AS26)))+(Rstar!AS26*N!AS26*(1-(N!AS26/Kstar!AS26)))</f>
        <v>15.403561669790273</v>
      </c>
      <c r="AT26" s="86">
        <f>N!AT26+($X$7*(SUM(N!AS26,N!AT25,N!AU26,N!AT27)-(4*N!AT26)))+(Rstar!AT26*N!AT26*(1-(N!AT26/Kstar!AT26)))</f>
        <v>12.150282895751365</v>
      </c>
      <c r="AU26" s="86">
        <f>N!AU26+($X$7*(SUM(N!AT26,N!AU25,N!AV26,N!AU27)-(4*N!AU26)))+(Rstar!AU26*N!AU26*(1-(N!AU26/Kstar!AU26)))</f>
        <v>10.884172315011984</v>
      </c>
      <c r="AV26" s="86">
        <f>N!AV26+($X$7*(SUM(N!AU26,N!AV25,N!AW26,N!AV27)-(4*N!AV26)))+(Rstar!AV26*N!AV26*(1-(N!AV26/Kstar!AV26)))</f>
        <v>10.362028521079393</v>
      </c>
      <c r="AW26" s="86">
        <f>N!AW26+($X$7*(SUM(N!AV26,N!AW25,N!AX26,N!AW27)-(4*N!AW26)))+(Rstar!AW26*N!AW26*(1-(N!AW26/Kstar!AW26)))</f>
        <v>10.141357871682414</v>
      </c>
      <c r="AX26" s="86">
        <f>N!AX26+($X$7*(SUM(N!AW26,N!AX25,N!AY26,N!AX27)-(4*N!AX26)))+(Rstar!AX26*N!AX26*(1-(N!AX26/Kstar!AX26)))</f>
        <v>10.04747383082022</v>
      </c>
      <c r="AY26" s="87">
        <f>N!AY26+($X$7*(SUM(N!AX26,N!AY25,N!AZ26,N!AY27)-(4*N!AY26)))+(Rstar!AY26*N!AY26*(1-(N!AY26/Kstar!AY26)))</f>
        <v>10.008273585735513</v>
      </c>
      <c r="AZ26" s="72">
        <f>N!AZ26+($X$7*(SUM(N!AY26,N!AZ25,N!AZ27)-(3*N!AZ26)))+(Rstar!AZ26*N!AZ26*(1-(N!AZ26/Kstar!AZ26)))</f>
        <v>9.9940405798129941</v>
      </c>
      <c r="BA26" s="35">
        <v>8</v>
      </c>
    </row>
    <row r="27" spans="2:53" x14ac:dyDescent="0.2">
      <c r="B27" s="34">
        <v>9</v>
      </c>
      <c r="C27" s="72">
        <f>N!C27+($X$7*(SUM(N!C26,N!D27,N!C28)-(3*N!C27)))+(Rstar!C27*N!C27*(1-(N!C27/Kstar!C27)))</f>
        <v>99.750750411878514</v>
      </c>
      <c r="D27" s="74">
        <f>N!D27+($C$7*(SUM(N!C27,N!D26,N!E27,N!D28)-(4*N!D27)))+(Rstar!D27*N!D27*(1-(N!D27/Kstar!D27)))</f>
        <v>99.75074942732688</v>
      </c>
      <c r="E27" s="75">
        <f>N!E27+($C$7*(SUM(N!D27,N!E26,N!F27,N!E28)-(4*N!E27)))+(Rstar!E27*N!E27*(1-(N!E27/Kstar!E27)))</f>
        <v>99.750747356727103</v>
      </c>
      <c r="F27" s="75">
        <f>N!F27+($C$7*(SUM(N!E27,N!F26,N!G27,N!F28)-(4*N!F27)))+(Rstar!F27*N!F27*(1-(N!F27/Kstar!F27)))</f>
        <v>99.750744060813403</v>
      </c>
      <c r="G27" s="75">
        <f>N!G27+($C$7*(SUM(N!F27,N!G26,N!H27,N!G28)-(4*N!G27)))+(Rstar!G27*N!G27*(1-(N!G27/Kstar!G27)))</f>
        <v>99.75074539967558</v>
      </c>
      <c r="H27" s="75">
        <f>N!H27+($C$7*(SUM(N!G27,N!H26,N!I27,N!H28)-(4*N!H27)))+(Rstar!H27*N!H27*(1-(N!H27/Kstar!H27)))</f>
        <v>99.750745397346776</v>
      </c>
      <c r="I27" s="75">
        <f>N!I27+($C$7*(SUM(N!H27,N!I26,N!J27,N!I28)-(4*N!I27)))+(Rstar!I27*N!I27*(1-(N!I27/Kstar!I27)))</f>
        <v>99.750743918081113</v>
      </c>
      <c r="J27" s="75">
        <f>N!J27+($C$7*(SUM(N!I27,N!J26,N!K27,N!J28)-(4*N!J27)))+(Rstar!J27*N!J27*(1-(N!J27/Kstar!J27)))</f>
        <v>99.750740659031777</v>
      </c>
      <c r="K27" s="75">
        <f>N!K27+($C$7*(SUM(N!J27,N!K26,N!L27,N!K28)-(4*N!K27)))+(Rstar!K27*N!K27*(1-(N!K27/Kstar!K27)))</f>
        <v>99.750743921859851</v>
      </c>
      <c r="L27" s="75">
        <f>N!L27+($C$7*(SUM(N!K27,N!L26,N!M27,N!L28)-(4*N!L27)))+(Rstar!L27*N!L27*(1-(N!L27/Kstar!L27)))</f>
        <v>99.75074539967558</v>
      </c>
      <c r="M27" s="75">
        <f>N!M27+($C$7*(SUM(N!L27,N!M26,N!N27,N!M28)-(4*N!M27)))+(Rstar!M27*N!M27*(1-(N!M27/Kstar!M27)))</f>
        <v>99.750745397346776</v>
      </c>
      <c r="N27" s="75">
        <f>N!N27+($C$7*(SUM(N!M27,N!N26,N!O27,N!N28)-(4*N!N27)))+(Rstar!N27*N!N27*(1-(N!N27/Kstar!N27)))</f>
        <v>99.750743918081113</v>
      </c>
      <c r="O27" s="75">
        <f>N!O27+($C$7*(SUM(N!N27,N!O26,N!P27,N!O28)-(4*N!O27)))+(Rstar!O27*N!O27*(1-(N!O27/Kstar!O27)))</f>
        <v>99.7507404567084</v>
      </c>
      <c r="P27" s="75">
        <f>N!P27+($C$7*(SUM(N!O27,N!P26,N!Q27,N!P28)-(4*N!P27)))+(Rstar!P27*N!P27*(1-(N!P27/Kstar!P27)))</f>
        <v>99.750733875633301</v>
      </c>
      <c r="Q27" s="75">
        <f>N!Q27+($C$7*(SUM(N!P27,N!Q26,N!R27,N!Q28)-(4*N!Q27)))+(Rstar!Q27*N!Q27*(1-(N!Q27/Kstar!Q27)))</f>
        <v>99.750722187200196</v>
      </c>
      <c r="R27" s="75">
        <f>N!R27+($C$7*(SUM(N!Q27,N!R26,N!S27,N!R28)-(4*N!R27)))+(Rstar!R27*N!R27*(1-(N!R27/Kstar!R27)))</f>
        <v>99.750702322809403</v>
      </c>
      <c r="S27" s="75">
        <f>N!S27+($C$7*(SUM(N!R27,N!S26,N!T27,N!S28)-(4*N!S27)))+(Rstar!S27*N!S27*(1-(N!S27/Kstar!S27)))</f>
        <v>99.750670102000967</v>
      </c>
      <c r="T27" s="75">
        <f>N!T27+($C$7*(SUM(N!S27,N!T26,N!U27,N!T28)-(4*N!T27)))+(Rstar!T27*N!T27*(1-(N!T27/Kstar!T27)))</f>
        <v>99.750620844644118</v>
      </c>
      <c r="U27" s="75">
        <f>N!U27+($C$7*(SUM(N!T27,N!U26,N!V27,N!U28)-(4*N!U27)))+(Rstar!U27*N!U27*(1-(N!U27/Kstar!U27)))</f>
        <v>99.750551274293059</v>
      </c>
      <c r="V27" s="75">
        <f>N!V27+($C$7*(SUM(N!U27,N!V26,N!W27,N!V28)-(4*N!V27)))+(Rstar!V27*N!V27*(1-(N!V27/Kstar!V27)))</f>
        <v>99.750463009597482</v>
      </c>
      <c r="W27" s="75">
        <f>N!W27+($C$7*(SUM(N!V27,N!W26,N!X27,N!W28)-(4*N!W27)))+(Rstar!W27*N!W27*(1-(N!W27/Kstar!W27)))</f>
        <v>99.750365896818138</v>
      </c>
      <c r="X27" s="75">
        <f>N!X27+($C$7*(SUM(N!W27,N!X26,N!Y27,N!X28)-(4*N!X27)))+(Rstar!X27*N!X27*(1-(N!X27/Kstar!X27)))</f>
        <v>99.750275418979612</v>
      </c>
      <c r="Y27" s="75">
        <f>N!Y27+($C$7*(SUM(N!X27,N!Y26,N!Z27,N!Y28)-(4*N!Y27)))+(Rstar!Y27*N!Y27*(1-(N!Y27/Kstar!Y27)))</f>
        <v>99.750199766767594</v>
      </c>
      <c r="Z27" s="75">
        <f>N!Z27+($C$7*(SUM(N!Y27,N!Z26,N!AA27,N!Z28)-(4*N!Z27)))+(Rstar!Z27*N!Z27*(1-(N!Z27/Kstar!Z27)))</f>
        <v>99.750136002658948</v>
      </c>
      <c r="AA27" s="75">
        <f>N!AA27+($C$7*(SUM(N!Z27,N!AA26,N!AB27,N!AA28)-(4*N!AA27)))+(Rstar!AA27*N!AA27*(1-(N!AA27/Kstar!AA27)))</f>
        <v>99.750069972728667</v>
      </c>
      <c r="AB27" s="75">
        <f>N!AB27+($C$7*(SUM(N!AA27,N!AB26,N!AC27,N!AB28)-(4*N!AB27)))+(Rstar!AB27*N!AB27*(1-(N!AB27/Kstar!AB27)))</f>
        <v>99.749971639328237</v>
      </c>
      <c r="AC27" s="75">
        <f>N!AC27+($C$7*(SUM(N!AB27,N!AC26,N!AD27,N!AC28)-(4*N!AC27)))+(Rstar!AC27*N!AC27*(1-(N!AC27/Kstar!AC27)))</f>
        <v>99.749777971878544</v>
      </c>
      <c r="AD27" s="75">
        <f>N!AD27+($C$7*(SUM(N!AC27,N!AD26,N!AE27,N!AD28)-(4*N!AD27)))+(Rstar!AD27*N!AD27*(1-(N!AD27/Kstar!AD27)))</f>
        <v>99.749349438684604</v>
      </c>
      <c r="AE27" s="75">
        <f>N!AE27+($C$7*(SUM(N!AD27,N!AE26,N!AF27,N!AE28)-(4*N!AE27)))+(Rstar!AE27*N!AE27*(1-(N!AE27/Kstar!AE27)))</f>
        <v>99.748367668632497</v>
      </c>
      <c r="AF27" s="75">
        <f>N!AF27+($C$7*(SUM(N!AE27,N!AF26,N!AG27,N!AF28)-(4*N!AF27)))+(Rstar!AF27*N!AF27*(1-(N!AF27/Kstar!AF27)))</f>
        <v>99.746098020309361</v>
      </c>
      <c r="AG27" s="75">
        <f>N!AG27+($C$7*(SUM(N!AF27,N!AG26,N!AH27,N!AG28)-(4*N!AG27)))+(Rstar!AG27*N!AG27*(1-(N!AG27/Kstar!AG27)))</f>
        <v>99.740839443506047</v>
      </c>
      <c r="AH27" s="75">
        <f>N!AH27+($C$7*(SUM(N!AG27,N!AH26,N!AI27,N!AH28)-(4*N!AH27)))+(Rstar!AH27*N!AH27*(1-(N!AH27/Kstar!AH27)))</f>
        <v>99.728649552800405</v>
      </c>
      <c r="AI27" s="75">
        <f>N!AI27+($C$7*(SUM(N!AH27,N!AI26,N!AJ27,N!AI28)-(4*N!AI27)))+(Rstar!AI27*N!AI27*(1-(N!AI27/Kstar!AI27)))</f>
        <v>99.700390163907997</v>
      </c>
      <c r="AJ27" s="75">
        <f>N!AJ27+($C$7*(SUM(N!AI27,N!AJ26,N!AK27,N!AJ28)-(4*N!AJ27)))+(Rstar!AJ27*N!AJ27*(1-(N!AJ27/Kstar!AJ27)))</f>
        <v>99.634884262054229</v>
      </c>
      <c r="AK27" s="75">
        <f>N!AK27+($C$7*(SUM(N!AJ27,N!AK26,N!AL27,N!AK28)-(4*N!AK27)))+(Rstar!AK27*N!AK27*(1-(N!AK27/Kstar!AK27)))</f>
        <v>99.483087974430291</v>
      </c>
      <c r="AL27" s="75">
        <f>N!AL27+($C$7*(SUM(N!AK27,N!AL26,N!AM27,N!AL28)-(4*N!AL27)))+(Rstar!AL27*N!AL27*(1-(N!AL27/Kstar!AL27)))</f>
        <v>99.131598107927971</v>
      </c>
      <c r="AM27" s="75">
        <f>N!AM27+($C$7*(SUM(N!AL27,N!AM26,N!AN27,N!AM28)-(4*N!AM27)))+(Rstar!AM27*N!AM27*(1-(N!AM27/Kstar!AM27)))</f>
        <v>98.319151201707328</v>
      </c>
      <c r="AN27" s="75">
        <f>N!AN27+($C$7*(SUM(N!AM27,N!AN26,N!AO27,N!AN28)-(4*N!AN27)))+(Rstar!AN27*N!AN27*(1-(N!AN27/Kstar!AN27)))</f>
        <v>96.448954826245824</v>
      </c>
      <c r="AO27" s="75">
        <f>N!AO27+($C$7*(SUM(N!AN27,N!AO26,N!AP27,N!AO28)-(4*N!AO27)))+(Rstar!AO27*N!AO27*(1-(N!AO27/Kstar!AO27)))</f>
        <v>92.184940610381688</v>
      </c>
      <c r="AP27" s="75">
        <f>N!AP27+($C$7*(SUM(N!AO27,N!AP26,N!AQ27,N!AP28)-(4*N!AP27)))+(Rstar!AP27*N!AP27*(1-(N!AP27/Kstar!AP27)))</f>
        <v>82.677530261003426</v>
      </c>
      <c r="AQ27" s="94">
        <f>N!AQ27+($C$7*(SUM(N!AP27,N!AQ26,N!AR27,N!AQ28)-(4*N!AQ27)))+(Rstar!AQ27*N!AQ27*(1-(N!AQ27/Kstar!AQ27)))</f>
        <v>62.557441053391194</v>
      </c>
      <c r="AR27" s="92">
        <f>N!AR27+($X$7*(SUM(N!AQ27,N!AR26,N!AS27,N!AR28)-(4*N!AR27)))+(Rstar!AR27*N!AR27*(1-(N!AR27/Kstar!AR27)))</f>
        <v>24.943804234667365</v>
      </c>
      <c r="AS27" s="86">
        <f>N!AS27+($X$7*(SUM(N!AR27,N!AS26,N!AT27,N!AS28)-(4*N!AS27)))+(Rstar!AS27*N!AS27*(1-(N!AS27/Kstar!AS27)))</f>
        <v>15.403527873949843</v>
      </c>
      <c r="AT27" s="86">
        <f>N!AT27+($X$7*(SUM(N!AS27,N!AT26,N!AU27,N!AT28)-(4*N!AT27)))+(Rstar!AT27*N!AT27*(1-(N!AT27/Kstar!AT27)))</f>
        <v>12.150265047953306</v>
      </c>
      <c r="AU27" s="86">
        <f>N!AU27+($X$7*(SUM(N!AT27,N!AU26,N!AV27,N!AU28)-(4*N!AU27)))+(Rstar!AU27*N!AU27*(1-(N!AU27/Kstar!AU27)))</f>
        <v>10.884161398309207</v>
      </c>
      <c r="AV27" s="86">
        <f>N!AV27+($X$7*(SUM(N!AU27,N!AV26,N!AW27,N!AV28)-(4*N!AV27)))+(Rstar!AV27*N!AV27*(1-(N!AV27/Kstar!AV27)))</f>
        <v>10.362020444511385</v>
      </c>
      <c r="AW27" s="86">
        <f>N!AW27+($X$7*(SUM(N!AV27,N!AW26,N!AX27,N!AW28)-(4*N!AW27)))+(Rstar!AW27*N!AW27*(1-(N!AW27/Kstar!AW27)))</f>
        <v>10.141350109804502</v>
      </c>
      <c r="AX27" s="86">
        <f>N!AX27+($X$7*(SUM(N!AW27,N!AX26,N!AY27,N!AX28)-(4*N!AX27)))+(Rstar!AX27*N!AX27*(1-(N!AX27/Kstar!AX27)))</f>
        <v>10.047464736061848</v>
      </c>
      <c r="AY27" s="87">
        <f>N!AY27+($X$7*(SUM(N!AX27,N!AY26,N!AZ27,N!AY28)-(4*N!AY27)))+(Rstar!AY27*N!AY27*(1-(N!AY27/Kstar!AY27)))</f>
        <v>10.008262453605299</v>
      </c>
      <c r="AZ27" s="72">
        <f>N!AZ27+($X$7*(SUM(N!AY27,N!AZ26,N!AZ28)-(3*N!AZ27)))+(Rstar!AZ27*N!AZ27*(1-(N!AZ27/Kstar!AZ27)))</f>
        <v>9.9940279092803426</v>
      </c>
      <c r="BA27" s="35">
        <v>9</v>
      </c>
    </row>
    <row r="28" spans="2:53" x14ac:dyDescent="0.2">
      <c r="B28" s="34">
        <v>10</v>
      </c>
      <c r="C28" s="72">
        <f>N!C28+($X$7*(SUM(N!C27,N!D28,N!C29)-(3*N!C28)))+(Rstar!C28*N!C28*(1-(N!C28/Kstar!C28)))</f>
        <v>99.750743826437713</v>
      </c>
      <c r="D28" s="74">
        <f>N!D28+($C$7*(SUM(N!C28,N!D27,N!E28,N!D29)-(4*N!D28)))+(Rstar!D28*N!D28*(1-(N!D28/Kstar!D28)))</f>
        <v>99.750741966085954</v>
      </c>
      <c r="E28" s="75">
        <f>N!E28+($C$7*(SUM(N!D28,N!E27,N!F28,N!E29)-(4*N!E28)))+(Rstar!E28*N!E28*(1-(N!E28/Kstar!E28)))</f>
        <v>99.750738138978761</v>
      </c>
      <c r="F28" s="75">
        <f>N!F28+($C$7*(SUM(N!E28,N!F27,N!G28,N!F29)-(4*N!F28)))+(Rstar!F28*N!F28*(1-(N!F28/Kstar!F28)))</f>
        <v>99.750732234795137</v>
      </c>
      <c r="G28" s="75">
        <f>N!G28+($C$7*(SUM(N!F28,N!G27,N!H28,N!G29)-(4*N!G28)))+(Rstar!G28*N!G28*(1-(N!G28/Kstar!G28)))</f>
        <v>99.750734329608321</v>
      </c>
      <c r="H28" s="75">
        <f>N!H28+($C$7*(SUM(N!G28,N!H27,N!I28,N!H29)-(4*N!H28)))+(Rstar!H28*N!H28*(1-(N!H28/Kstar!H28)))</f>
        <v>99.750734321196219</v>
      </c>
      <c r="I28" s="75">
        <f>N!I28+($C$7*(SUM(N!H28,N!I27,N!J28,N!I29)-(4*N!I28)))+(Rstar!I28*N!I28*(1-(N!I28/Kstar!I28)))</f>
        <v>99.750731985713486</v>
      </c>
      <c r="J28" s="75">
        <f>N!J28+($C$7*(SUM(N!I28,N!J27,N!K28,N!J29)-(4*N!J28)))+(Rstar!J28*N!J28*(1-(N!J28/Kstar!J28)))</f>
        <v>99.750726778835187</v>
      </c>
      <c r="K28" s="75">
        <f>N!K28+($C$7*(SUM(N!J28,N!K27,N!L28,N!K29)-(4*N!K28)))+(Rstar!K28*N!K28*(1-(N!K28/Kstar!K28)))</f>
        <v>99.750731999388023</v>
      </c>
      <c r="L28" s="75">
        <f>N!L28+($C$7*(SUM(N!K28,N!L27,N!M28,N!L29)-(4*N!L28)))+(Rstar!L28*N!L28*(1-(N!L28/Kstar!L28)))</f>
        <v>99.750734329608321</v>
      </c>
      <c r="M28" s="75">
        <f>N!M28+($C$7*(SUM(N!L28,N!M27,N!N28,N!M29)-(4*N!M28)))+(Rstar!M28*N!M28*(1-(N!M28/Kstar!M28)))</f>
        <v>99.750734321196219</v>
      </c>
      <c r="N28" s="75">
        <f>N!N28+($C$7*(SUM(N!M28,N!N27,N!O28,N!N29)-(4*N!N28)))+(Rstar!N28*N!N28*(1-(N!N28/Kstar!N28)))</f>
        <v>99.750731985713486</v>
      </c>
      <c r="O28" s="75">
        <f>N!O28+($C$7*(SUM(N!N28,N!O27,N!P28,N!O29)-(4*N!O28)))+(Rstar!O28*N!O28*(1-(N!O28/Kstar!O28)))</f>
        <v>99.750726449889967</v>
      </c>
      <c r="P28" s="75">
        <f>N!P28+($C$7*(SUM(N!O28,N!P27,N!Q28,N!P29)-(4*N!P28)))+(Rstar!P28*N!P28*(1-(N!P28/Kstar!P28)))</f>
        <v>99.750715666512789</v>
      </c>
      <c r="Q28" s="75">
        <f>N!Q28+($C$7*(SUM(N!P28,N!Q27,N!R28,N!Q29)-(4*N!Q28)))+(Rstar!Q28*N!Q28*(1-(N!Q28/Kstar!Q28)))</f>
        <v>99.75069586376263</v>
      </c>
      <c r="R28" s="75">
        <f>N!R28+($C$7*(SUM(N!Q28,N!R27,N!S28,N!R29)-(4*N!R28)))+(Rstar!R28*N!R28*(1-(N!R28/Kstar!R28)))</f>
        <v>99.750660805358734</v>
      </c>
      <c r="S28" s="75">
        <f>N!S28+($C$7*(SUM(N!R28,N!S27,N!T28,N!S29)-(4*N!S28)))+(Rstar!S28*N!S28*(1-(N!S28/Kstar!S28)))</f>
        <v>99.750601193474779</v>
      </c>
      <c r="T28" s="75">
        <f>N!T28+($C$7*(SUM(N!S28,N!T27,N!U28,N!T29)-(4*N!T28)))+(Rstar!T28*N!T28*(1-(N!T28/Kstar!T28)))</f>
        <v>99.750505178627279</v>
      </c>
      <c r="U28" s="75">
        <f>N!U28+($C$7*(SUM(N!T28,N!U27,N!V28,N!U29)-(4*N!U28)))+(Rstar!U28*N!U28*(1-(N!U28/Kstar!U28)))</f>
        <v>99.750361987474832</v>
      </c>
      <c r="V28" s="75">
        <f>N!V28+($C$7*(SUM(N!U28,N!V27,N!W28,N!V29)-(4*N!V28)))+(Rstar!V28*N!V28*(1-(N!V28/Kstar!V28)))</f>
        <v>99.750171201199933</v>
      </c>
      <c r="W28" s="75">
        <f>N!W28+($C$7*(SUM(N!V28,N!W27,N!X28,N!W29)-(4*N!W28)))+(Rstar!W28*N!W28*(1-(N!W28/Kstar!W28)))</f>
        <v>99.749956124244008</v>
      </c>
      <c r="X28" s="75">
        <f>N!X28+($C$7*(SUM(N!W28,N!X27,N!Y28,N!X29)-(4*N!X28)))+(Rstar!X28*N!X28*(1-(N!X28/Kstar!X28)))</f>
        <v>99.749763122097406</v>
      </c>
      <c r="Y28" s="75">
        <f>N!Y28+($C$7*(SUM(N!X28,N!Y27,N!Z28,N!Y29)-(4*N!Y28)))+(Rstar!Y28*N!Y28*(1-(N!Y28/Kstar!Y28)))</f>
        <v>99.749613847223344</v>
      </c>
      <c r="Z28" s="75">
        <f>N!Z28+($C$7*(SUM(N!Y28,N!Z27,N!AA28,N!Z29)-(4*N!Z28)))+(Rstar!Z28*N!Z28*(1-(N!Z28/Kstar!Z28)))</f>
        <v>99.749503328391526</v>
      </c>
      <c r="AA28" s="75">
        <f>N!AA28+($C$7*(SUM(N!Z28,N!AA27,N!AB28,N!AA29)-(4*N!AA28)))+(Rstar!AA28*N!AA28*(1-(N!AA28/Kstar!AA28)))</f>
        <v>99.74940991487793</v>
      </c>
      <c r="AB28" s="75">
        <f>N!AB28+($C$7*(SUM(N!AA28,N!AB27,N!AC28,N!AB29)-(4*N!AB28)))+(Rstar!AB28*N!AB28*(1-(N!AB28/Kstar!AB28)))</f>
        <v>99.749296391827073</v>
      </c>
      <c r="AC28" s="75">
        <f>N!AC28+($C$7*(SUM(N!AB28,N!AC27,N!AD28,N!AC29)-(4*N!AC28)))+(Rstar!AC28*N!AC28*(1-(N!AC28/Kstar!AC28)))</f>
        <v>99.749094588385859</v>
      </c>
      <c r="AD28" s="75">
        <f>N!AD28+($C$7*(SUM(N!AC28,N!AD27,N!AE28,N!AD29)-(4*N!AD28)))+(Rstar!AD28*N!AD28*(1-(N!AD28/Kstar!AD28)))</f>
        <v>99.748661754275062</v>
      </c>
      <c r="AE28" s="75">
        <f>N!AE28+($C$7*(SUM(N!AD28,N!AE27,N!AF28,N!AE29)-(4*N!AE28)))+(Rstar!AE28*N!AE28*(1-(N!AE28/Kstar!AE28)))</f>
        <v>99.747677632818807</v>
      </c>
      <c r="AF28" s="75">
        <f>N!AF28+($C$7*(SUM(N!AE28,N!AF27,N!AG28,N!AF29)-(4*N!AF28)))+(Rstar!AF28*N!AF28*(1-(N!AF28/Kstar!AF28)))</f>
        <v>99.745406483230511</v>
      </c>
      <c r="AG28" s="75">
        <f>N!AG28+($C$7*(SUM(N!AF28,N!AG27,N!AH28,N!AG29)-(4*N!AG28)))+(Rstar!AG28*N!AG28*(1-(N!AG28/Kstar!AG28)))</f>
        <v>99.74014654448284</v>
      </c>
      <c r="AH28" s="75">
        <f>N!AH28+($C$7*(SUM(N!AG28,N!AH27,N!AI28,N!AH29)-(4*N!AH28)))+(Rstar!AH28*N!AH28*(1-(N!AH28/Kstar!AH28)))</f>
        <v>99.727954828906149</v>
      </c>
      <c r="AI28" s="75">
        <f>N!AI28+($C$7*(SUM(N!AH28,N!AI27,N!AJ28,N!AI29)-(4*N!AI28)))+(Rstar!AI28*N!AI28*(1-(N!AI28/Kstar!AI28)))</f>
        <v>99.699692439295973</v>
      </c>
      <c r="AJ28" s="75">
        <f>N!AJ28+($C$7*(SUM(N!AI28,N!AJ27,N!AK28,N!AJ29)-(4*N!AJ28)))+(Rstar!AJ28*N!AJ28*(1-(N!AJ28/Kstar!AJ28)))</f>
        <v>99.634181339542906</v>
      </c>
      <c r="AK28" s="75">
        <f>N!AK28+($C$7*(SUM(N!AJ28,N!AK27,N!AL28,N!AK29)-(4*N!AK28)))+(Rstar!AK28*N!AK28*(1-(N!AK28/Kstar!AK28)))</f>
        <v>99.482376163214369</v>
      </c>
      <c r="AL28" s="75">
        <f>N!AL28+($C$7*(SUM(N!AK28,N!AL27,N!AM28,N!AL29)-(4*N!AL28)))+(Rstar!AL28*N!AL28*(1-(N!AL28/Kstar!AL28)))</f>
        <v>99.130871761842812</v>
      </c>
      <c r="AM28" s="75">
        <f>N!AM28+($C$7*(SUM(N!AL28,N!AM27,N!AN28,N!AM29)-(4*N!AM28)))+(Rstar!AM28*N!AM28*(1-(N!AM28/Kstar!AM28)))</f>
        <v>98.318402909543835</v>
      </c>
      <c r="AN28" s="75">
        <f>N!AN28+($C$7*(SUM(N!AM28,N!AN27,N!AO28,N!AN29)-(4*N!AN28)))+(Rstar!AN28*N!AN28*(1-(N!AN28/Kstar!AN28)))</f>
        <v>96.448178165788235</v>
      </c>
      <c r="AO28" s="75">
        <f>N!AO28+($C$7*(SUM(N!AN28,N!AO27,N!AP28,N!AO29)-(4*N!AO28)))+(Rstar!AO28*N!AO28*(1-(N!AO28/Kstar!AO28)))</f>
        <v>92.184140430420456</v>
      </c>
      <c r="AP28" s="75">
        <f>N!AP28+($C$7*(SUM(N!AO28,N!AP27,N!AQ28,N!AP29)-(4*N!AP28)))+(Rstar!AP28*N!AP28*(1-(N!AP28/Kstar!AP28)))</f>
        <v>82.676751261068276</v>
      </c>
      <c r="AQ28" s="94">
        <f>N!AQ28+($C$7*(SUM(N!AP28,N!AQ27,N!AR28,N!AQ29)-(4*N!AQ28)))+(Rstar!AQ28*N!AQ28*(1-(N!AQ28/Kstar!AQ28)))</f>
        <v>62.556827599194854</v>
      </c>
      <c r="AR28" s="92">
        <f>N!AR28+($X$7*(SUM(N!AQ28,N!AR27,N!AS28,N!AR29)-(4*N!AR28)))+(Rstar!AR28*N!AR28*(1-(N!AR28/Kstar!AR28)))</f>
        <v>24.94364870335572</v>
      </c>
      <c r="AS28" s="86">
        <f>N!AS28+($X$7*(SUM(N!AR28,N!AS27,N!AT28,N!AS29)-(4*N!AS28)))+(Rstar!AS28*N!AS28*(1-(N!AS28/Kstar!AS28)))</f>
        <v>15.403464850639024</v>
      </c>
      <c r="AT28" s="86">
        <f>N!AT28+($X$7*(SUM(N!AS28,N!AT27,N!AU28,N!AT29)-(4*N!AT28)))+(Rstar!AT28*N!AT28*(1-(N!AT28/Kstar!AT28)))</f>
        <v>12.15023365126045</v>
      </c>
      <c r="AU28" s="86">
        <f>N!AU28+($X$7*(SUM(N!AT28,N!AU27,N!AV28,N!AU29)-(4*N!AU28)))+(Rstar!AU28*N!AU28*(1-(N!AU28/Kstar!AU28)))</f>
        <v>10.884144358823944</v>
      </c>
      <c r="AV28" s="86">
        <f>N!AV28+($X$7*(SUM(N!AU28,N!AV27,N!AW28,N!AV29)-(4*N!AV28)))+(Rstar!AV28*N!AV28*(1-(N!AV28/Kstar!AV28)))</f>
        <v>10.362010479185221</v>
      </c>
      <c r="AW28" s="86">
        <f>N!AW28+($X$7*(SUM(N!AV28,N!AW27,N!AX28,N!AW29)-(4*N!AW28)))+(Rstar!AW28*N!AW28*(1-(N!AW28/Kstar!AW28)))</f>
        <v>10.14134339078185</v>
      </c>
      <c r="AX28" s="86">
        <f>N!AX28+($X$7*(SUM(N!AW28,N!AX27,N!AY28,N!AX29)-(4*N!AX28)))+(Rstar!AX28*N!AX28*(1-(N!AX28/Kstar!AX28)))</f>
        <v>10.047459134608486</v>
      </c>
      <c r="AY28" s="87">
        <f>N!AY28+($X$7*(SUM(N!AX28,N!AY27,N!AZ28,N!AY29)-(4*N!AY28)))+(Rstar!AY28*N!AY28*(1-(N!AY28/Kstar!AY28)))</f>
        <v>10.008256915999349</v>
      </c>
      <c r="AZ28" s="72">
        <f>N!AZ28+($X$7*(SUM(N!AY28,N!AZ27,N!AZ29)-(3*N!AZ28)))+(Rstar!AZ28*N!AZ28*(1-(N!AZ28/Kstar!AZ28)))</f>
        <v>9.9940221646535292</v>
      </c>
      <c r="BA28" s="35">
        <v>10</v>
      </c>
    </row>
    <row r="29" spans="2:53" x14ac:dyDescent="0.2">
      <c r="B29" s="34">
        <v>11</v>
      </c>
      <c r="C29" s="72">
        <f>N!C29+($X$7*(SUM(N!C28,N!D29,N!C30)-(3*N!C29)))+(Rstar!C29*N!C29*(1-(N!C29/Kstar!C29)))</f>
        <v>99.750731448850573</v>
      </c>
      <c r="D29" s="74">
        <f>N!D29+($C$7*(SUM(N!C29,N!D28,N!E29,N!D30)-(4*N!D29)))+(Rstar!D29*N!D29*(1-(N!D29/Kstar!D29)))</f>
        <v>99.750727831356031</v>
      </c>
      <c r="E29" s="75">
        <f>N!E29+($C$7*(SUM(N!D29,N!E28,N!F29,N!E30)-(4*N!E29)))+(Rstar!E29*N!E29*(1-(N!E29/Kstar!E29)))</f>
        <v>99.750720562207874</v>
      </c>
      <c r="F29" s="75">
        <f>N!F29+($C$7*(SUM(N!E29,N!F28,N!G29,N!F30)-(4*N!F29)))+(Rstar!F29*N!F29*(1-(N!F29/Kstar!F29)))</f>
        <v>99.750709766465562</v>
      </c>
      <c r="G29" s="75">
        <f>N!G29+($C$7*(SUM(N!F29,N!G28,N!H29,N!G30)-(4*N!G29)))+(Rstar!G29*N!G29*(1-(N!G29/Kstar!G29)))</f>
        <v>99.750712905663349</v>
      </c>
      <c r="H29" s="75">
        <f>N!H29+($C$7*(SUM(N!G29,N!H28,N!I29,N!H30)-(4*N!H29)))+(Rstar!H29*N!H29*(1-(N!H29/Kstar!H29)))</f>
        <v>99.750712875316921</v>
      </c>
      <c r="I29" s="75">
        <f>N!I29+($C$7*(SUM(N!H29,N!I28,N!J29,N!I30)-(4*N!I29)))+(Rstar!I29*N!I29*(1-(N!I29/Kstar!I29)))</f>
        <v>99.750709319622388</v>
      </c>
      <c r="J29" s="75">
        <f>N!J29+($C$7*(SUM(N!I29,N!J28,N!K29,N!J30)-(4*N!J29)))+(Rstar!J29*N!J29*(1-(N!J29/Kstar!J29)))</f>
        <v>99.750701344178793</v>
      </c>
      <c r="K29" s="75">
        <f>N!K29+($C$7*(SUM(N!J29,N!K28,N!L29,N!K30)-(4*N!K29)))+(Rstar!K29*N!K29*(1-(N!K29/Kstar!K29)))</f>
        <v>99.750709369101727</v>
      </c>
      <c r="L29" s="75">
        <f>N!L29+($C$7*(SUM(N!K29,N!L28,N!M29,N!L30)-(4*N!L29)))+(Rstar!L29*N!L29*(1-(N!L29/Kstar!L29)))</f>
        <v>99.750712905663349</v>
      </c>
      <c r="M29" s="75">
        <f>N!M29+($C$7*(SUM(N!L29,N!M28,N!N29,N!M30)-(4*N!M29)))+(Rstar!M29*N!M29*(1-(N!M29/Kstar!M29)))</f>
        <v>99.750712875316921</v>
      </c>
      <c r="N29" s="75">
        <f>N!N29+($C$7*(SUM(N!M29,N!N28,N!O29,N!N30)-(4*N!N29)))+(Rstar!N29*N!N29*(1-(N!N29/Kstar!N29)))</f>
        <v>99.750709319622388</v>
      </c>
      <c r="O29" s="75">
        <f>N!O29+($C$7*(SUM(N!N29,N!O28,N!P29,N!O30)-(4*N!O29)))+(Rstar!O29*N!O29*(1-(N!O29/Kstar!O29)))</f>
        <v>99.750700832132935</v>
      </c>
      <c r="P29" s="75">
        <f>N!P29+($C$7*(SUM(N!O29,N!P28,N!Q29,N!P30)-(4*N!P29)))+(Rstar!P29*N!P29*(1-(N!P29/Kstar!P29)))</f>
        <v>99.750683945824335</v>
      </c>
      <c r="Q29" s="75">
        <f>N!Q29+($C$7*(SUM(N!P29,N!Q28,N!R29,N!Q30)-(4*N!Q29)))+(Rstar!Q29*N!Q29*(1-(N!Q29/Kstar!Q29)))</f>
        <v>99.750651899613587</v>
      </c>
      <c r="R29" s="75">
        <f>N!R29+($C$7*(SUM(N!Q29,N!R28,N!S29,N!R30)-(4*N!R29)))+(Rstar!R29*N!R29*(1-(N!R29/Kstar!R29)))</f>
        <v>99.750592689265645</v>
      </c>
      <c r="S29" s="75">
        <f>N!S29+($C$7*(SUM(N!R29,N!S28,N!T29,N!S30)-(4*N!S29)))+(Rstar!S29*N!S29*(1-(N!S29/Kstar!S29)))</f>
        <v>99.750486652917914</v>
      </c>
      <c r="T29" s="75">
        <f>N!T29+($C$7*(SUM(N!S29,N!T28,N!U29,N!T30)-(4*N!T29)))+(Rstar!T29*N!T29*(1-(N!T29/Kstar!T29)))</f>
        <v>99.750305150625863</v>
      </c>
      <c r="U29" s="75">
        <f>N!U29+($C$7*(SUM(N!T29,N!U28,N!V29,N!U30)-(4*N!U29)))+(Rstar!U29*N!U29*(1-(N!U29/Kstar!U29)))</f>
        <v>99.750015239872226</v>
      </c>
      <c r="V29" s="75">
        <f>N!V29+($C$7*(SUM(N!U29,N!V28,N!W29,N!V30)-(4*N!V29)))+(Rstar!V29*N!V29*(1-(N!V29/Kstar!V29)))</f>
        <v>99.749600965257855</v>
      </c>
      <c r="W29" s="75">
        <f>N!W29+($C$7*(SUM(N!V29,N!W28,N!X29,N!W30)-(4*N!W29)))+(Rstar!W29*N!W29*(1-(N!W29/Kstar!W29)))</f>
        <v>99.749111505580316</v>
      </c>
      <c r="X29" s="75">
        <f>N!X29+($C$7*(SUM(N!W29,N!X28,N!Y29,N!X30)-(4*N!X29)))+(Rstar!X29*N!X29*(1-(N!X29/Kstar!X29)))</f>
        <v>99.748695009028509</v>
      </c>
      <c r="Y29" s="75">
        <f>N!Y29+($C$7*(SUM(N!X29,N!Y28,N!Z29,N!Y30)-(4*N!Y29)))+(Rstar!Y29*N!Y29*(1-(N!Y29/Kstar!Y29)))</f>
        <v>99.748399012427072</v>
      </c>
      <c r="Z29" s="75">
        <f>N!Z29+($C$7*(SUM(N!Y29,N!Z28,N!AA29,N!Z30)-(4*N!Z29)))+(Rstar!Z29*N!Z29*(1-(N!Z29/Kstar!Z29)))</f>
        <v>99.748203019109908</v>
      </c>
      <c r="AA29" s="75">
        <f>N!AA29+($C$7*(SUM(N!Z29,N!AA28,N!AB29,N!AA30)-(4*N!AA29)))+(Rstar!AA29*N!AA29*(1-(N!AA29/Kstar!AA29)))</f>
        <v>99.748063214664896</v>
      </c>
      <c r="AB29" s="75">
        <f>N!AB29+($C$7*(SUM(N!AA29,N!AB28,N!AC29,N!AB30)-(4*N!AB29)))+(Rstar!AB29*N!AB29*(1-(N!AB29/Kstar!AB29)))</f>
        <v>99.747925587971281</v>
      </c>
      <c r="AC29" s="75">
        <f>N!AC29+($C$7*(SUM(N!AB29,N!AC28,N!AD29,N!AC30)-(4*N!AC29)))+(Rstar!AC29*N!AC29*(1-(N!AC29/Kstar!AC29)))</f>
        <v>99.747711576704759</v>
      </c>
      <c r="AD29" s="75">
        <f>N!AD29+($C$7*(SUM(N!AC29,N!AD28,N!AE29,N!AD30)-(4*N!AD29)))+(Rstar!AD29*N!AD29*(1-(N!AD29/Kstar!AD29)))</f>
        <v>99.747272593041814</v>
      </c>
      <c r="AE29" s="75">
        <f>N!AE29+($C$7*(SUM(N!AD29,N!AE28,N!AF29,N!AE30)-(4*N!AE29)))+(Rstar!AE29*N!AE29*(1-(N!AE29/Kstar!AE29)))</f>
        <v>99.746285243498392</v>
      </c>
      <c r="AF29" s="75">
        <f>N!AF29+($C$7*(SUM(N!AE29,N!AF28,N!AG29,N!AF30)-(4*N!AF29)))+(Rstar!AF29*N!AF29*(1-(N!AF29/Kstar!AF29)))</f>
        <v>99.74401208467664</v>
      </c>
      <c r="AG29" s="75">
        <f>N!AG29+($C$7*(SUM(N!AF29,N!AG28,N!AH29,N!AG30)-(4*N!AG29)))+(Rstar!AG29*N!AG29*(1-(N!AG29/Kstar!AG29)))</f>
        <v>99.73875031277619</v>
      </c>
      <c r="AH29" s="75">
        <f>N!AH29+($C$7*(SUM(N!AG29,N!AH28,N!AI29,N!AH30)-(4*N!AH29)))+(Rstar!AH29*N!AH29*(1-(N!AH29/Kstar!AH29)))</f>
        <v>99.726556072917035</v>
      </c>
      <c r="AI29" s="75">
        <f>N!AI29+($C$7*(SUM(N!AH29,N!AI28,N!AJ29,N!AI30)-(4*N!AI29)))+(Rstar!AI29*N!AI29*(1-(N!AI29/Kstar!AI29)))</f>
        <v>99.698289420745212</v>
      </c>
      <c r="AJ29" s="75">
        <f>N!AJ29+($C$7*(SUM(N!AI29,N!AJ28,N!AK29,N!AJ30)-(4*N!AJ29)))+(Rstar!AJ29*N!AJ29*(1-(N!AJ29/Kstar!AJ29)))</f>
        <v>99.632770772249515</v>
      </c>
      <c r="AK29" s="75">
        <f>N!AK29+($C$7*(SUM(N!AJ29,N!AK28,N!AL29,N!AK30)-(4*N!AK29)))+(Rstar!AK29*N!AK29*(1-(N!AK29/Kstar!AK29)))</f>
        <v>99.480952432120873</v>
      </c>
      <c r="AL29" s="75">
        <f>N!AL29+($C$7*(SUM(N!AK29,N!AL28,N!AM29,N!AL30)-(4*N!AL29)))+(Rstar!AL29*N!AL29*(1-(N!AL29/Kstar!AL29)))</f>
        <v>99.129426136270894</v>
      </c>
      <c r="AM29" s="75">
        <f>N!AM29+($C$7*(SUM(N!AL29,N!AM28,N!AN29,N!AM30)-(4*N!AM29)))+(Rstar!AM29*N!AM29*(1-(N!AM29/Kstar!AM29)))</f>
        <v>98.316923860120539</v>
      </c>
      <c r="AN29" s="75">
        <f>N!AN29+($C$7*(SUM(N!AM29,N!AN28,N!AO29,N!AN30)-(4*N!AN29)))+(Rstar!AN29*N!AN29*(1-(N!AN29/Kstar!AN29)))</f>
        <v>96.446656263477962</v>
      </c>
      <c r="AO29" s="75">
        <f>N!AO29+($C$7*(SUM(N!AN29,N!AO28,N!AP29,N!AO30)-(4*N!AO29)))+(Rstar!AO29*N!AO29*(1-(N!AO29/Kstar!AO29)))</f>
        <v>92.18258715510818</v>
      </c>
      <c r="AP29" s="75">
        <f>N!AP29+($C$7*(SUM(N!AO29,N!AP28,N!AQ29,N!AP30)-(4*N!AP29)))+(Rstar!AP29*N!AP29*(1-(N!AP29/Kstar!AP29)))</f>
        <v>82.675252326709511</v>
      </c>
      <c r="AQ29" s="94">
        <f>N!AQ29+($C$7*(SUM(N!AP29,N!AQ28,N!AR29,N!AQ30)-(4*N!AQ29)))+(Rstar!AQ29*N!AQ29*(1-(N!AQ29/Kstar!AQ29)))</f>
        <v>62.55565576533683</v>
      </c>
      <c r="AR29" s="92">
        <f>N!AR29+($X$7*(SUM(N!AQ29,N!AR28,N!AS29,N!AR30)-(4*N!AR29)))+(Rstar!AR29*N!AR29*(1-(N!AR29/Kstar!AR29)))</f>
        <v>24.943354505784097</v>
      </c>
      <c r="AS29" s="86">
        <f>N!AS29+($X$7*(SUM(N!AR29,N!AS28,N!AT29,N!AS30)-(4*N!AS29)))+(Rstar!AS29*N!AS29*(1-(N!AS29/Kstar!AS29)))</f>
        <v>15.403349615527151</v>
      </c>
      <c r="AT29" s="86">
        <f>N!AT29+($X$7*(SUM(N!AS29,N!AT28,N!AU29,N!AT30)-(4*N!AT29)))+(Rstar!AT29*N!AT29*(1-(N!AT29/Kstar!AT29)))</f>
        <v>12.150179447572537</v>
      </c>
      <c r="AU29" s="86">
        <f>N!AU29+($X$7*(SUM(N!AT29,N!AU28,N!AV29,N!AU30)-(4*N!AU29)))+(Rstar!AU29*N!AU29*(1-(N!AU29/Kstar!AU29)))</f>
        <v>10.884117170010887</v>
      </c>
      <c r="AV29" s="86">
        <f>N!AV29+($X$7*(SUM(N!AU29,N!AV28,N!AW29,N!AV30)-(4*N!AV29)))+(Rstar!AV29*N!AV29*(1-(N!AV29/Kstar!AV29)))</f>
        <v>10.361996390813971</v>
      </c>
      <c r="AW29" s="86">
        <f>N!AW29+($X$7*(SUM(N!AV29,N!AW28,N!AX29,N!AW30)-(4*N!AW29)))+(Rstar!AW29*N!AW29*(1-(N!AW29/Kstar!AW29)))</f>
        <v>10.14133567116736</v>
      </c>
      <c r="AX29" s="86">
        <f>N!AX29+($X$7*(SUM(N!AW29,N!AX28,N!AY29,N!AX30)-(4*N!AX29)))+(Rstar!AX29*N!AX29*(1-(N!AX29/Kstar!AX29)))</f>
        <v>10.047454356064243</v>
      </c>
      <c r="AY29" s="87">
        <f>N!AY29+($X$7*(SUM(N!AX29,N!AY28,N!AZ29,N!AY30)-(4*N!AY29)))+(Rstar!AY29*N!AY29*(1-(N!AY29/Kstar!AY29)))</f>
        <v>10.008253356101608</v>
      </c>
      <c r="AZ29" s="72">
        <f>N!AZ29+($X$7*(SUM(N!AY29,N!AZ28,N!AZ30)-(3*N!AZ29)))+(Rstar!AZ29*N!AZ29*(1-(N!AZ29/Kstar!AZ29)))</f>
        <v>9.9940190075548507</v>
      </c>
      <c r="BA29" s="35">
        <v>11</v>
      </c>
    </row>
    <row r="30" spans="2:53" x14ac:dyDescent="0.2">
      <c r="B30" s="34">
        <v>12</v>
      </c>
      <c r="C30" s="72">
        <f>N!C30+($X$7*(SUM(N!C29,N!D30,N!C31)-(3*N!C30)))+(Rstar!C30*N!C30*(1-(N!C30/Kstar!C30)))</f>
        <v>99.750708325904725</v>
      </c>
      <c r="D30" s="74">
        <f>N!D30+($C$7*(SUM(N!C30,N!D29,N!E30,N!D31)-(4*N!D30)))+(Rstar!D30*N!D30*(1-(N!D30/Kstar!D30)))</f>
        <v>99.750701076693318</v>
      </c>
      <c r="E30" s="75">
        <f>N!E30+($C$7*(SUM(N!D30,N!E29,N!F30,N!E31)-(4*N!E30)))+(Rstar!E30*N!E30*(1-(N!E30/Kstar!E30)))</f>
        <v>99.750686802886563</v>
      </c>
      <c r="F30" s="75">
        <f>N!F30+($C$7*(SUM(N!E30,N!F29,N!G30,N!F31)-(4*N!F30)))+(Rstar!F30*N!F30*(1-(N!F30/Kstar!F30)))</f>
        <v>99.750666408700837</v>
      </c>
      <c r="G30" s="75">
        <f>N!G30+($C$7*(SUM(N!F30,N!G29,N!H30,N!G31)-(4*N!G30)))+(Rstar!G30*N!G30*(1-(N!G30/Kstar!G30)))</f>
        <v>99.750670907016371</v>
      </c>
      <c r="H30" s="75">
        <f>N!H30+($C$7*(SUM(N!G30,N!H29,N!I30,N!H31)-(4*N!H30)))+(Rstar!H30*N!H30*(1-(N!H30/Kstar!H30)))</f>
        <v>99.750670797755404</v>
      </c>
      <c r="I30" s="75">
        <f>N!I30+($C$7*(SUM(N!H30,N!I29,N!J30,N!I31)-(4*N!I30)))+(Rstar!I30*N!I30*(1-(N!I30/Kstar!I30)))</f>
        <v>99.75066555105974</v>
      </c>
      <c r="J30" s="75">
        <f>N!J30+($C$7*(SUM(N!I30,N!J29,N!K30,N!J31)-(4*N!J30)))+(Rstar!J30*N!J30*(1-(N!J30/Kstar!J30)))</f>
        <v>99.750653869596377</v>
      </c>
      <c r="K30" s="75">
        <f>N!K30+($C$7*(SUM(N!J30,N!K29,N!L30,N!K31)-(4*N!K30)))+(Rstar!K30*N!K30*(1-(N!K30/Kstar!K30)))</f>
        <v>99.750665730095449</v>
      </c>
      <c r="L30" s="75">
        <f>N!L30+($C$7*(SUM(N!K30,N!L29,N!M30,N!L31)-(4*N!L30)))+(Rstar!L30*N!L30*(1-(N!L30/Kstar!L30)))</f>
        <v>99.750670907016371</v>
      </c>
      <c r="M30" s="75">
        <f>N!M30+($C$7*(SUM(N!L30,N!M29,N!N30,N!M31)-(4*N!M30)))+(Rstar!M30*N!M30*(1-(N!M30/Kstar!M30)))</f>
        <v>99.750670797755404</v>
      </c>
      <c r="N30" s="75">
        <f>N!N30+($C$7*(SUM(N!M30,N!N29,N!O30,N!N31)-(4*N!N30)))+(Rstar!N30*N!N30*(1-(N!N30/Kstar!N30)))</f>
        <v>99.75066555105974</v>
      </c>
      <c r="O30" s="75">
        <f>N!O30+($C$7*(SUM(N!N30,N!O29,N!P30,N!O31)-(4*N!O30)))+(Rstar!O30*N!O30*(1-(N!O30/Kstar!O30)))</f>
        <v>99.750653110281831</v>
      </c>
      <c r="P30" s="75">
        <f>N!P30+($C$7*(SUM(N!O30,N!P29,N!Q30,N!P31)-(4*N!P30)))+(Rstar!P30*N!P30*(1-(N!P30/Kstar!P30)))</f>
        <v>99.750628031125117</v>
      </c>
      <c r="Q30" s="75">
        <f>N!Q30+($C$7*(SUM(N!P30,N!Q29,N!R30,N!Q31)-(4*N!Q30)))+(Rstar!Q30*N!Q30*(1-(N!Q30/Kstar!Q30)))</f>
        <v>99.750579038195085</v>
      </c>
      <c r="R30" s="75">
        <f>N!R30+($C$7*(SUM(N!Q30,N!R29,N!S30,N!R31)-(4*N!R30)))+(Rstar!R30*N!R30*(1-(N!R30/Kstar!R30)))</f>
        <v>99.750484642760867</v>
      </c>
      <c r="S30" s="75">
        <f>N!S30+($C$7*(SUM(N!R30,N!S29,N!T30,N!S31)-(4*N!S30)))+(Rstar!S30*N!S30*(1-(N!S30/Kstar!S30)))</f>
        <v>99.750306163847512</v>
      </c>
      <c r="T30" s="75">
        <f>N!T30+($C$7*(SUM(N!S30,N!T29,N!U30,N!T31)-(4*N!T30)))+(Rstar!T30*N!T30*(1-(N!T30/Kstar!T30)))</f>
        <v>99.749979071181571</v>
      </c>
      <c r="U30" s="75">
        <f>N!U30+($C$7*(SUM(N!T30,N!U29,N!V30,N!U31)-(4*N!U30)))+(Rstar!U30*N!U30*(1-(N!U30/Kstar!U30)))</f>
        <v>99.749410524436115</v>
      </c>
      <c r="V30" s="75">
        <f>N!V30+($C$7*(SUM(N!U30,N!V29,N!W30,N!V31)-(4*N!V30)))+(Rstar!V30*N!V30*(1-(N!V30/Kstar!V30)))</f>
        <v>99.748513144224177</v>
      </c>
      <c r="W30" s="75">
        <f>N!W30+($C$7*(SUM(N!V30,N!W29,N!X30,N!W31)-(4*N!W30)))+(Rstar!W30*N!W30*(1-(N!W30/Kstar!W30)))</f>
        <v>99.747352995734275</v>
      </c>
      <c r="X30" s="75">
        <f>N!X30+($C$7*(SUM(N!W30,N!X29,N!Y30,N!X31)-(4*N!X30)))+(Rstar!X30*N!X30*(1-(N!X30/Kstar!X30)))</f>
        <v>99.746453379848376</v>
      </c>
      <c r="Y30" s="75">
        <f>N!Y30+($C$7*(SUM(N!X30,N!Y29,N!Z30,N!Y31)-(4*N!Y30)))+(Rstar!Y30*N!Y30*(1-(N!Y30/Kstar!Y30)))</f>
        <v>99.745878744716634</v>
      </c>
      <c r="Z30" s="75">
        <f>N!Z30+($C$7*(SUM(N!Y30,N!Z29,N!AA30,N!Z31)-(4*N!Z30)))+(Rstar!Z30*N!Z30*(1-(N!Z30/Kstar!Z30)))</f>
        <v>99.745537196624952</v>
      </c>
      <c r="AA30" s="75">
        <f>N!AA30+($C$7*(SUM(N!Z30,N!AA29,N!AB30,N!AA31)-(4*N!AA30)))+(Rstar!AA30*N!AA30*(1-(N!AA30/Kstar!AA30)))</f>
        <v>99.74532504129175</v>
      </c>
      <c r="AB30" s="75">
        <f>N!AB30+($C$7*(SUM(N!AA30,N!AB29,N!AC30,N!AB31)-(4*N!AB30)))+(Rstar!AB30*N!AB30*(1-(N!AB30/Kstar!AB30)))</f>
        <v>99.745152381116355</v>
      </c>
      <c r="AC30" s="75">
        <f>N!AC30+($C$7*(SUM(N!AB30,N!AC29,N!AD30,N!AC31)-(4*N!AC30)))+(Rstar!AC30*N!AC30*(1-(N!AC30/Kstar!AC30)))</f>
        <v>99.744921610226129</v>
      </c>
      <c r="AD30" s="75">
        <f>N!AD30+($C$7*(SUM(N!AC30,N!AD29,N!AE30,N!AD31)-(4*N!AD30)))+(Rstar!AD30*N!AD30*(1-(N!AD30/Kstar!AD30)))</f>
        <v>99.744474570246169</v>
      </c>
      <c r="AE30" s="75">
        <f>N!AE30+($C$7*(SUM(N!AD30,N!AE29,N!AF30,N!AE31)-(4*N!AE30)))+(Rstar!AE30*N!AE30*(1-(N!AE30/Kstar!AE30)))</f>
        <v>99.743483146177937</v>
      </c>
      <c r="AF30" s="75">
        <f>N!AF30+($C$7*(SUM(N!AE30,N!AF29,N!AG30,N!AF31)-(4*N!AF30)))+(Rstar!AF30*N!AF30*(1-(N!AF30/Kstar!AF30)))</f>
        <v>99.741207500232449</v>
      </c>
      <c r="AG30" s="75">
        <f>N!AG30+($C$7*(SUM(N!AF30,N!AG29,N!AH30,N!AG31)-(4*N!AG30)))+(Rstar!AG30*N!AG30*(1-(N!AG30/Kstar!AG30)))</f>
        <v>99.735943432153647</v>
      </c>
      <c r="AH30" s="75">
        <f>N!AH30+($C$7*(SUM(N!AG30,N!AH29,N!AI30,N!AH31)-(4*N!AH30)))+(Rstar!AH30*N!AH30*(1-(N!AH30/Kstar!AH30)))</f>
        <v>99.7237459413073</v>
      </c>
      <c r="AI30" s="75">
        <f>N!AI30+($C$7*(SUM(N!AH30,N!AI29,N!AJ30,N!AI31)-(4*N!AI30)))+(Rstar!AI30*N!AI30*(1-(N!AI30/Kstar!AI30)))</f>
        <v>99.695473671837078</v>
      </c>
      <c r="AJ30" s="75">
        <f>N!AJ30+($C$7*(SUM(N!AI30,N!AJ29,N!AK30,N!AJ31)-(4*N!AJ30)))+(Rstar!AJ30*N!AJ30*(1-(N!AJ30/Kstar!AJ30)))</f>
        <v>99.629944898797262</v>
      </c>
      <c r="AK30" s="75">
        <f>N!AK30+($C$7*(SUM(N!AJ30,N!AK29,N!AL30,N!AK31)-(4*N!AK30)))+(Rstar!AK30*N!AK30*(1-(N!AK30/Kstar!AK30)))</f>
        <v>99.478108644227731</v>
      </c>
      <c r="AL30" s="75">
        <f>N!AL30+($C$7*(SUM(N!AK30,N!AL29,N!AM30,N!AL31)-(4*N!AL30)))+(Rstar!AL30*N!AL30*(1-(N!AL30/Kstar!AL30)))</f>
        <v>99.126552236624349</v>
      </c>
      <c r="AM30" s="75">
        <f>N!AM30+($C$7*(SUM(N!AL30,N!AM29,N!AN30,N!AM31)-(4*N!AM30)))+(Rstar!AM30*N!AM30*(1-(N!AM30/Kstar!AM30)))</f>
        <v>98.314003991549384</v>
      </c>
      <c r="AN30" s="75">
        <f>N!AN30+($C$7*(SUM(N!AM30,N!AN29,N!AO30,N!AN31)-(4*N!AN30)))+(Rstar!AN30*N!AN30*(1-(N!AN30/Kstar!AN30)))</f>
        <v>96.443679628726855</v>
      </c>
      <c r="AO30" s="75">
        <f>N!AO30+($C$7*(SUM(N!AN30,N!AO29,N!AP30,N!AO31)-(4*N!AO30)))+(Rstar!AO30*N!AO30*(1-(N!AO30/Kstar!AO30)))</f>
        <v>92.179581748747722</v>
      </c>
      <c r="AP30" s="75">
        <f>N!AP30+($C$7*(SUM(N!AO30,N!AP29,N!AQ30,N!AP31)-(4*N!AP30)))+(Rstar!AP30*N!AP30*(1-(N!AP30/Kstar!AP30)))</f>
        <v>82.672382672240872</v>
      </c>
      <c r="AQ30" s="94">
        <f>N!AQ30+($C$7*(SUM(N!AP30,N!AQ29,N!AR30,N!AQ31)-(4*N!AQ30)))+(Rstar!AQ30*N!AQ30*(1-(N!AQ30/Kstar!AQ30)))</f>
        <v>62.553433734698288</v>
      </c>
      <c r="AR30" s="92">
        <f>N!AR30+($X$7*(SUM(N!AQ30,N!AR29,N!AS30,N!AR31)-(4*N!AR30)))+(Rstar!AR30*N!AR30*(1-(N!AR30/Kstar!AR30)))</f>
        <v>24.94280822308162</v>
      </c>
      <c r="AS30" s="86">
        <f>N!AS30+($X$7*(SUM(N!AR30,N!AS29,N!AT30,N!AS31)-(4*N!AS30)))+(Rstar!AS30*N!AS30*(1-(N!AS30/Kstar!AS30)))</f>
        <v>15.403147194368689</v>
      </c>
      <c r="AT30" s="86">
        <f>N!AT30+($X$7*(SUM(N!AS30,N!AT29,N!AU30,N!AT31)-(4*N!AT30)))+(Rstar!AT30*N!AT30*(1-(N!AT30/Kstar!AT30)))</f>
        <v>12.150090916073674</v>
      </c>
      <c r="AU30" s="86">
        <f>N!AU30+($X$7*(SUM(N!AT30,N!AU29,N!AV30,N!AU31)-(4*N!AU30)))+(Rstar!AU30*N!AU30*(1-(N!AU30/Kstar!AU30)))</f>
        <v>10.884075955264537</v>
      </c>
      <c r="AV30" s="86">
        <f>N!AV30+($X$7*(SUM(N!AU30,N!AV29,N!AW30,N!AV31)-(4*N!AV30)))+(Rstar!AV30*N!AV30*(1-(N!AV30/Kstar!AV30)))</f>
        <v>10.361976660504387</v>
      </c>
      <c r="AW30" s="86">
        <f>N!AW30+($X$7*(SUM(N!AV30,N!AW29,N!AX30,N!AW31)-(4*N!AW30)))+(Rstar!AW30*N!AW30*(1-(N!AW30/Kstar!AW30)))</f>
        <v>10.141325947901199</v>
      </c>
      <c r="AX30" s="86">
        <f>N!AX30+($X$7*(SUM(N!AW30,N!AX29,N!AY30,N!AX31)-(4*N!AX30)))+(Rstar!AX30*N!AX30*(1-(N!AX30/Kstar!AX30)))</f>
        <v>10.047449259291984</v>
      </c>
      <c r="AY30" s="87">
        <f>N!AY30+($X$7*(SUM(N!AX30,N!AY29,N!AZ30,N!AY31)-(4*N!AY30)))+(Rstar!AY30*N!AY30*(1-(N!AY30/Kstar!AY30)))</f>
        <v>10.008250306697082</v>
      </c>
      <c r="AZ30" s="72">
        <f>N!AZ30+($X$7*(SUM(N!AY30,N!AZ29,N!AZ31)-(3*N!AZ30)))+(Rstar!AZ30*N!AZ30*(1-(N!AZ30/Kstar!AZ30)))</f>
        <v>9.9940167230747115</v>
      </c>
      <c r="BA30" s="35">
        <v>12</v>
      </c>
    </row>
    <row r="31" spans="2:53" x14ac:dyDescent="0.2">
      <c r="B31" s="34">
        <v>13</v>
      </c>
      <c r="C31" s="72">
        <f>N!C31+($X$7*(SUM(N!C30,N!D31,N!C32)-(3*N!C31)))+(Rstar!C31*N!C31*(1-(N!C31/Kstar!C31)))</f>
        <v>99.750665564218522</v>
      </c>
      <c r="D31" s="74">
        <f>N!D31+($C$7*(SUM(N!C31,N!D30,N!E31,N!D32)-(4*N!D31)))+(Rstar!D31*N!D31*(1-(N!D31/Kstar!D31)))</f>
        <v>99.750650658522758</v>
      </c>
      <c r="E31" s="75">
        <f>N!E31+($C$7*(SUM(N!D31,N!E30,N!F31,N!E32)-(4*N!E31)))+(Rstar!E31*N!E31*(1-(N!E31/Kstar!E31)))</f>
        <v>99.750621672841959</v>
      </c>
      <c r="F31" s="75">
        <f>N!F31+($C$7*(SUM(N!E31,N!F30,N!G31,N!F32)-(4*N!F31)))+(Rstar!F31*N!F31*(1-(N!F31/Kstar!F31)))</f>
        <v>99.750581518023552</v>
      </c>
      <c r="G31" s="75">
        <f>N!G31+($C$7*(SUM(N!F31,N!G30,N!H31,N!G32)-(4*N!G31)))+(Rstar!G31*N!G31*(1-(N!G31/Kstar!G31)))</f>
        <v>99.750587705182582</v>
      </c>
      <c r="H31" s="75">
        <f>N!H31+($C$7*(SUM(N!G31,N!H30,N!I31,N!H32)-(4*N!H31)))+(Rstar!H31*N!H31*(1-(N!H31/Kstar!H31)))</f>
        <v>99.750587312932922</v>
      </c>
      <c r="I31" s="75">
        <f>N!I31+($C$7*(SUM(N!H31,N!I30,N!J31,N!I32)-(4*N!I31)))+(Rstar!I31*N!I31*(1-(N!I31/Kstar!I31)))</f>
        <v>99.750579671907559</v>
      </c>
      <c r="J31" s="75">
        <f>N!J31+($C$7*(SUM(N!I31,N!J30,N!K31,N!J32)-(4*N!J31)))+(Rstar!J31*N!J31*(1-(N!J31/Kstar!J31)))</f>
        <v>99.750563264692957</v>
      </c>
      <c r="K31" s="75">
        <f>N!K31+($C$7*(SUM(N!J31,N!K30,N!L31,N!K32)-(4*N!K31)))+(Rstar!K31*N!K31*(1-(N!K31/Kstar!K31)))</f>
        <v>99.750580319951965</v>
      </c>
      <c r="L31" s="75">
        <f>N!L31+($C$7*(SUM(N!K31,N!L30,N!M31,N!L32)-(4*N!L31)))+(Rstar!L31*N!L31*(1-(N!L31/Kstar!L31)))</f>
        <v>99.750587705182582</v>
      </c>
      <c r="M31" s="75">
        <f>N!M31+($C$7*(SUM(N!L31,N!M30,N!N31,N!M32)-(4*N!M31)))+(Rstar!M31*N!M31*(1-(N!M31/Kstar!M31)))</f>
        <v>99.750587312932922</v>
      </c>
      <c r="N31" s="75">
        <f>N!N31+($C$7*(SUM(N!M31,N!N30,N!O31,N!N32)-(4*N!N31)))+(Rstar!N31*N!N31*(1-(N!N31/Kstar!N31)))</f>
        <v>99.750579671907559</v>
      </c>
      <c r="O31" s="75">
        <f>N!O31+($C$7*(SUM(N!N31,N!O30,N!P31,N!O32)-(4*N!O31)))+(Rstar!O31*N!O31*(1-(N!O31/Kstar!O31)))</f>
        <v>99.750562192570214</v>
      </c>
      <c r="P31" s="75">
        <f>N!P31+($C$7*(SUM(N!O31,N!P30,N!Q31,N!P32)-(4*N!P31)))+(Rstar!P31*N!P31*(1-(N!P31/Kstar!P31)))</f>
        <v>99.750527092167587</v>
      </c>
      <c r="Q31" s="75">
        <f>N!Q31+($C$7*(SUM(N!P31,N!Q30,N!R31,N!Q32)-(4*N!Q31)))+(Rstar!Q31*N!Q31*(1-(N!Q31/Kstar!Q31)))</f>
        <v>99.750457187281739</v>
      </c>
      <c r="R31" s="75">
        <f>N!R31+($C$7*(SUM(N!Q31,N!R30,N!S31,N!R32)-(4*N!R31)))+(Rstar!R31*N!R31*(1-(N!R31/Kstar!R31)))</f>
        <v>99.750317545244457</v>
      </c>
      <c r="S31" s="75">
        <f>N!S31+($C$7*(SUM(N!R31,N!S30,N!T31,N!S32)-(4*N!S31)))+(Rstar!S31*N!S31*(1-(N!S31/Kstar!S31)))</f>
        <v>99.750039568489655</v>
      </c>
      <c r="T31" s="75">
        <f>N!T31+($C$7*(SUM(N!S31,N!T30,N!U31,N!T32)-(4*N!T31)))+(Rstar!T31*N!T31*(1-(N!T31/Kstar!T31)))</f>
        <v>99.749492915496404</v>
      </c>
      <c r="U31" s="75">
        <f>N!U31+($C$7*(SUM(N!T31,N!U30,N!V31,N!U32)-(4*N!U31)))+(Rstar!U31*N!U31*(1-(N!U31/Kstar!U31)))</f>
        <v>99.748444879246122</v>
      </c>
      <c r="V31" s="75">
        <f>N!V31+($C$7*(SUM(N!U31,N!V30,N!W31,N!V32)-(4*N!V31)))+(Rstar!V31*N!V31*(1-(N!V31/Kstar!V31)))</f>
        <v>99.746545782541133</v>
      </c>
      <c r="W31" s="75">
        <f>N!W31+($C$7*(SUM(N!V31,N!W30,N!X31,N!W32)-(4*N!W31)))+(Rstar!W31*N!W31*(1-(N!W31/Kstar!W31)))</f>
        <v>99.743608610860832</v>
      </c>
      <c r="X31" s="75">
        <f>N!X31+($C$7*(SUM(N!W31,N!X30,N!Y31,N!X32)-(4*N!X31)))+(Rstar!X31*N!X31*(1-(N!X31/Kstar!X31)))</f>
        <v>99.741707256189443</v>
      </c>
      <c r="Y31" s="75">
        <f>N!Y31+($C$7*(SUM(N!X31,N!Y30,N!Z31,N!Y32)-(4*N!Y31)))+(Rstar!Y31*N!Y31*(1-(N!Y31/Kstar!Y31)))</f>
        <v>99.740653136573414</v>
      </c>
      <c r="Z31" s="75">
        <f>N!Z31+($C$7*(SUM(N!Y31,N!Z30,N!AA31,N!Z32)-(4*N!Z31)))+(Rstar!Z31*N!Z31*(1-(N!Z31/Kstar!Z31)))</f>
        <v>99.740092115842188</v>
      </c>
      <c r="AA31" s="75">
        <f>N!AA31+($C$7*(SUM(N!Z31,N!AA30,N!AB31,N!AA32)-(4*N!AA31)))+(Rstar!AA31*N!AA31*(1-(N!AA31/Kstar!AA31)))</f>
        <v>99.739780676609598</v>
      </c>
      <c r="AB31" s="75">
        <f>N!AB31+($C$7*(SUM(N!AA31,N!AB30,N!AC31,N!AB32)-(4*N!AB31)))+(Rstar!AB31*N!AB31*(1-(N!AB31/Kstar!AB31)))</f>
        <v>99.739563142484272</v>
      </c>
      <c r="AC31" s="75">
        <f>N!AC31+($C$7*(SUM(N!AB31,N!AC30,N!AD31,N!AC32)-(4*N!AC31)))+(Rstar!AC31*N!AC31*(1-(N!AC31/Kstar!AC31)))</f>
        <v>99.739311994288954</v>
      </c>
      <c r="AD31" s="75">
        <f>N!AD31+($C$7*(SUM(N!AC31,N!AD30,N!AE31,N!AD32)-(4*N!AD31)))+(Rstar!AD31*N!AD31*(1-(N!AD31/Kstar!AD31)))</f>
        <v>99.738855548344816</v>
      </c>
      <c r="AE31" s="75">
        <f>N!AE31+($C$7*(SUM(N!AD31,N!AE30,N!AF31,N!AE32)-(4*N!AE31)))+(Rstar!AE31*N!AE31*(1-(N!AE31/Kstar!AE31)))</f>
        <v>99.737859508896307</v>
      </c>
      <c r="AF31" s="75">
        <f>N!AF31+($C$7*(SUM(N!AE31,N!AF30,N!AG31,N!AF32)-(4*N!AF31)))+(Rstar!AF31*N!AF31*(1-(N!AF31/Kstar!AF31)))</f>
        <v>99.735581081033928</v>
      </c>
      <c r="AG31" s="75">
        <f>N!AG31+($C$7*(SUM(N!AF31,N!AG30,N!AH31,N!AG32)-(4*N!AG31)))+(Rstar!AG31*N!AG31*(1-(N!AG31/Kstar!AG31)))</f>
        <v>99.730314410065134</v>
      </c>
      <c r="AH31" s="75">
        <f>N!AH31+($C$7*(SUM(N!AG31,N!AH30,N!AI31,N!AH32)-(4*N!AH31)))+(Rstar!AH31*N!AH31*(1-(N!AH31/Kstar!AH31)))</f>
        <v>99.718113158554345</v>
      </c>
      <c r="AI31" s="75">
        <f>N!AI31+($C$7*(SUM(N!AH31,N!AI30,N!AJ31,N!AI32)-(4*N!AI31)))+(Rstar!AI31*N!AI31*(1-(N!AI31/Kstar!AI31)))</f>
        <v>99.689834314578377</v>
      </c>
      <c r="AJ31" s="75">
        <f>N!AJ31+($C$7*(SUM(N!AI31,N!AJ30,N!AK31,N!AJ32)-(4*N!AJ31)))+(Rstar!AJ31*N!AJ31*(1-(N!AJ31/Kstar!AJ31)))</f>
        <v>99.624293633607678</v>
      </c>
      <c r="AK31" s="75">
        <f>N!AK31+($C$7*(SUM(N!AJ31,N!AK30,N!AL31,N!AK32)-(4*N!AK31)))+(Rstar!AK31*N!AK31*(1-(N!AK31/Kstar!AK31)))</f>
        <v>99.472436329716871</v>
      </c>
      <c r="AL31" s="75">
        <f>N!AL31+($C$7*(SUM(N!AK31,N!AL30,N!AM31,N!AL32)-(4*N!AL31)))+(Rstar!AL31*N!AL31*(1-(N!AL31/Kstar!AL31)))</f>
        <v>99.120844949119672</v>
      </c>
      <c r="AM31" s="75">
        <f>N!AM31+($C$7*(SUM(N!AL31,N!AM30,N!AN31,N!AM32)-(4*N!AM31)))+(Rstar!AM31*N!AM31*(1-(N!AM31/Kstar!AM31)))</f>
        <v>98.30824542549928</v>
      </c>
      <c r="AN31" s="75">
        <f>N!AN31+($C$7*(SUM(N!AM31,N!AN30,N!AO31,N!AN32)-(4*N!AN31)))+(Rstar!AN31*N!AN31*(1-(N!AN31/Kstar!AN31)))</f>
        <v>96.437867067791828</v>
      </c>
      <c r="AO31" s="75">
        <f>N!AO31+($C$7*(SUM(N!AN31,N!AO30,N!AP31,N!AO32)-(4*N!AO31)))+(Rstar!AO31*N!AO31*(1-(N!AO31/Kstar!AO31)))</f>
        <v>92.173785146024684</v>
      </c>
      <c r="AP31" s="75">
        <f>N!AP31+($C$7*(SUM(N!AO31,N!AP30,N!AQ31,N!AP32)-(4*N!AP31)))+(Rstar!AP31*N!AP31*(1-(N!AP31/Kstar!AP31)))</f>
        <v>82.666918300903134</v>
      </c>
      <c r="AQ31" s="94">
        <f>N!AQ31+($C$7*(SUM(N!AP31,N!AQ30,N!AR31,N!AQ32)-(4*N!AQ31)))+(Rstar!AQ31*N!AQ31*(1-(N!AQ31/Kstar!AQ31)))</f>
        <v>62.54925362875553</v>
      </c>
      <c r="AR31" s="92">
        <f>N!AR31+($X$7*(SUM(N!AQ31,N!AR30,N!AS31,N!AR32)-(4*N!AR31)))+(Rstar!AR31*N!AR31*(1-(N!AR31/Kstar!AR31)))</f>
        <v>24.941835910570749</v>
      </c>
      <c r="AS31" s="86">
        <f>N!AS31+($X$7*(SUM(N!AR31,N!AS30,N!AT31,N!AS32)-(4*N!AS31)))+(Rstar!AS31*N!AS31*(1-(N!AS31/Kstar!AS31)))</f>
        <v>15.4028196676046</v>
      </c>
      <c r="AT31" s="86">
        <f>N!AT31+($X$7*(SUM(N!AS31,N!AT30,N!AU31,N!AT32)-(4*N!AT31)))+(Rstar!AT31*N!AT31*(1-(N!AT31/Kstar!AT31)))</f>
        <v>12.14996054928147</v>
      </c>
      <c r="AU31" s="86">
        <f>N!AU31+($X$7*(SUM(N!AT31,N!AU30,N!AV31,N!AU32)-(4*N!AU31)))+(Rstar!AU31*N!AU31*(1-(N!AU31/Kstar!AU31)))</f>
        <v>10.884019757523349</v>
      </c>
      <c r="AV31" s="86">
        <f>N!AV31+($X$7*(SUM(N!AU31,N!AV30,N!AW31,N!AV32)-(4*N!AV31)))+(Rstar!AV31*N!AV31*(1-(N!AV31/Kstar!AV31)))</f>
        <v>10.361951380236233</v>
      </c>
      <c r="AW31" s="86">
        <f>N!AW31+($X$7*(SUM(N!AV31,N!AW30,N!AX31,N!AW32)-(4*N!AW31)))+(Rstar!AW31*N!AW31*(1-(N!AW31/Kstar!AW31)))</f>
        <v>10.141314214315049</v>
      </c>
      <c r="AX31" s="86">
        <f>N!AX31+($X$7*(SUM(N!AW31,N!AX30,N!AY31,N!AX32)-(4*N!AX31)))+(Rstar!AX31*N!AX31*(1-(N!AX31/Kstar!AX31)))</f>
        <v>10.04744357133915</v>
      </c>
      <c r="AY31" s="87">
        <f>N!AY31+($X$7*(SUM(N!AX31,N!AY30,N!AZ31,N!AY32)-(4*N!AY31)))+(Rstar!AY31*N!AY31*(1-(N!AY31/Kstar!AY31)))</f>
        <v>10.008247266630576</v>
      </c>
      <c r="AZ31" s="72">
        <f>N!AZ31+($X$7*(SUM(N!AY31,N!AZ30,N!AZ32)-(3*N!AZ31)))+(Rstar!AZ31*N!AZ31*(1-(N!AZ31/Kstar!AZ31)))</f>
        <v>9.9940146796452609</v>
      </c>
      <c r="BA31" s="35">
        <v>13</v>
      </c>
    </row>
    <row r="32" spans="2:53" x14ac:dyDescent="0.2">
      <c r="B32" s="34">
        <v>14</v>
      </c>
      <c r="C32" s="72">
        <f>N!C32+($X$7*(SUM(N!C31,N!D32,N!C33)-(3*N!C32)))+(Rstar!C32*N!C32*(1-(N!C32/Kstar!C32)))</f>
        <v>99.750587644175866</v>
      </c>
      <c r="D32" s="74">
        <f>N!D32+($C$7*(SUM(N!C32,N!D31,N!E32,N!D33)-(4*N!D32)))+(Rstar!D32*N!D32*(1-(N!D32/Kstar!D32)))</f>
        <v>99.750556493420873</v>
      </c>
      <c r="E32" s="75">
        <f>N!E32+($C$7*(SUM(N!D32,N!E31,N!F32,N!E33)-(4*N!E32)))+(Rstar!E32*N!E32*(1-(N!E32/Kstar!E32)))</f>
        <v>99.75049599228683</v>
      </c>
      <c r="F32" s="75">
        <f>N!F32+($C$7*(SUM(N!E32,N!F31,N!G32,N!F33)-(4*N!F32)))+(Rstar!F32*N!F32*(1-(N!F32/Kstar!F32)))</f>
        <v>99.750413443420555</v>
      </c>
      <c r="G32" s="75">
        <f>N!G32+($C$7*(SUM(N!F32,N!G31,N!H32,N!G33)-(4*N!G32)))+(Rstar!G32*N!G32*(1-(N!G32/Kstar!G32)))</f>
        <v>99.750421708751674</v>
      </c>
      <c r="H32" s="75">
        <f>N!H32+($C$7*(SUM(N!G32,N!H31,N!I32,N!H33)-(4*N!H32)))+(Rstar!H32*N!H32*(1-(N!H32/Kstar!H32)))</f>
        <v>99.750420306877359</v>
      </c>
      <c r="I32" s="75">
        <f>N!I32+($C$7*(SUM(N!H32,N!I31,N!J32,N!I33)-(4*N!I32)))+(Rstar!I32*N!I32*(1-(N!I32/Kstar!I32)))</f>
        <v>99.750408859366928</v>
      </c>
      <c r="J32" s="75">
        <f>N!J32+($C$7*(SUM(N!I32,N!J31,N!K32,N!J33)-(4*N!J32)))+(Rstar!J32*N!J32*(1-(N!J32/Kstar!J32)))</f>
        <v>99.750386437595367</v>
      </c>
      <c r="K32" s="75">
        <f>N!K32+($C$7*(SUM(N!J32,N!K31,N!L32,N!K33)-(4*N!K32)))+(Rstar!K32*N!K32*(1-(N!K32/Kstar!K32)))</f>
        <v>99.750411207171766</v>
      </c>
      <c r="L32" s="75">
        <f>N!L32+($C$7*(SUM(N!K32,N!L31,N!M32,N!L33)-(4*N!L32)))+(Rstar!L32*N!L32*(1-(N!L32/Kstar!L32)))</f>
        <v>99.750421708751674</v>
      </c>
      <c r="M32" s="75">
        <f>N!M32+($C$7*(SUM(N!L32,N!M31,N!N32,N!M33)-(4*N!M32)))+(Rstar!M32*N!M32*(1-(N!M32/Kstar!M32)))</f>
        <v>99.750420306877359</v>
      </c>
      <c r="N32" s="75">
        <f>N!N32+($C$7*(SUM(N!M32,N!N31,N!O32,N!N33)-(4*N!N32)))+(Rstar!N32*N!N32*(1-(N!N32/Kstar!N32)))</f>
        <v>99.750408859366928</v>
      </c>
      <c r="O32" s="75">
        <f>N!O32+($C$7*(SUM(N!N32,N!O31,N!P32,N!O33)-(4*N!O32)))+(Rstar!O32*N!O32*(1-(N!O32/Kstar!O32)))</f>
        <v>99.750384978078401</v>
      </c>
      <c r="P32" s="75">
        <f>N!P32+($C$7*(SUM(N!O32,N!P31,N!Q32,N!P33)-(4*N!P32)))+(Rstar!P32*N!P32*(1-(N!P32/Kstar!P32)))</f>
        <v>99.750338748882996</v>
      </c>
      <c r="Q32" s="75">
        <f>N!Q32+($C$7*(SUM(N!P32,N!Q31,N!R32,N!Q33)-(4*N!Q32)))+(Rstar!Q32*N!Q32*(1-(N!Q32/Kstar!Q32)))</f>
        <v>99.750246648858393</v>
      </c>
      <c r="R32" s="75">
        <f>N!R32+($C$7*(SUM(N!Q32,N!R31,N!S32,N!R33)-(4*N!R32)))+(Rstar!R32*N!R32*(1-(N!R32/Kstar!R32)))</f>
        <v>99.750058483912539</v>
      </c>
      <c r="S32" s="75">
        <f>N!S32+($C$7*(SUM(N!R32,N!S31,N!T32,N!S33)-(4*N!S32)))+(Rstar!S32*N!S32*(1-(N!S32/Kstar!S32)))</f>
        <v>99.749669243079424</v>
      </c>
      <c r="T32" s="75">
        <f>N!T32+($C$7*(SUM(N!S32,N!T31,N!U32,N!T33)-(4*N!T32)))+(Rstar!T32*N!T32*(1-(N!T32/Kstar!T32)))</f>
        <v>99.748858191191999</v>
      </c>
      <c r="U32" s="75">
        <f>N!U32+($C$7*(SUM(N!T32,N!U31,N!V32,N!U33)-(4*N!U32)))+(Rstar!U32*N!U32*(1-(N!U32/Kstar!U32)))</f>
        <v>99.747151873218726</v>
      </c>
      <c r="V32" s="75">
        <f>N!V32+($C$7*(SUM(N!U32,N!V31,N!W32,N!V33)-(4*N!V32)))+(Rstar!V32*N!V32*(1-(N!V32/Kstar!V32)))</f>
        <v>99.743486757586084</v>
      </c>
      <c r="W32" s="106">
        <f>N!W32+($C$7*(SUM(N!V32,N!W31,N!X32,N!W33)-(4*N!W32)))+(Rstar!W32*N!W32*(1-(N!W32/Kstar!W32)))</f>
        <v>99.735574554492885</v>
      </c>
      <c r="X32" s="107">
        <f>N!X32+($J$7*(SUM(N!W32,N!X31,N!Y32,N!X33)-(4*N!X32)))+(Rstar!X32*N!X32*(1-(N!X32/Kstar!X32)))</f>
        <v>99.731907202555035</v>
      </c>
      <c r="Y32" s="107">
        <f>N!Y32+($J$7*(SUM(N!X32,N!Y31,N!Z32,N!Y33)-(4*N!Y32)))+(Rstar!Y32*N!Y32*(1-(N!Y32/Kstar!Y32)))</f>
        <v>99.730194869984985</v>
      </c>
      <c r="Z32" s="107">
        <f>N!Z32+($J$7*(SUM(N!Y32,N!Z31,N!AA32,N!Z33)-(4*N!Z32)))+(Rstar!Z32*N!Z32*(1-(N!Z32/Kstar!Z32)))</f>
        <v>99.729369665337188</v>
      </c>
      <c r="AA32" s="107">
        <f>N!AA32+($J$7*(SUM(N!Z32,N!AA31,N!AB32,N!AA33)-(4*N!AA32)))+(Rstar!AA32*N!AA32*(1-(N!AA32/Kstar!AA32)))</f>
        <v>99.728947421993098</v>
      </c>
      <c r="AB32" s="107">
        <f>N!AB32+($J$7*(SUM(N!AA32,N!AB31,N!AC32,N!AB33)-(4*N!AB32)))+(Rstar!AB32*N!AB32*(1-(N!AB32/Kstar!AB32)))</f>
        <v>99.728682178156404</v>
      </c>
      <c r="AC32" s="107">
        <f>N!AC32+($J$7*(SUM(N!AB32,N!AC31,N!AD32,N!AC33)-(4*N!AC32)))+(Rstar!AC32*N!AC32*(1-(N!AC32/Kstar!AC32)))</f>
        <v>99.72841010069132</v>
      </c>
      <c r="AD32" s="107">
        <f>N!AD32+($J$7*(SUM(N!AC32,N!AD31,N!AE32,N!AD33)-(4*N!AD32)))+(Rstar!AD32*N!AD32*(1-(N!AD32/Kstar!AD32)))</f>
        <v>99.727944246047571</v>
      </c>
      <c r="AE32" s="107">
        <f>N!AE32+($J$7*(SUM(N!AD32,N!AE31,N!AF32,N!AE33)-(4*N!AE32)))+(Rstar!AE32*N!AE32*(1-(N!AE32/Kstar!AE32)))</f>
        <v>99.726943679840431</v>
      </c>
      <c r="AF32" s="107">
        <f>N!AF32+($J$7*(SUM(N!AE32,N!AF31,N!AG32,N!AF33)-(4*N!AF32)))+(Rstar!AF32*N!AF32*(1-(N!AF32/Kstar!AF32)))</f>
        <v>99.724662551373754</v>
      </c>
      <c r="AG32" s="107">
        <f>N!AG32+($J$7*(SUM(N!AF32,N!AG31,N!AH32,N!AG33)-(4*N!AG32)))+(Rstar!AG32*N!AG32*(1-(N!AG32/Kstar!AG32)))</f>
        <v>99.719393361347628</v>
      </c>
      <c r="AH32" s="107">
        <f>N!AH32+($J$7*(SUM(N!AG32,N!AH31,N!AI32,N!AH33)-(4*N!AH32)))+(Rstar!AH32*N!AH32*(1-(N!AH32/Kstar!AH32)))</f>
        <v>99.707188507483053</v>
      </c>
      <c r="AI32" s="107">
        <f>N!AI32+($J$7*(SUM(N!AH32,N!AI31,N!AJ32,N!AI33)-(4*N!AI32)))+(Rstar!AI32*N!AI32*(1-(N!AI32/Kstar!AI32)))</f>
        <v>99.678903507654979</v>
      </c>
      <c r="AJ32" s="107">
        <f>N!AJ32+($J$7*(SUM(N!AI32,N!AJ31,N!AK32,N!AJ33)-(4*N!AJ32)))+(Rstar!AJ32*N!AJ32*(1-(N!AJ32/Kstar!AJ32)))</f>
        <v>99.613352078254778</v>
      </c>
      <c r="AK32" s="107">
        <f>N!AK32+($J$7*(SUM(N!AJ32,N!AK31,N!AL32,N!AK33)-(4*N!AK32)))+(Rstar!AK32*N!AK32*(1-(N!AK32/Kstar!AK32)))</f>
        <v>99.461476882176612</v>
      </c>
      <c r="AL32" s="107">
        <f>N!AL32+($J$7*(SUM(N!AK32,N!AL31,N!AM32,N!AL33)-(4*N!AL32)))+(Rstar!AL32*N!AL32*(1-(N!AL32/Kstar!AL32)))</f>
        <v>99.109858985127914</v>
      </c>
      <c r="AM32" s="107">
        <f>N!AM32+($J$7*(SUM(N!AL32,N!AM31,N!AN32,N!AM33)-(4*N!AM32)))+(Rstar!AM32*N!AM32*(1-(N!AM32/Kstar!AM32)))</f>
        <v>98.297230675356218</v>
      </c>
      <c r="AN32" s="107">
        <f>N!AN32+($J$7*(SUM(N!AM32,N!AN31,N!AO32,N!AN33)-(4*N!AN32)))+(Rstar!AN32*N!AN32*(1-(N!AN32/Kstar!AN32)))</f>
        <v>96.426858258107046</v>
      </c>
      <c r="AO32" s="107">
        <f>N!AO32+($J$7*(SUM(N!AN32,N!AO31,N!AP32,N!AO33)-(4*N!AO32)))+(Rstar!AO32*N!AO32*(1-(N!AO32/Kstar!AO32)))</f>
        <v>92.162953333204058</v>
      </c>
      <c r="AP32" s="107">
        <f>N!AP32+($J$7*(SUM(N!AO32,N!AP31,N!AQ32,N!AP33)-(4*N!AP32)))+(Rstar!AP32*N!AP32*(1-(N!AP32/Kstar!AP32)))</f>
        <v>82.656855085789289</v>
      </c>
      <c r="AQ32" s="108">
        <f>N!AQ32+($J$7*(SUM(N!AP32,N!AQ31,N!AR32,N!AQ33)-(4*N!AQ32)))+(Rstar!AQ32*N!AQ32*(1-(N!AQ32/Kstar!AQ32)))</f>
        <v>62.541648174317999</v>
      </c>
      <c r="AR32" s="92">
        <f>N!AR32+($X$7*(SUM(N!AQ32,N!AR31,N!AS32,N!AR33)-(4*N!AR32)))+(Rstar!AR32*N!AR32*(1-(N!AR32/Kstar!AR32)))</f>
        <v>24.94032405780278</v>
      </c>
      <c r="AS32" s="86">
        <f>N!AS32+($X$7*(SUM(N!AR32,N!AS31,N!AT32,N!AS33)-(4*N!AS32)))+(Rstar!AS32*N!AS32*(1-(N!AS32/Kstar!AS32)))</f>
        <v>15.402382197040277</v>
      </c>
      <c r="AT32" s="86">
        <f>N!AT32+($X$7*(SUM(N!AS32,N!AT31,N!AU32,N!AT33)-(4*N!AT32)))+(Rstar!AT32*N!AT32*(1-(N!AT32/Kstar!AT32)))</f>
        <v>12.149802575545868</v>
      </c>
      <c r="AU32" s="86">
        <f>N!AU32+($X$7*(SUM(N!AT32,N!AU31,N!AV32,N!AU33)-(4*N!AU32)))+(Rstar!AU32*N!AU32*(1-(N!AU32/Kstar!AU32)))</f>
        <v>10.883955431625081</v>
      </c>
      <c r="AV32" s="86">
        <f>N!AV32+($X$7*(SUM(N!AU32,N!AV31,N!AW32,N!AV33)-(4*N!AV32)))+(Rstar!AV32*N!AV32*(1-(N!AV32/Kstar!AV32)))</f>
        <v>10.361923415429025</v>
      </c>
      <c r="AW32" s="86">
        <f>N!AW32+($X$7*(SUM(N!AV32,N!AW31,N!AX32,N!AW33)-(4*N!AW32)))+(Rstar!AW32*N!AW32*(1-(N!AW32/Kstar!AW32)))</f>
        <v>10.141301551715992</v>
      </c>
      <c r="AX32" s="86">
        <f>N!AX32+($X$7*(SUM(N!AW32,N!AX31,N!AY32,N!AX33)-(4*N!AX32)))+(Rstar!AX32*N!AX32*(1-(N!AX32/Kstar!AX32)))</f>
        <v>10.047437597584906</v>
      </c>
      <c r="AY32" s="87">
        <f>N!AY32+($X$7*(SUM(N!AX32,N!AY31,N!AZ32,N!AY33)-(4*N!AY32)))+(Rstar!AY32*N!AY32*(1-(N!AY32/Kstar!AY32)))</f>
        <v>10.008244200075179</v>
      </c>
      <c r="AZ32" s="72">
        <f>N!AZ32+($X$7*(SUM(N!AY32,N!AZ31,N!AZ33)-(3*N!AZ32)))+(Rstar!AZ32*N!AZ32*(1-(N!AZ32/Kstar!AZ32)))</f>
        <v>9.9940127073855258</v>
      </c>
      <c r="BA32" s="35">
        <v>14</v>
      </c>
    </row>
    <row r="33" spans="2:53" x14ac:dyDescent="0.2">
      <c r="B33" s="34">
        <v>15</v>
      </c>
      <c r="C33" s="72">
        <f>N!C33+($X$7*(SUM(N!C32,N!D33,N!C34)-(3*N!C33)))+(Rstar!C33*N!C33*(1-(N!C33/Kstar!C33)))</f>
        <v>99.750448463588754</v>
      </c>
      <c r="D33" s="74">
        <f>N!D33+($C$7*(SUM(N!C33,N!D32,N!E33,N!D34)-(4*N!D33)))+(Rstar!D33*N!D33*(1-(N!D33/Kstar!D33)))</f>
        <v>99.750383147182674</v>
      </c>
      <c r="E33" s="75">
        <f>N!E33+($C$7*(SUM(N!D33,N!E32,N!F33,N!E34)-(4*N!E33)))+(Rstar!E33*N!E33*(1-(N!E33/Kstar!E33)))</f>
        <v>99.750254777385749</v>
      </c>
      <c r="F33" s="75">
        <f>N!F33+($C$7*(SUM(N!E33,N!F32,N!G33,N!F34)-(4*N!F33)))+(Rstar!F33*N!F33*(1-(N!F33/Kstar!F33)))</f>
        <v>99.750078652567424</v>
      </c>
      <c r="G33" s="75">
        <f>N!G33+($C$7*(SUM(N!F33,N!G32,N!H33,N!G34)-(4*N!G33)))+(Rstar!G33*N!G33*(1-(N!G33/Kstar!G33)))</f>
        <v>99.75008945749525</v>
      </c>
      <c r="H33" s="75">
        <f>N!H33+($C$7*(SUM(N!G33,N!H32,N!I33,N!H34)-(4*N!H33)))+(Rstar!H33*N!H33*(1-(N!H33/Kstar!H33)))</f>
        <v>99.75008448326399</v>
      </c>
      <c r="I33" s="75">
        <f>N!I33+($C$7*(SUM(N!H33,N!I32,N!J33,N!I34)-(4*N!I33)))+(Rstar!I33*N!I33*(1-(N!I33/Kstar!I33)))</f>
        <v>99.750065660135277</v>
      </c>
      <c r="J33" s="75">
        <f>N!J33+($C$7*(SUM(N!I33,N!J32,N!K33,N!J34)-(4*N!J33)))+(Rstar!J33*N!J33*(1-(N!J33/Kstar!J33)))</f>
        <v>99.75003483616554</v>
      </c>
      <c r="K33" s="75">
        <f>N!K33+($C$7*(SUM(N!J33,N!K32,N!L33,N!K34)-(4*N!K33)))+(Rstar!K33*N!K33*(1-(N!K33/Kstar!K33)))</f>
        <v>99.750074181492678</v>
      </c>
      <c r="L33" s="75">
        <f>N!L33+($C$7*(SUM(N!K33,N!L32,N!M33,N!L34)-(4*N!L33)))+(Rstar!L33*N!L33*(1-(N!L33/Kstar!L33)))</f>
        <v>99.75008945749525</v>
      </c>
      <c r="M33" s="75">
        <f>N!M33+($C$7*(SUM(N!L33,N!M32,N!N33,N!M34)-(4*N!M33)))+(Rstar!M33*N!M33*(1-(N!M33/Kstar!M33)))</f>
        <v>99.75008448326399</v>
      </c>
      <c r="N33" s="75">
        <f>N!N33+($C$7*(SUM(N!M33,N!N32,N!O33,N!N34)-(4*N!N33)))+(Rstar!N33*N!N33*(1-(N!N33/Kstar!N33)))</f>
        <v>99.750065660135277</v>
      </c>
      <c r="O33" s="75">
        <f>N!O33+($C$7*(SUM(N!N33,N!O32,N!P33,N!O34)-(4*N!O33)))+(Rstar!O33*N!O33*(1-(N!O33/Kstar!O33)))</f>
        <v>99.750032837568853</v>
      </c>
      <c r="P33" s="75">
        <f>N!P33+($C$7*(SUM(N!O33,N!P32,N!Q33,N!P34)-(4*N!P33)))+(Rstar!P33*N!P33*(1-(N!P33/Kstar!P33)))</f>
        <v>99.749974965367528</v>
      </c>
      <c r="Q33" s="75">
        <f>N!Q33+($C$7*(SUM(N!P33,N!Q32,N!R33,N!Q34)-(4*N!Q33)))+(Rstar!Q33*N!Q33*(1-(N!Q33/Kstar!Q33)))</f>
        <v>99.749863246776329</v>
      </c>
      <c r="R33" s="75">
        <f>N!R33+($C$7*(SUM(N!Q33,N!R32,N!S33,N!R34)-(4*N!R33)))+(Rstar!R33*N!R33*(1-(N!R33/Kstar!R33)))</f>
        <v>99.749634939332637</v>
      </c>
      <c r="S33" s="75">
        <f>N!S33+($C$7*(SUM(N!R33,N!S32,N!T33,N!S34)-(4*N!S33)))+(Rstar!S33*N!S33*(1-(N!S33/Kstar!S33)))</f>
        <v>99.749156702268976</v>
      </c>
      <c r="T33" s="75">
        <f>N!T33+($C$7*(SUM(N!S33,N!T32,N!U33,N!T34)-(4*N!T33)))+(Rstar!T33*N!T33*(1-(N!T33/Kstar!T33)))</f>
        <v>99.748144219504184</v>
      </c>
      <c r="U33" s="75">
        <f>N!U33+($C$7*(SUM(N!T33,N!U32,N!V33,N!U34)-(4*N!U33)))+(Rstar!U33*N!U33*(1-(N!U33/Kstar!U33)))</f>
        <v>99.745986196041244</v>
      </c>
      <c r="V33" s="75">
        <f>N!V33+($C$7*(SUM(N!U33,N!V32,N!W33,N!V34)-(4*N!V33)))+(Rstar!V33*N!V33*(1-(N!V33/Kstar!V33)))</f>
        <v>99.741356596973674</v>
      </c>
      <c r="W33" s="109">
        <f>N!W33+($C$7*(SUM(N!V33,N!W32,N!X33,N!W34)-(4*N!W33)))+(Rstar!W33*N!W33*(1-(N!W33/Kstar!W33)))</f>
        <v>99.731709141903067</v>
      </c>
      <c r="X33" s="83">
        <f>N!X33+($J$7*(SUM(N!W33,N!X32,N!Y33,N!X34)-(4*N!X33)))+(Rstar!X33*N!X33*(1-(N!X33/Kstar!X33)))</f>
        <v>99.727077313025333</v>
      </c>
      <c r="Y33" s="83">
        <f>N!Y33+($J$7*(SUM(N!X33,N!Y32,N!Z33,N!Y34)-(4*N!Y33)))+(Rstar!Y33*N!Y33*(1-(N!Y33/Kstar!Y33)))</f>
        <v>99.724913407655109</v>
      </c>
      <c r="Z33" s="83">
        <f>N!Z33+($J$7*(SUM(N!Y33,N!Z32,N!AA33,N!Z34)-(4*N!Z33)))+(Rstar!Z33*N!Z33*(1-(N!Z33/Kstar!Z33)))</f>
        <v>99.723887180514438</v>
      </c>
      <c r="AA33" s="83">
        <f>N!AA33+($J$7*(SUM(N!Z33,N!AA32,N!AB33,N!AA34)-(4*N!AA33)))+(Rstar!AA33*N!AA33*(1-(N!AA33/Kstar!AA33)))</f>
        <v>99.723376809887966</v>
      </c>
      <c r="AB33" s="83">
        <f>N!AB33+($J$7*(SUM(N!AA33,N!AB32,N!AC33,N!AB34)-(4*N!AB33)))+(Rstar!AB33*N!AB33*(1-(N!AB33/Kstar!AB33)))</f>
        <v>99.723073016630835</v>
      </c>
      <c r="AC33" s="83">
        <f>N!AC33+($J$7*(SUM(N!AB33,N!AC32,N!AD33,N!AC34)-(4*N!AC33)))+(Rstar!AC33*N!AC33*(1-(N!AC33/Kstar!AC33)))</f>
        <v>99.72278397732768</v>
      </c>
      <c r="AD33" s="83">
        <f>N!AD33+($J$7*(SUM(N!AC33,N!AD32,N!AE33,N!AD34)-(4*N!AD33)))+(Rstar!AD33*N!AD33*(1-(N!AD33/Kstar!AD33)))</f>
        <v>99.722310488177314</v>
      </c>
      <c r="AE33" s="83">
        <f>N!AE33+($J$7*(SUM(N!AD33,N!AE32,N!AF33,N!AE34)-(4*N!AE33)))+(Rstar!AE33*N!AE33*(1-(N!AE33/Kstar!AE33)))</f>
        <v>99.721306184358482</v>
      </c>
      <c r="AF33" s="83">
        <f>N!AF33+($J$7*(SUM(N!AE33,N!AF32,N!AG33,N!AF34)-(4*N!AF33)))+(Rstar!AF33*N!AF33*(1-(N!AF33/Kstar!AF33)))</f>
        <v>99.719022670658021</v>
      </c>
      <c r="AG33" s="83">
        <f>N!AG33+($J$7*(SUM(N!AF33,N!AG32,N!AH33,N!AG34)-(4*N!AG33)))+(Rstar!AG33*N!AG33*(1-(N!AG33/Kstar!AG33)))</f>
        <v>99.713751003410906</v>
      </c>
      <c r="AH33" s="83">
        <f>N!AH33+($J$7*(SUM(N!AG33,N!AH32,N!AI33,N!AH34)-(4*N!AH33)))+(Rstar!AH33*N!AH33*(1-(N!AH33/Kstar!AH33)))</f>
        <v>99.701542336634773</v>
      </c>
      <c r="AI33" s="83">
        <f>N!AI33+($J$7*(SUM(N!AH33,N!AI32,N!AJ33,N!AI34)-(4*N!AI33)))+(Rstar!AI33*N!AI33*(1-(N!AI33/Kstar!AI33)))</f>
        <v>99.673250556687165</v>
      </c>
      <c r="AJ33" s="83">
        <f>N!AJ33+($J$7*(SUM(N!AI33,N!AJ32,N!AK33,N!AJ34)-(4*N!AJ33)))+(Rstar!AJ33*N!AJ33*(1-(N!AJ33/Kstar!AJ33)))</f>
        <v>99.607686841984275</v>
      </c>
      <c r="AK33" s="83">
        <f>N!AK33+($J$7*(SUM(N!AJ33,N!AK32,N!AL33,N!AK34)-(4*N!AK33)))+(Rstar!AK33*N!AK33*(1-(N!AK33/Kstar!AK33)))</f>
        <v>99.45579000080933</v>
      </c>
      <c r="AL33" s="83">
        <f>N!AL33+($J$7*(SUM(N!AK33,N!AL32,N!AM33,N!AL34)-(4*N!AL33)))+(Rstar!AL33*N!AL33*(1-(N!AL33/Kstar!AL33)))</f>
        <v>99.104136256719642</v>
      </c>
      <c r="AM33" s="83">
        <f>N!AM33+($J$7*(SUM(N!AL33,N!AM32,N!AN33,N!AM34)-(4*N!AM33)))+(Rstar!AM33*N!AM33*(1-(N!AM33/Kstar!AM33)))</f>
        <v>98.291455474724899</v>
      </c>
      <c r="AN33" s="83">
        <f>N!AN33+($J$7*(SUM(N!AM33,N!AN32,N!AO33,N!AN34)-(4*N!AN33)))+(Rstar!AN33*N!AN33*(1-(N!AN33/Kstar!AN33)))</f>
        <v>96.421027608653887</v>
      </c>
      <c r="AO33" s="83">
        <f>N!AO33+($J$7*(SUM(N!AN33,N!AO32,N!AP33,N!AO34)-(4*N!AO33)))+(Rstar!AO33*N!AO33*(1-(N!AO33/Kstar!AO33)))</f>
        <v>92.157137296202492</v>
      </c>
      <c r="AP33" s="83">
        <f>N!AP33+($J$7*(SUM(N!AO33,N!AP32,N!AQ33,N!AP34)-(4*N!AP33)))+(Rstar!AP33*N!AP33*(1-(N!AP33/Kstar!AP33)))</f>
        <v>82.651371192780758</v>
      </c>
      <c r="AQ33" s="110">
        <f>N!AQ33+($J$7*(SUM(N!AP33,N!AQ32,N!AR33,N!AQ34)-(4*N!AQ33)))+(Rstar!AQ33*N!AQ33*(1-(N!AQ33/Kstar!AQ33)))</f>
        <v>62.537452404935635</v>
      </c>
      <c r="AR33" s="92">
        <f>N!AR33+($X$7*(SUM(N!AQ33,N!AR32,N!AS33,N!AR34)-(4*N!AR33)))+(Rstar!AR33*N!AR33*(1-(N!AR33/Kstar!AR33)))</f>
        <v>24.939347650441956</v>
      </c>
      <c r="AS33" s="86">
        <f>N!AS33+($X$7*(SUM(N!AR33,N!AS32,N!AT33,N!AS34)-(4*N!AS33)))+(Rstar!AS33*N!AS33*(1-(N!AS33/Kstar!AS33)))</f>
        <v>15.402052910289415</v>
      </c>
      <c r="AT33" s="86">
        <f>N!AT33+($X$7*(SUM(N!AS33,N!AT32,N!AU33,N!AT34)-(4*N!AT33)))+(Rstar!AT33*N!AT33*(1-(N!AT33/Kstar!AT33)))</f>
        <v>12.149671230459315</v>
      </c>
      <c r="AU33" s="86">
        <f>N!AU33+($X$7*(SUM(N!AT33,N!AU32,N!AV33,N!AU34)-(4*N!AU33)))+(Rstar!AU33*N!AU33*(1-(N!AU33/Kstar!AU33)))</f>
        <v>10.883898639432196</v>
      </c>
      <c r="AV33" s="86">
        <f>N!AV33+($X$7*(SUM(N!AU33,N!AV32,N!AW33,N!AV34)-(4*N!AV33)))+(Rstar!AV33*N!AV33*(1-(N!AV33/Kstar!AV33)))</f>
        <v>10.361897789320103</v>
      </c>
      <c r="AW33" s="86">
        <f>N!AW33+($X$7*(SUM(N!AV33,N!AW32,N!AX33,N!AW34)-(4*N!AW33)))+(Rstar!AW33*N!AW33*(1-(N!AW33/Kstar!AW33)))</f>
        <v>10.141289658810315</v>
      </c>
      <c r="AX33" s="86">
        <f>N!AX33+($X$7*(SUM(N!AW33,N!AX32,N!AY33,N!AX34)-(4*N!AX33)))+(Rstar!AX33*N!AX33*(1-(N!AX33/Kstar!AX33)))</f>
        <v>10.04743189459646</v>
      </c>
      <c r="AY33" s="87">
        <f>N!AY33+($X$7*(SUM(N!AX33,N!AY32,N!AZ33,N!AY34)-(4*N!AY33)))+(Rstar!AY33*N!AY33*(1-(N!AY33/Kstar!AY33)))</f>
        <v>10.008241247671076</v>
      </c>
      <c r="AZ33" s="72">
        <f>N!AZ33+($X$7*(SUM(N!AY33,N!AZ32,N!AZ34)-(3*N!AZ33)))+(Rstar!AZ33*N!AZ33*(1-(N!AZ33/Kstar!AZ33)))</f>
        <v>9.9940108060439137</v>
      </c>
      <c r="BA33" s="35">
        <v>15</v>
      </c>
    </row>
    <row r="34" spans="2:53" x14ac:dyDescent="0.2">
      <c r="B34" s="34">
        <v>16</v>
      </c>
      <c r="C34" s="72">
        <f>N!C34+($X$7*(SUM(N!C33,N!D34,N!C35)-(3*N!C34)))+(Rstar!C34*N!C34*(1-(N!C34/Kstar!C34)))</f>
        <v>99.75020608649082</v>
      </c>
      <c r="D34" s="74">
        <f>N!D34+($C$7*(SUM(N!C34,N!D33,N!E34,N!D35)-(4*N!D34)))+(Rstar!D34*N!D34*(1-(N!D34/Kstar!D34)))</f>
        <v>99.750070745988239</v>
      </c>
      <c r="E34" s="75">
        <f>N!E34+($C$7*(SUM(N!D34,N!E33,N!F34,N!E35)-(4*N!E34)))+(Rstar!E34*N!E34*(1-(N!E34/Kstar!E34)))</f>
        <v>99.749797732079585</v>
      </c>
      <c r="F34" s="75">
        <f>N!F34+($C$7*(SUM(N!E34,N!F33,N!G34,N!F35)-(4*N!F34)))+(Rstar!F34*N!F34*(1-(N!F34/Kstar!F34)))</f>
        <v>99.749412049342027</v>
      </c>
      <c r="G34" s="75">
        <f>N!G34+($C$7*(SUM(N!F34,N!G33,N!H34,N!G35)-(4*N!G34)))+(Rstar!G34*N!G34*(1-(N!G34/Kstar!G34)))</f>
        <v>99.749424663957669</v>
      </c>
      <c r="H34" s="75">
        <f>N!H34+($C$7*(SUM(N!G34,N!H33,N!I34,N!H35)-(4*N!H34)))+(Rstar!H34*N!H34*(1-(N!H34/Kstar!H34)))</f>
        <v>99.749407223577592</v>
      </c>
      <c r="I34" s="75">
        <f>N!I34+($C$7*(SUM(N!H34,N!I33,N!J34,N!I35)-(4*N!I34)))+(Rstar!I34*N!I34*(1-(N!I34/Kstar!I34)))</f>
        <v>99.74937146880707</v>
      </c>
      <c r="J34" s="75">
        <f>N!J34+($C$7*(SUM(N!I34,N!J33,N!K34,N!J35)-(4*N!J34)))+(Rstar!J34*N!J34*(1-(N!J34/Kstar!J34)))</f>
        <v>99.749326730642053</v>
      </c>
      <c r="K34" s="75">
        <f>N!K34+($C$7*(SUM(N!J34,N!K33,N!L34,N!K35)-(4*N!K34)))+(Rstar!K34*N!K34*(1-(N!K34/Kstar!K34)))</f>
        <v>99.749402499332632</v>
      </c>
      <c r="L34" s="75">
        <f>N!L34+($C$7*(SUM(N!K34,N!L33,N!M34,N!L35)-(4*N!L34)))+(Rstar!L34*N!L34*(1-(N!L34/Kstar!L34)))</f>
        <v>99.749424663957669</v>
      </c>
      <c r="M34" s="75">
        <f>N!M34+($C$7*(SUM(N!L34,N!M33,N!N34,N!M35)-(4*N!M34)))+(Rstar!M34*N!M34*(1-(N!M34/Kstar!M34)))</f>
        <v>99.749407223577592</v>
      </c>
      <c r="N34" s="75">
        <f>N!N34+($C$7*(SUM(N!M34,N!N33,N!O34,N!N35)-(4*N!N34)))+(Rstar!N34*N!N34*(1-(N!N34/Kstar!N34)))</f>
        <v>99.74937146880707</v>
      </c>
      <c r="O34" s="75">
        <f>N!O34+($C$7*(SUM(N!N34,N!O33,N!P34,N!O35)-(4*N!O34)))+(Rstar!O34*N!O34*(1-(N!O34/Kstar!O34)))</f>
        <v>99.749323718282142</v>
      </c>
      <c r="P34" s="75">
        <f>N!P34+($C$7*(SUM(N!O34,N!P33,N!Q34,N!P35)-(4*N!P34)))+(Rstar!P34*N!P34*(1-(N!P34/Kstar!P34)))</f>
        <v>99.749252970110163</v>
      </c>
      <c r="Q34" s="75">
        <f>N!Q34+($C$7*(SUM(N!P34,N!Q33,N!R34,N!Q35)-(4*N!Q34)))+(Rstar!Q34*N!Q34*(1-(N!Q34/Kstar!Q34)))</f>
        <v>99.74912668607314</v>
      </c>
      <c r="R34" s="75">
        <f>N!R34+($C$7*(SUM(N!Q34,N!R33,N!S34,N!R35)-(4*N!R34)))+(Rstar!R34*N!R34*(1-(N!R34/Kstar!R34)))</f>
        <v>99.748874464529393</v>
      </c>
      <c r="S34" s="75">
        <f>N!S34+($C$7*(SUM(N!R34,N!S33,N!T34,N!S35)-(4*N!S34)))+(Rstar!S34*N!S34*(1-(N!S34/Kstar!S34)))</f>
        <v>99.748347977222579</v>
      </c>
      <c r="T34" s="75">
        <f>N!T34+($C$7*(SUM(N!S34,N!T33,N!U34,N!T35)-(4*N!T34)))+(Rstar!T34*N!T34*(1-(N!T34/Kstar!T34)))</f>
        <v>99.747233456923254</v>
      </c>
      <c r="U34" s="75">
        <f>N!U34+($C$7*(SUM(N!T34,N!U33,N!V34,N!U35)-(4*N!U34)))+(Rstar!U34*N!U34*(1-(N!U34/Kstar!U34)))</f>
        <v>99.744866822734352</v>
      </c>
      <c r="V34" s="75">
        <f>N!V34+($C$7*(SUM(N!U34,N!V33,N!W34,N!V35)-(4*N!V34)))+(Rstar!V34*N!V34*(1-(N!V34/Kstar!V34)))</f>
        <v>99.739852614861178</v>
      </c>
      <c r="W34" s="109">
        <f>N!W34+($C$7*(SUM(N!V34,N!W33,N!X34,N!W35)-(4*N!W34)))+(Rstar!W34*N!W34*(1-(N!W34/Kstar!W34)))</f>
        <v>99.729648290268656</v>
      </c>
      <c r="X34" s="83">
        <f>N!X34+($J$7*(SUM(N!W34,N!X33,N!Y34,N!X35)-(4*N!X34)))+(Rstar!X34*N!X34*(1-(N!X34/Kstar!X34)))</f>
        <v>99.724631951018821</v>
      </c>
      <c r="Y34" s="83">
        <f>N!Y34+($J$7*(SUM(N!X34,N!Y33,N!Z34,N!Y35)-(4*N!Y34)))+(Rstar!Y34*N!Y34*(1-(N!Y34/Kstar!Y34)))</f>
        <v>99.722259755681208</v>
      </c>
      <c r="Z34" s="83">
        <f>N!Z34+($J$7*(SUM(N!Y34,N!Z33,N!AA34,N!Z35)-(4*N!Z34)))+(Rstar!Z34*N!Z34*(1-(N!Z34/Kstar!Z34)))</f>
        <v>99.721132244650533</v>
      </c>
      <c r="AA34" s="83">
        <f>N!AA34+($J$7*(SUM(N!Z34,N!AA33,N!AB34,N!AA35)-(4*N!AA34)))+(Rstar!AA34*N!AA34*(1-(N!AA34/Kstar!AA34)))</f>
        <v>99.720575157140502</v>
      </c>
      <c r="AB34" s="150">
        <f>N!AB34+($J$7*(SUM(N!AA34,N!AB33,N!AC34,N!AB35)-(4*N!AB34)))+(Rstar!AB34*N!AB34*(1-(N!AB34/Kstar!AB34)))</f>
        <v>99.720250344793712</v>
      </c>
      <c r="AC34" s="150">
        <f>N!AC34+($J$7*(SUM(N!AB34,N!AC33,N!AD34,N!AC35)-(4*N!AC34)))+(Rstar!AC34*N!AC34*(1-(N!AC34/Kstar!AC34)))</f>
        <v>99.719951893139424</v>
      </c>
      <c r="AD34" s="150">
        <f>N!AD34+($J$7*(SUM(N!AC34,N!AD33,N!AE34,N!AD35)-(4*N!AD34)))+(Rstar!AD34*N!AD34*(1-(N!AD34/Kstar!AD34)))</f>
        <v>99.719474065400135</v>
      </c>
      <c r="AE34" s="150">
        <f>N!AE34+($J$7*(SUM(N!AD34,N!AE33,N!AF34,N!AE35)-(4*N!AE34)))+(Rstar!AE34*N!AE34*(1-(N!AE34/Kstar!AE34)))</f>
        <v>99.718467485566478</v>
      </c>
      <c r="AF34" s="83">
        <f>N!AF34+($J$7*(SUM(N!AE34,N!AF33,N!AG34,N!AF35)-(4*N!AF34)))+(Rstar!AF34*N!AF34*(1-(N!AF34/Kstar!AF34)))</f>
        <v>99.716182266414734</v>
      </c>
      <c r="AG34" s="83">
        <f>N!AG34+($J$7*(SUM(N!AF34,N!AG33,N!AH34,N!AG35)-(4*N!AG34)))+(Rstar!AG34*N!AG34*(1-(N!AG34/Kstar!AG34)))</f>
        <v>99.710908509163346</v>
      </c>
      <c r="AH34" s="83">
        <f>N!AH34+($J$7*(SUM(N!AG34,N!AH33,N!AI34,N!AH35)-(4*N!AH34)))+(Rstar!AH34*N!AH34*(1-(N!AH34/Kstar!AH34)))</f>
        <v>99.69869640468481</v>
      </c>
      <c r="AI34" s="83">
        <f>N!AI34+($J$7*(SUM(N!AH34,N!AI33,N!AJ34,N!AI35)-(4*N!AI34)))+(Rstar!AI34*N!AI34*(1-(N!AI34/Kstar!AI34)))</f>
        <v>99.670398459363454</v>
      </c>
      <c r="AJ34" s="83">
        <f>N!AJ34+($J$7*(SUM(N!AI34,N!AJ33,N!AK34,N!AJ35)-(4*N!AJ34)))+(Rstar!AJ34*N!AJ34*(1-(N!AJ34/Kstar!AJ34)))</f>
        <v>99.60482364497625</v>
      </c>
      <c r="AK34" s="83">
        <f>N!AK34+($J$7*(SUM(N!AJ34,N!AK33,N!AL34,N!AK35)-(4*N!AK34)))+(Rstar!AK34*N!AK34*(1-(N!AK34/Kstar!AK34)))</f>
        <v>99.452907354339843</v>
      </c>
      <c r="AL34" s="83">
        <f>N!AL34+($J$7*(SUM(N!AK34,N!AL33,N!AM34,N!AL35)-(4*N!AL34)))+(Rstar!AL34*N!AL34*(1-(N!AL34/Kstar!AL34)))</f>
        <v>99.101221237822742</v>
      </c>
      <c r="AM34" s="83">
        <f>N!AM34+($J$7*(SUM(N!AL34,N!AM33,N!AN34,N!AM35)-(4*N!AM34)))+(Rstar!AM34*N!AM34*(1-(N!AM34/Kstar!AM34)))</f>
        <v>98.288491381580357</v>
      </c>
      <c r="AN34" s="83">
        <f>N!AN34+($J$7*(SUM(N!AM34,N!AN33,N!AO34,N!AN35)-(4*N!AN34)))+(Rstar!AN34*N!AN34*(1-(N!AN34/Kstar!AN34)))</f>
        <v>96.418002940681447</v>
      </c>
      <c r="AO34" s="83">
        <f>N!AO34+($J$7*(SUM(N!AN34,N!AO33,N!AP34,N!AO35)-(4*N!AO34)))+(Rstar!AO34*N!AO34*(1-(N!AO34/Kstar!AO34)))</f>
        <v>92.154080294874447</v>
      </c>
      <c r="AP34" s="83">
        <f>N!AP34+($J$7*(SUM(N!AO34,N!AP33,N!AQ34,N!AP35)-(4*N!AP34)))+(Rstar!AP34*N!AP34*(1-(N!AP34/Kstar!AP34)))</f>
        <v>82.648449650889987</v>
      </c>
      <c r="AQ34" s="110">
        <f>N!AQ34+($J$7*(SUM(N!AP34,N!AQ33,N!AR34,N!AQ35)-(4*N!AQ34)))+(Rstar!AQ34*N!AQ34*(1-(N!AQ34/Kstar!AQ34)))</f>
        <v>62.535188642097388</v>
      </c>
      <c r="AR34" s="92">
        <f>N!AR34+($X$7*(SUM(N!AQ34,N!AR33,N!AS34,N!AR35)-(4*N!AR34)))+(Rstar!AR34*N!AR34*(1-(N!AR34/Kstar!AR34)))</f>
        <v>24.938790557604591</v>
      </c>
      <c r="AS34" s="86">
        <f>N!AS34+($X$7*(SUM(N!AR34,N!AS33,N!AT34,N!AS35)-(4*N!AS34)))+(Rstar!AS34*N!AS34*(1-(N!AS34/Kstar!AS34)))</f>
        <v>15.401845835439858</v>
      </c>
      <c r="AT34" s="86">
        <f>N!AT34+($X$7*(SUM(N!AS34,N!AT33,N!AU34,N!AT35)-(4*N!AT34)))+(Rstar!AT34*N!AT34*(1-(N!AT34/Kstar!AT34)))</f>
        <v>12.149580105631943</v>
      </c>
      <c r="AU34" s="86">
        <f>N!AU34+($X$7*(SUM(N!AT34,N!AU33,N!AV34,N!AU35)-(4*N!AU34)))+(Rstar!AU34*N!AU34*(1-(N!AU34/Kstar!AU34)))</f>
        <v>10.883855851060577</v>
      </c>
      <c r="AV34" s="86">
        <f>N!AV34+($X$7*(SUM(N!AU34,N!AV33,N!AW34,N!AV35)-(4*N!AV34)))+(Rstar!AV34*N!AV34*(1-(N!AV34/Kstar!AV34)))</f>
        <v>10.361877153076163</v>
      </c>
      <c r="AW34" s="86">
        <f>N!AW34+($X$7*(SUM(N!AV34,N!AW33,N!AX34,N!AW35)-(4*N!AW34)))+(Rstar!AW34*N!AW34*(1-(N!AW34/Kstar!AW34)))</f>
        <v>10.141279537208433</v>
      </c>
      <c r="AX34" s="86">
        <f>N!AX34+($X$7*(SUM(N!AW34,N!AX33,N!AY34,N!AX35)-(4*N!AX34)))+(Rstar!AX34*N!AX34*(1-(N!AX34/Kstar!AX34)))</f>
        <v>10.047426798702812</v>
      </c>
      <c r="AY34" s="87">
        <f>N!AY34+($X$7*(SUM(N!AX34,N!AY33,N!AZ34,N!AY35)-(4*N!AY34)))+(Rstar!AY34*N!AY34*(1-(N!AY34/Kstar!AY34)))</f>
        <v>10.008238488511063</v>
      </c>
      <c r="AZ34" s="72">
        <f>N!AZ34+($X$7*(SUM(N!AY34,N!AZ33,N!AZ35)-(3*N!AZ34)))+(Rstar!AZ34*N!AZ34*(1-(N!AZ34/Kstar!AZ34)))</f>
        <v>9.9940089674617134</v>
      </c>
      <c r="BA34" s="35">
        <v>16</v>
      </c>
    </row>
    <row r="35" spans="2:53" x14ac:dyDescent="0.2">
      <c r="B35" s="34">
        <v>17</v>
      </c>
      <c r="C35" s="72">
        <f>N!C35+($X$7*(SUM(N!C34,N!D35,N!C36)-(3*N!C35)))+(Rstar!C35*N!C35*(1-(N!C35/Kstar!C35)))</f>
        <v>99.749796505757374</v>
      </c>
      <c r="D35" s="74">
        <f>N!D35+($C$7*(SUM(N!C35,N!D34,N!E35,N!D36)-(4*N!D35)))+(Rstar!D35*N!D35*(1-(N!D35/Kstar!D35)))</f>
        <v>99.749524262075738</v>
      </c>
      <c r="E35" s="75">
        <f>N!E35+($C$7*(SUM(N!D35,N!E34,N!F35,N!E36)-(4*N!E35)))+(Rstar!E35*N!E35*(1-(N!E35/Kstar!E35)))</f>
        <v>99.748951776670225</v>
      </c>
      <c r="F35" s="75">
        <f>N!F35+($C$7*(SUM(N!E35,N!F34,N!G35,N!F36)-(4*N!F35)))+(Rstar!F35*N!F35*(1-(N!F35/Kstar!F35)))</f>
        <v>99.748096441355315</v>
      </c>
      <c r="G35" s="75">
        <f>N!G35+($C$7*(SUM(N!F35,N!G34,N!H35,N!G36)-(4*N!G35)))+(Rstar!G35*N!G35*(1-(N!G35/Kstar!G35)))</f>
        <v>99.748098457104405</v>
      </c>
      <c r="H35" s="75">
        <f>N!H35+($C$7*(SUM(N!G35,N!H34,N!I35,N!H36)-(4*N!H35)))+(Rstar!H35*N!H35*(1-(N!H35/Kstar!H35)))</f>
        <v>99.748038551597261</v>
      </c>
      <c r="I35" s="75">
        <f>N!I35+($C$7*(SUM(N!H35,N!I34,N!J35,N!I36)-(4*N!I35)))+(Rstar!I35*N!I35*(1-(N!I35/Kstar!I35)))</f>
        <v>99.747961306982162</v>
      </c>
      <c r="J35" s="75">
        <f>N!J35+($C$7*(SUM(N!I35,N!J34,N!K35,N!J36)-(4*N!J35)))+(Rstar!J35*N!J35*(1-(N!J35/Kstar!J35)))</f>
        <v>99.747890604910921</v>
      </c>
      <c r="K35" s="75">
        <f>N!K35+($C$7*(SUM(N!J35,N!K34,N!L35,N!K36)-(4*N!K35)))+(Rstar!K35*N!K35*(1-(N!K35/Kstar!K35)))</f>
        <v>99.748074947371975</v>
      </c>
      <c r="L35" s="75">
        <f>N!L35+($C$7*(SUM(N!K35,N!L34,N!M35,N!L36)-(4*N!L35)))+(Rstar!L35*N!L35*(1-(N!L35/Kstar!L35)))</f>
        <v>99.748098457104405</v>
      </c>
      <c r="M35" s="75">
        <f>N!M35+($C$7*(SUM(N!L35,N!M34,N!N35,N!M36)-(4*N!M35)))+(Rstar!M35*N!M35*(1-(N!M35/Kstar!M35)))</f>
        <v>99.748038551597261</v>
      </c>
      <c r="N35" s="75">
        <f>N!N35+($C$7*(SUM(N!M35,N!N34,N!O35,N!N36)-(4*N!N35)))+(Rstar!N35*N!N35*(1-(N!N35/Kstar!N35)))</f>
        <v>99.747961306982162</v>
      </c>
      <c r="O35" s="75">
        <f>N!O35+($C$7*(SUM(N!N35,N!O34,N!P35,N!O36)-(4*N!O35)))+(Rstar!O35*N!O35*(1-(N!O35/Kstar!O35)))</f>
        <v>99.747885010995191</v>
      </c>
      <c r="P35" s="75">
        <f>N!P35+($C$7*(SUM(N!O35,N!P34,N!Q35,N!P36)-(4*N!P35)))+(Rstar!P35*N!P35*(1-(N!P35/Kstar!P35)))</f>
        <v>99.747797308486781</v>
      </c>
      <c r="Q35" s="75">
        <f>N!Q35+($C$7*(SUM(N!P35,N!Q34,N!R35,N!Q36)-(4*N!Q35)))+(Rstar!Q35*N!Q35*(1-(N!Q35/Kstar!Q35)))</f>
        <v>99.747661702054714</v>
      </c>
      <c r="R35" s="75">
        <f>N!R35+($C$7*(SUM(N!Q35,N!R34,N!S35,N!R36)-(4*N!R35)))+(Rstar!R35*N!R35*(1-(N!R35/Kstar!R35)))</f>
        <v>99.747404570495377</v>
      </c>
      <c r="S35" s="75">
        <f>N!S35+($C$7*(SUM(N!R35,N!S34,N!T35,N!S36)-(4*N!S35)))+(Rstar!S35*N!S35*(1-(N!S35/Kstar!S35)))</f>
        <v>99.74687554806016</v>
      </c>
      <c r="T35" s="75">
        <f>N!T35+($C$7*(SUM(N!S35,N!T34,N!U35,N!T36)-(4*N!T35)))+(Rstar!T35*N!T35*(1-(N!T35/Kstar!T35)))</f>
        <v>99.745759709593656</v>
      </c>
      <c r="U35" s="75">
        <f>N!U35+($C$7*(SUM(N!T35,N!U34,N!V35,N!U36)-(4*N!U35)))+(Rstar!U35*N!U35*(1-(N!U35/Kstar!U35)))</f>
        <v>99.743392354344536</v>
      </c>
      <c r="V35" s="75">
        <f>N!V35+($C$7*(SUM(N!U35,N!V34,N!W35,N!V36)-(4*N!V35)))+(Rstar!V35*N!V35*(1-(N!V35/Kstar!V35)))</f>
        <v>99.738377715346928</v>
      </c>
      <c r="W35" s="109">
        <f>N!W35+($C$7*(SUM(N!V35,N!W34,N!X35,N!W36)-(4*N!W35)))+(Rstar!W35*N!W35*(1-(N!W35/Kstar!W35)))</f>
        <v>99.728173144220534</v>
      </c>
      <c r="X35" s="83">
        <f>N!X35+($J$7*(SUM(N!W35,N!X34,N!Y35,N!X36)-(4*N!X35)))+(Rstar!X35*N!X35*(1-(N!X35/Kstar!X35)))</f>
        <v>99.723156600955789</v>
      </c>
      <c r="Y35" s="83">
        <f>N!Y35+($J$7*(SUM(N!X35,N!Y34,N!Z35,N!Y36)-(4*N!Y35)))+(Rstar!Y35*N!Y35*(1-(N!Y35/Kstar!Y35)))</f>
        <v>99.720784257538966</v>
      </c>
      <c r="Z35" s="83">
        <f>N!Z35+($J$7*(SUM(N!Y35,N!Z34,N!AA35,N!Z36)-(4*N!Z35)))+(Rstar!Z35*N!Z35*(1-(N!Z35/Kstar!Z35)))</f>
        <v>99.719656640240117</v>
      </c>
      <c r="AA35" s="83">
        <f>N!AA35+($J$7*(SUM(N!Z35,N!AA34,N!AB35,N!AA36)-(4*N!AA35)))+(Rstar!AA35*N!AA35*(1-(N!AA35/Kstar!AA35)))</f>
        <v>99.719099464355949</v>
      </c>
      <c r="AB35" s="150">
        <f>N!AB35+($J$7*(SUM(N!AA35,N!AB34,N!AC35,N!AB36)-(4*N!AB35)))+(Rstar!AB35*N!AB35*(1-(N!AB35/Kstar!AB35)))</f>
        <v>99.718774552646991</v>
      </c>
      <c r="AC35" s="150">
        <f>N!AC35+($J$7*(SUM(N!AB35,N!AC34,N!AD35,N!AC36)-(4*N!AC35)))+(Rstar!AC35*N!AC35*(1-(N!AC35/Kstar!AC35)))</f>
        <v>99.718475951513113</v>
      </c>
      <c r="AD35" s="150">
        <f>N!AD35+($J$7*(SUM(N!AC35,N!AD34,N!AE35,N!AD36)-(4*N!AD35)))+(Rstar!AD35*N!AD35*(1-(N!AD35/Kstar!AD35)))</f>
        <v>99.717997861780702</v>
      </c>
      <c r="AE35" s="150">
        <f>N!AE35+($J$7*(SUM(N!AD35,N!AE34,N!AF35,N!AE36)-(4*N!AE35)))+(Rstar!AE35*N!AE35*(1-(N!AE35/Kstar!AE35)))</f>
        <v>99.716990798542568</v>
      </c>
      <c r="AF35" s="83">
        <f>N!AF35+($J$7*(SUM(N!AE35,N!AF34,N!AG35,N!AF36)-(4*N!AF35)))+(Rstar!AF35*N!AF35*(1-(N!AF35/Kstar!AF35)))</f>
        <v>99.714704679037098</v>
      </c>
      <c r="AG35" s="83">
        <f>N!AG35+($J$7*(SUM(N!AF35,N!AG34,N!AH35,N!AG36)-(4*N!AG35)))+(Rstar!AG35*N!AG35*(1-(N!AG35/Kstar!AG35)))</f>
        <v>99.709429253996859</v>
      </c>
      <c r="AH35" s="83">
        <f>N!AH35+($J$7*(SUM(N!AG35,N!AH34,N!AI35,N!AH36)-(4*N!AH35)))+(Rstar!AH35*N!AH35*(1-(N!AH35/Kstar!AH35)))</f>
        <v>99.697214096372974</v>
      </c>
      <c r="AI35" s="83">
        <f>N!AI35+($J$7*(SUM(N!AH35,N!AI34,N!AJ35,N!AI36)-(4*N!AI35)))+(Rstar!AI35*N!AI35*(1-(N!AI35/Kstar!AI35)))</f>
        <v>99.668910653193876</v>
      </c>
      <c r="AJ35" s="83">
        <f>N!AJ35+($J$7*(SUM(N!AI35,N!AJ34,N!AK35,N!AJ36)-(4*N!AJ35)))+(Rstar!AJ35*N!AJ35*(1-(N!AJ35/Kstar!AJ35)))</f>
        <v>99.60332615755658</v>
      </c>
      <c r="AK35" s="83">
        <f>N!AK35+($J$7*(SUM(N!AJ35,N!AK34,N!AL35,N!AK36)-(4*N!AK35)))+(Rstar!AK35*N!AK35*(1-(N!AK35/Kstar!AK35)))</f>
        <v>99.451393348946539</v>
      </c>
      <c r="AL35" s="83">
        <f>N!AL35+($J$7*(SUM(N!AK35,N!AL34,N!AM35,N!AL36)-(4*N!AL35)))+(Rstar!AL35*N!AL35*(1-(N!AL35/Kstar!AL35)))</f>
        <v>99.099680367355759</v>
      </c>
      <c r="AM35" s="83">
        <f>N!AM35+($J$7*(SUM(N!AL35,N!AM34,N!AN35,N!AM36)-(4*N!AM35)))+(Rstar!AM35*N!AM35*(1-(N!AM35/Kstar!AM35)))</f>
        <v>98.28691020780785</v>
      </c>
      <c r="AN35" s="83">
        <f>N!AN35+($J$7*(SUM(N!AM35,N!AN34,N!AO35,N!AN36)-(4*N!AN35)))+(Rstar!AN35*N!AN35*(1-(N!AN35/Kstar!AN35)))</f>
        <v>96.416370417534196</v>
      </c>
      <c r="AO35" s="83">
        <f>N!AO35+($J$7*(SUM(N!AN35,N!AO34,N!AP35,N!AO36)-(4*N!AO35)))+(Rstar!AO35*N!AO35*(1-(N!AO35/Kstar!AO35)))</f>
        <v>92.152408415297131</v>
      </c>
      <c r="AP35" s="83">
        <f>N!AP35+($J$7*(SUM(N!AO35,N!AP34,N!AQ35,N!AP36)-(4*N!AP35)))+(Rstar!AP35*N!AP35*(1-(N!AP35/Kstar!AP35)))</f>
        <v>82.646831521511785</v>
      </c>
      <c r="AQ35" s="110">
        <f>N!AQ35+($J$7*(SUM(N!AP35,N!AQ34,N!AR35,N!AQ36)-(4*N!AQ35)))+(Rstar!AQ35*N!AQ35*(1-(N!AQ35/Kstar!AQ35)))</f>
        <v>62.533920910196528</v>
      </c>
      <c r="AR35" s="92">
        <f>N!AR35+($X$7*(SUM(N!AQ35,N!AR34,N!AS35,N!AR36)-(4*N!AR35)))+(Rstar!AR35*N!AR35*(1-(N!AR35/Kstar!AR35)))</f>
        <v>24.938471611997674</v>
      </c>
      <c r="AS35" s="86">
        <f>N!AS35+($X$7*(SUM(N!AR35,N!AS34,N!AT35,N!AS36)-(4*N!AS35)))+(Rstar!AS35*N!AS35*(1-(N!AS35/Kstar!AS35)))</f>
        <v>15.401719949239846</v>
      </c>
      <c r="AT35" s="86">
        <f>N!AT35+($X$7*(SUM(N!AS35,N!AT34,N!AU35,N!AT36)-(4*N!AT35)))+(Rstar!AT35*N!AT35*(1-(N!AT35/Kstar!AT35)))</f>
        <v>12.149519969936318</v>
      </c>
      <c r="AU35" s="86">
        <f>N!AU35+($X$7*(SUM(N!AT35,N!AU34,N!AV35,N!AU36)-(4*N!AU35)))+(Rstar!AU35*N!AU35*(1-(N!AU35/Kstar!AU35)))</f>
        <v>10.883825078180552</v>
      </c>
      <c r="AV35" s="86">
        <f>N!AV35+($X$7*(SUM(N!AU35,N!AV34,N!AW35,N!AV36)-(4*N!AV35)))+(Rstar!AV35*N!AV35*(1-(N!AV35/Kstar!AV35)))</f>
        <v>10.361861032323535</v>
      </c>
      <c r="AW35" s="86">
        <f>N!AW35+($X$7*(SUM(N!AV35,N!AW34,N!AX35,N!AW36)-(4*N!AW35)))+(Rstar!AW35*N!AW35*(1-(N!AW35/Kstar!AW35)))</f>
        <v>10.141270982834113</v>
      </c>
      <c r="AX35" s="86">
        <f>N!AX35+($X$7*(SUM(N!AW35,N!AX34,N!AY35,N!AX36)-(4*N!AX35)))+(Rstar!AX35*N!AX35*(1-(N!AX35/Kstar!AX35)))</f>
        <v>10.047422149046408</v>
      </c>
      <c r="AY35" s="87">
        <f>N!AY35+($X$7*(SUM(N!AX35,N!AY34,N!AZ35,N!AY36)-(4*N!AY35)))+(Rstar!AY35*N!AY35*(1-(N!AY35/Kstar!AY35)))</f>
        <v>10.008235775214745</v>
      </c>
      <c r="AZ35" s="72">
        <f>N!AZ35+($X$7*(SUM(N!AY35,N!AZ34,N!AZ36)-(3*N!AZ35)))+(Rstar!AZ35*N!AZ35*(1-(N!AZ35/Kstar!AZ35)))</f>
        <v>9.9940070520838287</v>
      </c>
      <c r="BA35" s="35">
        <v>17</v>
      </c>
    </row>
    <row r="36" spans="2:53" x14ac:dyDescent="0.2">
      <c r="B36" s="34">
        <v>18</v>
      </c>
      <c r="C36" s="72">
        <f>N!C36+($X$7*(SUM(N!C35,N!D36,N!C37)-(3*N!C36)))+(Rstar!C36*N!C36*(1-(N!C36/Kstar!C36)))</f>
        <v>99.749125677158318</v>
      </c>
      <c r="D36" s="74">
        <f>N!D36+($C$7*(SUM(N!C36,N!D35,N!E36,N!D37)-(4*N!D36)))+(Rstar!D36*N!D36*(1-(N!D36/Kstar!D36)))</f>
        <v>99.748606061623661</v>
      </c>
      <c r="E36" s="75">
        <f>N!E36+($C$7*(SUM(N!D36,N!E35,N!F36,N!E37)-(4*N!E36)))+(Rstar!E36*N!E36*(1-(N!E36/Kstar!E36)))</f>
        <v>99.747447714834209</v>
      </c>
      <c r="F36" s="75">
        <f>N!F36+($C$7*(SUM(N!E36,N!F35,N!G36,N!F37)-(4*N!F36)))+(Rstar!F36*N!F36*(1-(N!F36/Kstar!F36)))</f>
        <v>99.745557956950407</v>
      </c>
      <c r="G36" s="75">
        <f>N!G36+($C$7*(SUM(N!F36,N!G35,N!H36,N!G37)-(4*N!G36)))+(Rstar!G36*N!G36*(1-(N!G36/Kstar!G36)))</f>
        <v>99.745461952211087</v>
      </c>
      <c r="H36" s="75">
        <f>N!H36+($C$7*(SUM(N!G36,N!H35,N!I36,N!H37)-(4*N!H36)))+(Rstar!H36*N!H36*(1-(N!H36/Kstar!H36)))</f>
        <v>99.745263697059855</v>
      </c>
      <c r="I36" s="75">
        <f>N!I36+($C$7*(SUM(N!H36,N!I35,N!J36,N!I37)-(4*N!I36)))+(Rstar!I36*N!I36*(1-(N!I36/Kstar!I36)))</f>
        <v>99.745087653652362</v>
      </c>
      <c r="J36" s="75">
        <f>N!J36+($C$7*(SUM(N!I36,N!J35,N!K36,N!J37)-(4*N!J36)))+(Rstar!J36*N!J36*(1-(N!J36/Kstar!J36)))</f>
        <v>99.74496955793505</v>
      </c>
      <c r="K36" s="75">
        <f>N!K36+($C$7*(SUM(N!J36,N!K35,N!L36,N!K37)-(4*N!K36)))+(Rstar!K36*N!K36*(1-(N!K36/Kstar!K36)))</f>
        <v>99.745507751384679</v>
      </c>
      <c r="L36" s="75">
        <f>N!L36+($C$7*(SUM(N!K36,N!L35,N!M36,N!L37)-(4*N!L36)))+(Rstar!L36*N!L36*(1-(N!L36/Kstar!L36)))</f>
        <v>99.745461952211087</v>
      </c>
      <c r="M36" s="75">
        <f>N!M36+($C$7*(SUM(N!L36,N!M35,N!N36,N!M37)-(4*N!M36)))+(Rstar!M36*N!M36*(1-(N!M36/Kstar!M36)))</f>
        <v>99.745263697059855</v>
      </c>
      <c r="N36" s="75">
        <f>N!N36+($C$7*(SUM(N!M36,N!N35,N!O36,N!N37)-(4*N!N36)))+(Rstar!N36*N!N36*(1-(N!N36/Kstar!N36)))</f>
        <v>99.745087653652362</v>
      </c>
      <c r="O36" s="75">
        <f>N!O36+($C$7*(SUM(N!N36,N!O35,N!P36,N!O37)-(4*N!O36)))+(Rstar!O36*N!O36*(1-(N!O36/Kstar!O36)))</f>
        <v>99.744956158366676</v>
      </c>
      <c r="P36" s="75">
        <f>N!P36+($C$7*(SUM(N!O36,N!P35,N!Q36,N!P37)-(4*N!P36)))+(Rstar!P36*N!P36*(1-(N!P36/Kstar!P36)))</f>
        <v>99.744842784478209</v>
      </c>
      <c r="Q36" s="75">
        <f>N!Q36+($C$7*(SUM(N!P36,N!Q35,N!R36,N!Q37)-(4*N!Q36)))+(Rstar!Q36*N!Q36*(1-(N!Q36/Kstar!Q36)))</f>
        <v>99.744701565417529</v>
      </c>
      <c r="R36" s="75">
        <f>N!R36+($C$7*(SUM(N!Q36,N!R35,N!S36,N!R37)-(4*N!R36)))+(Rstar!R36*N!R36*(1-(N!R36/Kstar!R36)))</f>
        <v>99.744458054613361</v>
      </c>
      <c r="S36" s="75">
        <f>N!S36+($C$7*(SUM(N!R36,N!S35,N!T36,N!S37)-(4*N!S36)))+(Rstar!S36*N!S36*(1-(N!S36/Kstar!S36)))</f>
        <v>99.743972081200695</v>
      </c>
      <c r="T36" s="75">
        <f>N!T36+($C$7*(SUM(N!S36,N!T35,N!U36,N!T37)-(4*N!T36)))+(Rstar!T36*N!T36*(1-(N!T36/Kstar!T36)))</f>
        <v>99.742955618897653</v>
      </c>
      <c r="U36" s="75">
        <f>N!U36+($C$7*(SUM(N!T36,N!U35,N!V36,N!U37)-(4*N!U36)))+(Rstar!U36*N!U36*(1-(N!U36/Kstar!U36)))</f>
        <v>99.740795438457639</v>
      </c>
      <c r="V36" s="75">
        <f>N!V36+($C$7*(SUM(N!U36,N!V35,N!W36,N!V37)-(4*N!V36)))+(Rstar!V36*N!V36*(1-(N!V36/Kstar!V36)))</f>
        <v>99.736164560235324</v>
      </c>
      <c r="W36" s="109">
        <f>N!W36+($C$7*(SUM(N!V36,N!W35,N!X36,N!W37)-(4*N!W36)))+(Rstar!W36*N!W36*(1-(N!W36/Kstar!W36)))</f>
        <v>99.726516392201859</v>
      </c>
      <c r="X36" s="83">
        <f>N!X36+($J$7*(SUM(N!W36,N!X35,N!Y36,N!X37)-(4*N!X36)))+(Rstar!X36*N!X36*(1-(N!X36/Kstar!X36)))</f>
        <v>99.7218839655051</v>
      </c>
      <c r="Y36" s="83">
        <f>N!Y36+($J$7*(SUM(N!X36,N!Y35,N!Z36,N!Y37)-(4*N!Y36)))+(Rstar!Y36*N!Y36*(1-(N!Y36/Kstar!Y36)))</f>
        <v>99.719719627558248</v>
      </c>
      <c r="Z36" s="83">
        <f>N!Z36+($J$7*(SUM(N!Y36,N!Z35,N!AA36,N!Z37)-(4*N!Z36)))+(Rstar!Z36*N!Z36*(1-(N!Z36/Kstar!Z36)))</f>
        <v>99.718693088772412</v>
      </c>
      <c r="AA36" s="83">
        <f>N!AA36+($J$7*(SUM(N!Z36,N!AA35,N!AB36,N!AA37)-(4*N!AA36)))+(Rstar!AA36*N!AA36*(1-(N!AA36/Kstar!AA36)))</f>
        <v>99.718182454006197</v>
      </c>
      <c r="AB36" s="150">
        <f>N!AB36+($J$7*(SUM(N!AA36,N!AB35,N!AC36,N!AB37)-(4*N!AB36)))+(Rstar!AB36*N!AB36*(1-(N!AB36/Kstar!AB36)))</f>
        <v>99.717878355694083</v>
      </c>
      <c r="AC36" s="150">
        <f>N!AC36+($J$7*(SUM(N!AB36,N!AC35,N!AD36,N!AC37)-(4*N!AC36)))+(Rstar!AC36*N!AC36*(1-(N!AC36/Kstar!AC36)))</f>
        <v>99.717588849155703</v>
      </c>
      <c r="AD36" s="150">
        <f>N!AD36+($J$7*(SUM(N!AC36,N!AD35,N!AE36,N!AD37)-(4*N!AD36)))+(Rstar!AD36*N!AD36*(1-(N!AD36/Kstar!AD36)))</f>
        <v>99.717114535201617</v>
      </c>
      <c r="AE36" s="150">
        <f>N!AE36+($J$7*(SUM(N!AD36,N!AE35,N!AF36,N!AE37)-(4*N!AE36)))+(Rstar!AE36*N!AE36*(1-(N!AE36/Kstar!AE36)))</f>
        <v>99.716108706522945</v>
      </c>
      <c r="AF36" s="83">
        <f>N!AF36+($J$7*(SUM(N!AE36,N!AF35,N!AG36,N!AF37)-(4*N!AF36)))+(Rstar!AF36*N!AF36*(1-(N!AF36/Kstar!AF36)))</f>
        <v>99.713822352385947</v>
      </c>
      <c r="AG36" s="83">
        <f>N!AG36+($J$7*(SUM(N!AF36,N!AG35,N!AH36,N!AG37)-(4*N!AG36)))+(Rstar!AG36*N!AG36*(1-(N!AG36/Kstar!AG36)))</f>
        <v>99.70854542631794</v>
      </c>
      <c r="AH36" s="83">
        <f>N!AH36+($J$7*(SUM(N!AG36,N!AH35,N!AI36,N!AH37)-(4*N!AH36)))+(Rstar!AH36*N!AH36*(1-(N!AH36/Kstar!AH36)))</f>
        <v>99.696327139523817</v>
      </c>
      <c r="AI36" s="83">
        <f>N!AI36+($J$7*(SUM(N!AH36,N!AI35,N!AJ36,N!AI37)-(4*N!AI36)))+(Rstar!AI36*N!AI36*(1-(N!AI36/Kstar!AI36)))</f>
        <v>99.668018050124843</v>
      </c>
      <c r="AJ36" s="83">
        <f>N!AJ36+($J$7*(SUM(N!AI36,N!AJ35,N!AK36,N!AJ37)-(4*N!AJ36)))+(Rstar!AJ36*N!AJ36*(1-(N!AJ36/Kstar!AJ36)))</f>
        <v>99.602423878121726</v>
      </c>
      <c r="AK36" s="83">
        <f>N!AK36+($J$7*(SUM(N!AJ36,N!AK35,N!AL36,N!AK37)-(4*N!AK36)))+(Rstar!AK36*N!AK36*(1-(N!AK36/Kstar!AK36)))</f>
        <v>99.450475113882206</v>
      </c>
      <c r="AL36" s="83">
        <f>N!AL36+($J$7*(SUM(N!AK36,N!AL35,N!AM36,N!AL37)-(4*N!AL36)))+(Rstar!AL36*N!AL36*(1-(N!AL36/Kstar!AL36)))</f>
        <v>99.098737035097571</v>
      </c>
      <c r="AM36" s="83">
        <f>N!AM36+($J$7*(SUM(N!AL36,N!AM35,N!AN36,N!AM37)-(4*N!AM36)))+(Rstar!AM36*N!AM36*(1-(N!AM36/Kstar!AM36)))</f>
        <v>98.285930180600417</v>
      </c>
      <c r="AN36" s="83">
        <f>N!AN36+($J$7*(SUM(N!AM36,N!AN35,N!AO36,N!AN37)-(4*N!AN36)))+(Rstar!AN36*N!AN36*(1-(N!AN36/Kstar!AN36)))</f>
        <v>96.415343679859447</v>
      </c>
      <c r="AO36" s="83">
        <f>N!AO36+($J$7*(SUM(N!AN36,N!AO35,N!AP36,N!AO37)-(4*N!AO36)))+(Rstar!AO36*N!AO36*(1-(N!AO36/Kstar!AO36)))</f>
        <v>92.151340911297126</v>
      </c>
      <c r="AP36" s="83">
        <f>N!AP36+($J$7*(SUM(N!AO36,N!AP35,N!AQ36,N!AP37)-(4*N!AP36)))+(Rstar!AP36*N!AP36*(1-(N!AP36/Kstar!AP36)))</f>
        <v>82.64578438276456</v>
      </c>
      <c r="AQ36" s="110">
        <f>N!AQ36+($J$7*(SUM(N!AP36,N!AQ35,N!AR36,N!AQ37)-(4*N!AQ36)))+(Rstar!AQ36*N!AQ36*(1-(N!AQ36/Kstar!AQ36)))</f>
        <v>62.533091920620528</v>
      </c>
      <c r="AR36" s="92">
        <f>N!AR36+($X$7*(SUM(N!AQ36,N!AR35,N!AS36,N!AR37)-(4*N!AR36)))+(Rstar!AR36*N!AR36*(1-(N!AR36/Kstar!AR36)))</f>
        <v>24.938260547466619</v>
      </c>
      <c r="AS36" s="86">
        <f>N!AS36+($X$7*(SUM(N!AR36,N!AS35,N!AT36,N!AS37)-(4*N!AS36)))+(Rstar!AS36*N!AS36*(1-(N!AS36/Kstar!AS36)))</f>
        <v>15.401633059083389</v>
      </c>
      <c r="AT36" s="86">
        <f>N!AT36+($X$7*(SUM(N!AS36,N!AT35,N!AU36,N!AT37)-(4*N!AT36)))+(Rstar!AT36*N!AT36*(1-(N!AT36/Kstar!AT36)))</f>
        <v>12.149475317135533</v>
      </c>
      <c r="AU36" s="86">
        <f>N!AU36+($X$7*(SUM(N!AT36,N!AU35,N!AV36,N!AU37)-(4*N!AU36)))+(Rstar!AU36*N!AU36*(1-(N!AU36/Kstar!AU36)))</f>
        <v>10.88380007772046</v>
      </c>
      <c r="AV36" s="86">
        <f>N!AV36+($X$7*(SUM(N!AU36,N!AV35,N!AW36,N!AV37)-(4*N!AV36)))+(Rstar!AV36*N!AV36*(1-(N!AV36/Kstar!AV36)))</f>
        <v>10.36184662754509</v>
      </c>
      <c r="AW36" s="86">
        <f>N!AW36+($X$7*(SUM(N!AV36,N!AW35,N!AX36,N!AW37)-(4*N!AW36)))+(Rstar!AW36*N!AW36*(1-(N!AW36/Kstar!AW36)))</f>
        <v>10.141262583906466</v>
      </c>
      <c r="AX36" s="86">
        <f>N!AX36+($X$7*(SUM(N!AW36,N!AX35,N!AY36,N!AX37)-(4*N!AX36)))+(Rstar!AX36*N!AX36*(1-(N!AX36/Kstar!AX36)))</f>
        <v>10.047417150884094</v>
      </c>
      <c r="AY36" s="87">
        <f>N!AY36+($X$7*(SUM(N!AX36,N!AY35,N!AZ36,N!AY37)-(4*N!AY36)))+(Rstar!AY36*N!AY36*(1-(N!AY36/Kstar!AY36)))</f>
        <v>10.008232603787965</v>
      </c>
      <c r="AZ36" s="72">
        <f>N!AZ36+($X$7*(SUM(N!AY36,N!AZ35,N!AZ37)-(3*N!AZ36)))+(Rstar!AZ36*N!AZ36*(1-(N!AZ36/Kstar!AZ36)))</f>
        <v>9.9940046760033727</v>
      </c>
      <c r="BA36" s="35">
        <v>18</v>
      </c>
    </row>
    <row r="37" spans="2:53" x14ac:dyDescent="0.2">
      <c r="B37" s="34">
        <v>19</v>
      </c>
      <c r="C37" s="72">
        <f>N!C37+($X$7*(SUM(N!C36,N!D37,N!C38)-(3*N!C37)))+(Rstar!C37*N!C37*(1-(N!C37/Kstar!C37)))</f>
        <v>99.748050352855699</v>
      </c>
      <c r="D37" s="74">
        <f>N!D37+($C$7*(SUM(N!C37,N!D36,N!E37,N!D38)-(4*N!D37)))+(Rstar!D37*N!D37*(1-(N!D37/Kstar!D37)))</f>
        <v>99.747139555312089</v>
      </c>
      <c r="E37" s="75">
        <f>N!E37+($C$7*(SUM(N!D37,N!E36,N!F37,N!E38)-(4*N!E37)))+(Rstar!E37*N!E37*(1-(N!E37/Kstar!E37)))</f>
        <v>99.744953825753043</v>
      </c>
      <c r="F37" s="75">
        <f>N!F37+($C$7*(SUM(N!E37,N!F36,N!G37,N!F38)-(4*N!F37)))+(Rstar!F37*N!F37*(1-(N!F37/Kstar!F37)))</f>
        <v>99.740911766567038</v>
      </c>
      <c r="G37" s="75">
        <f>N!G37+($C$7*(SUM(N!F37,N!G36,N!H37,N!G38)-(4*N!G37)))+(Rstar!G37*N!G37*(1-(N!G37/Kstar!G37)))</f>
        <v>99.740210154888175</v>
      </c>
      <c r="H37" s="75">
        <f>N!H37+($C$7*(SUM(N!G37,N!H36,N!I37,N!H38)-(4*N!H37)))+(Rstar!H37*N!H37*(1-(N!H37/Kstar!H37)))</f>
        <v>99.739600570039784</v>
      </c>
      <c r="I37" s="75">
        <f>N!I37+($C$7*(SUM(N!H37,N!I36,N!J37,N!I38)-(4*N!I37)))+(Rstar!I37*N!I37*(1-(N!I37/Kstar!I37)))</f>
        <v>99.739215116153829</v>
      </c>
      <c r="J37" s="75">
        <f>N!J37+($C$7*(SUM(N!I37,N!J36,N!K37,N!J38)-(4*N!J37)))+(Rstar!J37*N!J37*(1-(N!J37/Kstar!J37)))</f>
        <v>99.739027554426244</v>
      </c>
      <c r="K37" s="75">
        <f>N!K37+($C$7*(SUM(N!J37,N!K36,N!L37,N!K38)-(4*N!K37)))+(Rstar!K37*N!K37*(1-(N!K37/Kstar!K37)))</f>
        <v>99.740791548102408</v>
      </c>
      <c r="L37" s="75">
        <f>N!L37+($C$7*(SUM(N!K37,N!L36,N!M37,N!L38)-(4*N!L37)))+(Rstar!L37*N!L37*(1-(N!L37/Kstar!L37)))</f>
        <v>99.740210154888175</v>
      </c>
      <c r="M37" s="75">
        <f>N!M37+($C$7*(SUM(N!L37,N!M36,N!N37,N!M38)-(4*N!M37)))+(Rstar!M37*N!M37*(1-(N!M37/Kstar!M37)))</f>
        <v>99.739600570039784</v>
      </c>
      <c r="N37" s="75">
        <f>N!N37+($C$7*(SUM(N!M37,N!N36,N!O37,N!N38)-(4*N!N37)))+(Rstar!N37*N!N37*(1-(N!N37/Kstar!N37)))</f>
        <v>99.739215116153829</v>
      </c>
      <c r="O37" s="75">
        <f>N!O37+($C$7*(SUM(N!N37,N!O36,N!P37,N!O38)-(4*N!O37)))+(Rstar!O37*N!O37*(1-(N!O37/Kstar!O37)))</f>
        <v>99.738988164047271</v>
      </c>
      <c r="P37" s="75">
        <f>N!P37+($C$7*(SUM(N!O37,N!P36,N!Q37,N!P38)-(4*N!P37)))+(Rstar!P37*N!P37*(1-(N!P37/Kstar!P37)))</f>
        <v>99.738836950423376</v>
      </c>
      <c r="Q37" s="75">
        <f>N!Q37+($C$7*(SUM(N!P37,N!Q36,N!R37,N!Q38)-(4*N!Q37)))+(Rstar!Q37*N!Q37*(1-(N!Q37/Kstar!Q37)))</f>
        <v>99.738691851955195</v>
      </c>
      <c r="R37" s="75">
        <f>N!R37+($C$7*(SUM(N!Q37,N!R36,N!S37,N!R38)-(4*N!R37)))+(Rstar!R37*N!R37*(1-(N!R37/Kstar!R37)))</f>
        <v>99.73847725194689</v>
      </c>
      <c r="S37" s="75">
        <f>N!S37+($C$7*(SUM(N!R37,N!S36,N!T37,N!S38)-(4*N!S37)))+(Rstar!S37*N!S37*(1-(N!S37/Kstar!S37)))</f>
        <v>99.738074852894982</v>
      </c>
      <c r="T37" s="75">
        <f>N!T37+($C$7*(SUM(N!S37,N!T36,N!U37,N!T38)-(4*N!T37)))+(Rstar!T37*N!T37*(1-(N!T37/Kstar!T37)))</f>
        <v>99.737257150279845</v>
      </c>
      <c r="U37" s="75">
        <f>N!U37+($C$7*(SUM(N!T37,N!U36,N!V37,N!U38)-(4*N!U37)))+(Rstar!U37*N!U37*(1-(N!U37/Kstar!U37)))</f>
        <v>99.735547292869512</v>
      </c>
      <c r="V37" s="75">
        <f>N!V37+($C$7*(SUM(N!U37,N!V36,N!W37,N!V38)-(4*N!V37)))+(Rstar!V37*N!V37*(1-(N!V37/Kstar!V37)))</f>
        <v>99.73188011765383</v>
      </c>
      <c r="W37" s="109">
        <f>N!W37+($C$7*(SUM(N!V37,N!W36,N!X37,N!W38)-(4*N!W37)))+(Rstar!W37*N!W37*(1-(N!W37/Kstar!W37)))</f>
        <v>99.723966800530064</v>
      </c>
      <c r="X37" s="83">
        <f>N!X37+($J$7*(SUM(N!W37,N!X36,N!Y37,N!X38)-(4*N!X37)))+(Rstar!X37*N!X37*(1-(N!X37/Kstar!X37)))</f>
        <v>99.720298518912671</v>
      </c>
      <c r="Y37" s="83">
        <f>N!Y37+($J$7*(SUM(N!X37,N!Y36,N!Z37,N!Y38)-(4*N!Y37)))+(Rstar!Y37*N!Y37*(1-(N!Y37/Kstar!Y37)))</f>
        <v>99.71858552002773</v>
      </c>
      <c r="Z37" s="83">
        <f>N!Z37+($J$7*(SUM(N!Y37,N!Z36,N!AA37,N!Z38)-(4*N!Z37)))+(Rstar!Z37*N!Z37*(1-(N!Z37/Kstar!Z37)))</f>
        <v>99.717759827356673</v>
      </c>
      <c r="AA37" s="83">
        <f>N!AA37+($J$7*(SUM(N!Z37,N!AA36,N!AB37,N!AA38)-(4*N!AA37)))+(Rstar!AA37*N!AA37*(1-(N!AA37/Kstar!AA37)))</f>
        <v>99.717337149296924</v>
      </c>
      <c r="AB37" s="150">
        <f>N!AB37+($J$7*(SUM(N!AA37,N!AB36,N!AC37,N!AB38)-(4*N!AB37)))+(Rstar!AB37*N!AB37*(1-(N!AB37/Kstar!AB37)))</f>
        <v>99.717071372735717</v>
      </c>
      <c r="AC37" s="150">
        <f>N!AC37+($J$7*(SUM(N!AB37,N!AC36,N!AD37,N!AC38)-(4*N!AC37)))+(Rstar!AC37*N!AC37*(1-(N!AC37/Kstar!AC37)))</f>
        <v>99.716798449684788</v>
      </c>
      <c r="AD37" s="150">
        <f>N!AD37+($J$7*(SUM(N!AC37,N!AD36,N!AE37,N!AD38)-(4*N!AD37)))+(Rstar!AD37*N!AD37*(1-(N!AD37/Kstar!AD37)))</f>
        <v>99.716331082347338</v>
      </c>
      <c r="AE37" s="150">
        <f>N!AE37+($J$7*(SUM(N!AD37,N!AE36,N!AF37,N!AE38)-(4*N!AE37)))+(Rstar!AE37*N!AE37*(1-(N!AE37/Kstar!AE37)))</f>
        <v>99.715327710363951</v>
      </c>
      <c r="AF37" s="83">
        <f>N!AF37+($J$7*(SUM(N!AE37,N!AF36,N!AG37,N!AF38)-(4*N!AF37)))+(Rstar!AF37*N!AF37*(1-(N!AF37/Kstar!AF37)))</f>
        <v>99.713041357498085</v>
      </c>
      <c r="AG37" s="83">
        <f>N!AG37+($J$7*(SUM(N!AF37,N!AG36,N!AH37,N!AG38)-(4*N!AG37)))+(Rstar!AG37*N!AG37*(1-(N!AG37/Kstar!AG37)))</f>
        <v>99.707762513181351</v>
      </c>
      <c r="AH37" s="83">
        <f>N!AH37+($J$7*(SUM(N!AG37,N!AH36,N!AI37,N!AH38)-(4*N!AH37)))+(Rstar!AH37*N!AH37*(1-(N!AH37/Kstar!AH37)))</f>
        <v>99.695540046245512</v>
      </c>
      <c r="AI37" s="83">
        <f>N!AI37+($J$7*(SUM(N!AH37,N!AI36,N!AJ37,N!AI38)-(4*N!AI37)))+(Rstar!AI37*N!AI37*(1-(N!AI37/Kstar!AI37)))</f>
        <v>99.667223459741578</v>
      </c>
      <c r="AJ37" s="83">
        <f>N!AJ37+($J$7*(SUM(N!AI37,N!AJ36,N!AK37,N!AJ38)-(4*N!AJ37)))+(Rstar!AJ37*N!AJ37*(1-(N!AJ37/Kstar!AJ37)))</f>
        <v>99.601616670040144</v>
      </c>
      <c r="AK37" s="83">
        <f>N!AK37+($J$7*(SUM(N!AJ37,N!AK36,N!AL37,N!AK38)-(4*N!AK37)))+(Rstar!AK37*N!AK37*(1-(N!AK37/Kstar!AK37)))</f>
        <v>99.449647561109373</v>
      </c>
      <c r="AL37" s="83">
        <f>N!AL37+($J$7*(SUM(N!AK37,N!AL36,N!AM37,N!AL38)-(4*N!AL37)))+(Rstar!AL37*N!AL37*(1-(N!AL37/Kstar!AL37)))</f>
        <v>99.097878217731065</v>
      </c>
      <c r="AM37" s="83">
        <f>N!AM37+($J$7*(SUM(N!AL37,N!AM36,N!AN37,N!AM38)-(4*N!AM37)))+(Rstar!AM37*N!AM37*(1-(N!AM37/Kstar!AM37)))</f>
        <v>98.285026559053563</v>
      </c>
      <c r="AN37" s="83">
        <f>N!AN37+($J$7*(SUM(N!AM37,N!AN36,N!AO37,N!AN38)-(4*N!AN37)))+(Rstar!AN37*N!AN37*(1-(N!AN37/Kstar!AN37)))</f>
        <v>96.414383433857992</v>
      </c>
      <c r="AO37" s="83">
        <f>N!AO37+($J$7*(SUM(N!AN37,N!AO36,N!AP37,N!AO38)-(4*N!AO37)))+(Rstar!AO37*N!AO37*(1-(N!AO37/Kstar!AO37)))</f>
        <v>92.15032856364212</v>
      </c>
      <c r="AP37" s="83">
        <f>N!AP37+($J$7*(SUM(N!AO37,N!AP36,N!AQ37,N!AP38)-(4*N!AP37)))+(Rstar!AP37*N!AP37*(1-(N!AP37/Kstar!AP37)))</f>
        <v>82.644779706426959</v>
      </c>
      <c r="AQ37" s="110">
        <f>N!AQ37+($J$7*(SUM(N!AP37,N!AQ36,N!AR37,N!AQ38)-(4*N!AQ37)))+(Rstar!AQ37*N!AQ37*(1-(N!AQ37/Kstar!AQ37)))</f>
        <v>62.532289856720986</v>
      </c>
      <c r="AR37" s="92">
        <f>N!AR37+($X$7*(SUM(N!AQ37,N!AR36,N!AS37,N!AR38)-(4*N!AR37)))+(Rstar!AR37*N!AR37*(1-(N!AR37/Kstar!AR37)))</f>
        <v>24.938054863451459</v>
      </c>
      <c r="AS37" s="86">
        <f>N!AS37+($X$7*(SUM(N!AR37,N!AS36,N!AT37,N!AS38)-(4*N!AS37)))+(Rstar!AS37*N!AS37*(1-(N!AS37/Kstar!AS37)))</f>
        <v>15.40154594107589</v>
      </c>
      <c r="AT37" s="86">
        <f>N!AT37+($X$7*(SUM(N!AS37,N!AT36,N!AU37,N!AT38)-(4*N!AT37)))+(Rstar!AT37*N!AT37*(1-(N!AT37/Kstar!AT37)))</f>
        <v>12.149427964040033</v>
      </c>
      <c r="AU37" s="86">
        <f>N!AU37+($X$7*(SUM(N!AT37,N!AU36,N!AV37,N!AU38)-(4*N!AU37)))+(Rstar!AU37*N!AU37*(1-(N!AU37/Kstar!AU37)))</f>
        <v>10.883771556837694</v>
      </c>
      <c r="AV37" s="86">
        <f>N!AV37+($X$7*(SUM(N!AU37,N!AV36,N!AW37,N!AV38)-(4*N!AV37)))+(Rstar!AV37*N!AV37*(1-(N!AV37/Kstar!AV37)))</f>
        <v>10.36182888902818</v>
      </c>
      <c r="AW37" s="86">
        <f>N!AW37+($X$7*(SUM(N!AV37,N!AW36,N!AX37,N!AW38)-(4*N!AW37)))+(Rstar!AW37*N!AW37*(1-(N!AW37/Kstar!AW37)))</f>
        <v>10.1412514773479</v>
      </c>
      <c r="AX37" s="86">
        <f>N!AX37+($X$7*(SUM(N!AW37,N!AX36,N!AY37,N!AX38)-(4*N!AX37)))+(Rstar!AX37*N!AX37*(1-(N!AX37/Kstar!AX37)))</f>
        <v>10.047410116619817</v>
      </c>
      <c r="AY37" s="87">
        <f>N!AY37+($X$7*(SUM(N!AX37,N!AY36,N!AZ37,N!AY38)-(4*N!AY37)))+(Rstar!AY37*N!AY37*(1-(N!AY37/Kstar!AY37)))</f>
        <v>10.008227906516559</v>
      </c>
      <c r="AZ37" s="72">
        <f>N!AZ37+($X$7*(SUM(N!AY37,N!AZ36,N!AZ38)-(3*N!AZ37)))+(Rstar!AZ37*N!AZ37*(1-(N!AZ37/Kstar!AZ37)))</f>
        <v>9.9940010407884365</v>
      </c>
      <c r="BA37" s="35">
        <v>19</v>
      </c>
    </row>
    <row r="38" spans="2:53" x14ac:dyDescent="0.2">
      <c r="B38" s="34">
        <v>20</v>
      </c>
      <c r="C38" s="72">
        <f>N!C38+($X$7*(SUM(N!C37,N!D38,N!C39)-(3*N!C38)))+(Rstar!C38*N!C38*(1-(N!C38/Kstar!C38)))</f>
        <v>99.74630347710017</v>
      </c>
      <c r="D38" s="74">
        <f>N!D38+($C$7*(SUM(N!C38,N!D37,N!E38,N!D39)-(4*N!D38)))+(Rstar!D38*N!D38*(1-(N!D38/Kstar!D38)))</f>
        <v>99.744907024620304</v>
      </c>
      <c r="E38" s="75">
        <f>N!E38+($C$7*(SUM(N!D38,N!E37,N!F38,N!E39)-(4*N!E38)))+(Rstar!E38*N!E38*(1-(N!E38/Kstar!E38)))</f>
        <v>99.74129871538041</v>
      </c>
      <c r="F38" s="75">
        <f>N!F38+($C$7*(SUM(N!E38,N!F37,N!G38,N!F39)-(4*N!F38)))+(Rstar!F38*N!F38*(1-(N!F38/Kstar!F38)))</f>
        <v>99.733535169577436</v>
      </c>
      <c r="G38" s="75">
        <f>N!G38+($C$7*(SUM(N!F38,N!G37,N!H38,N!G39)-(4*N!G38)))+(Rstar!G38*N!G38*(1-(N!G38/Kstar!G38)))</f>
        <v>99.729825652107607</v>
      </c>
      <c r="H38" s="75">
        <f>N!H38+($C$7*(SUM(N!G38,N!H37,N!I38,N!H39)-(4*N!H38)))+(Rstar!H38*N!H38*(1-(N!H38/Kstar!H38)))</f>
        <v>99.728251132262102</v>
      </c>
      <c r="I38" s="75">
        <f>N!I38+($C$7*(SUM(N!H38,N!I37,N!J38,N!I39)-(4*N!I38)))+(Rstar!I38*N!I38*(1-(N!I38/Kstar!I38)))</f>
        <v>99.727529642361588</v>
      </c>
      <c r="J38" s="75">
        <f>N!J38+($C$7*(SUM(N!I38,N!J37,N!K38,N!J39)-(4*N!J38)))+(Rstar!J38*N!J38*(1-(N!J38/Kstar!J38)))</f>
        <v>99.727308737128894</v>
      </c>
      <c r="K38" s="75">
        <f>N!K38+($C$7*(SUM(N!J38,N!K37,N!L38,N!K39)-(4*N!K38)))+(Rstar!K38*N!K38*(1-(N!K38/Kstar!K38)))</f>
        <v>99.733243711895042</v>
      </c>
      <c r="L38" s="106">
        <f>N!L38+($J$7*(SUM(N!K38,N!L37,N!M38,N!L39)-(4*N!L38)))+(Rstar!L38*N!L38*(1-(N!L38/Kstar!L38)))</f>
        <v>99.729825652107607</v>
      </c>
      <c r="M38" s="107">
        <f>N!M38+($J$7*(SUM(N!L38,N!M37,N!N38,N!M39)-(4*N!M38)))+(Rstar!M38*N!M38*(1-(N!M38/Kstar!M38)))</f>
        <v>99.728251132262102</v>
      </c>
      <c r="N38" s="107">
        <f>N!N38+($J$7*(SUM(N!M38,N!N37,N!O38,N!N39)-(4*N!N38)))+(Rstar!N38*N!N38*(1-(N!N38/Kstar!N38)))</f>
        <v>99.727529642361588</v>
      </c>
      <c r="O38" s="107">
        <f>N!O38+($J$7*(SUM(N!N38,N!O37,N!P38,N!O39)-(4*N!O38)))+(Rstar!O38*N!O38*(1-(N!O38/Kstar!O38)))</f>
        <v>99.727175646266204</v>
      </c>
      <c r="P38" s="138">
        <f>N!P38+($J$7*(SUM(N!O38,N!P37,N!Q38,N!P39)-(4*N!P38)))+(Rstar!P38*N!P38*(1-(N!P38/Kstar!P38)))</f>
        <v>99.726979130708273</v>
      </c>
      <c r="Q38" s="138">
        <f>N!Q38+($J$7*(SUM(N!P38,N!Q37,N!R38,N!Q39)-(4*N!Q38)))+(Rstar!Q38*N!Q38*(1-(N!Q38/Kstar!Q38)))</f>
        <v>99.726831204572463</v>
      </c>
      <c r="R38" s="138">
        <f>N!R38+($J$7*(SUM(N!Q38,N!R37,N!S38,N!R39)-(4*N!R38)))+(Rstar!R38*N!R38*(1-(N!R38/Kstar!R38)))</f>
        <v>99.726653689813276</v>
      </c>
      <c r="S38" s="138">
        <f>N!S38+($J$7*(SUM(N!R38,N!S37,N!T38,N!S39)-(4*N!S38)))+(Rstar!S38*N!S38*(1-(N!S38/Kstar!S38)))</f>
        <v>99.72635722026304</v>
      </c>
      <c r="T38" s="107">
        <f>N!T38+($J$7*(SUM(N!S38,N!T37,N!U38,N!T39)-(4*N!T38)))+(Rstar!T38*N!T38*(1-(N!T38/Kstar!T38)))</f>
        <v>99.725801392816223</v>
      </c>
      <c r="U38" s="107">
        <f>N!U38+($J$7*(SUM(N!T38,N!U37,N!V38,N!U39)-(4*N!U38)))+(Rstar!U38*N!U38*(1-(N!U38/Kstar!U38)))</f>
        <v>99.724748609754045</v>
      </c>
      <c r="V38" s="107">
        <f>N!V38+($J$7*(SUM(N!U38,N!V37,N!W38,N!V39)-(4*N!V38)))+(Rstar!V38*N!V38*(1-(N!V38/Kstar!V38)))</f>
        <v>99.722846843033963</v>
      </c>
      <c r="W38" s="83">
        <f>N!W38+($J$7*(SUM(N!V38,N!W37,N!X38,N!W39)-(4*N!W38)))+(Rstar!W38*N!W38*(1-(N!W38/Kstar!W38)))</f>
        <v>99.719908027660878</v>
      </c>
      <c r="X38" s="83">
        <f>N!X38+($J$7*(SUM(N!W38,N!X37,N!Y38,N!X39)-(4*N!X38)))+(Rstar!X38*N!X38*(1-(N!X38/Kstar!X38)))</f>
        <v>99.71800555784678</v>
      </c>
      <c r="Y38" s="83">
        <f>N!Y38+($J$7*(SUM(N!X38,N!Y37,N!Z38,N!Y39)-(4*N!Y38)))+(Rstar!Y38*N!Y38*(1-(N!Y38/Kstar!Y38)))</f>
        <v>99.7169506606932</v>
      </c>
      <c r="Z38" s="83">
        <f>N!Z38+($J$7*(SUM(N!Y38,N!Z37,N!AA38,N!Z39)-(4*N!Z38)))+(Rstar!Z38*N!Z38*(1-(N!Z38/Kstar!Z38)))</f>
        <v>99.716389039123612</v>
      </c>
      <c r="AA38" s="83">
        <f>N!AA38+($J$7*(SUM(N!Z38,N!AA37,N!AB38,N!AA39)-(4*N!AA38)))+(Rstar!AA38*N!AA38*(1-(N!AA38/Kstar!AA38)))</f>
        <v>99.716077005538992</v>
      </c>
      <c r="AB38" s="83">
        <f>N!AB38+($J$7*(SUM(N!AA38,N!AB37,N!AC38,N!AB39)-(4*N!AB38)))+(Rstar!AB38*N!AB38*(1-(N!AB38/Kstar!AB38)))</f>
        <v>99.71585866787764</v>
      </c>
      <c r="AC38" s="83">
        <f>N!AC38+($J$7*(SUM(N!AB38,N!AC37,N!AD38,N!AC39)-(4*N!AC38)))+(Rstar!AC38*N!AC38*(1-(N!AC38/Kstar!AC38)))</f>
        <v>99.71560617797121</v>
      </c>
      <c r="AD38" s="83">
        <f>N!AD38+($J$7*(SUM(N!AC38,N!AD37,N!AE38,N!AD39)-(4*N!AD38)))+(Rstar!AD38*N!AD38*(1-(N!AD38/Kstar!AD38)))</f>
        <v>99.715147289778997</v>
      </c>
      <c r="AE38" s="83">
        <f>N!AE38+($J$7*(SUM(N!AD38,N!AE37,N!AF38,N!AE39)-(4*N!AE38)))+(Rstar!AE38*N!AE38*(1-(N!AE38/Kstar!AE38)))</f>
        <v>99.714146703762552</v>
      </c>
      <c r="AF38" s="83">
        <f>N!AF38+($J$7*(SUM(N!AE38,N!AF37,N!AG38,N!AF39)-(4*N!AF38)))+(Rstar!AF38*N!AF38*(1-(N!AF38/Kstar!AF38)))</f>
        <v>99.711859823335075</v>
      </c>
      <c r="AG38" s="83">
        <f>N!AG38+($J$7*(SUM(N!AF38,N!AG37,N!AH38,N!AG39)-(4*N!AG38)))+(Rstar!AG38*N!AG38*(1-(N!AG38/Kstar!AG38)))</f>
        <v>99.706577597761822</v>
      </c>
      <c r="AH38" s="83">
        <f>N!AH38+($J$7*(SUM(N!AG38,N!AH37,N!AI38,N!AH39)-(4*N!AH38)))+(Rstar!AH38*N!AH38*(1-(N!AH38/Kstar!AH38)))</f>
        <v>99.694348143713555</v>
      </c>
      <c r="AI38" s="83">
        <f>N!AI38+($J$7*(SUM(N!AH38,N!AI37,N!AJ38,N!AI39)-(4*N!AI38)))+(Rstar!AI38*N!AI38*(1-(N!AI38/Kstar!AI38)))</f>
        <v>99.666019138802511</v>
      </c>
      <c r="AJ38" s="83">
        <f>N!AJ38+($J$7*(SUM(N!AI38,N!AJ37,N!AK38,N!AJ39)-(4*N!AJ38)))+(Rstar!AJ38*N!AJ38*(1-(N!AJ38/Kstar!AJ38)))</f>
        <v>99.600391492176286</v>
      </c>
      <c r="AK38" s="83">
        <f>N!AK38+($J$7*(SUM(N!AJ38,N!AK37,N!AL38,N!AK39)-(4*N!AK38)))+(Rstar!AK38*N!AK38*(1-(N!AK38/Kstar!AK38)))</f>
        <v>99.448388803249145</v>
      </c>
      <c r="AL38" s="83">
        <f>N!AL38+($J$7*(SUM(N!AK38,N!AL37,N!AM38,N!AL39)-(4*N!AL38)))+(Rstar!AL38*N!AL38*(1-(N!AL38/Kstar!AL38)))</f>
        <v>99.096567960709748</v>
      </c>
      <c r="AM38" s="83">
        <f>N!AM38+($J$7*(SUM(N!AL38,N!AM37,N!AN38,N!AM39)-(4*N!AM38)))+(Rstar!AM38*N!AM38*(1-(N!AM38/Kstar!AM38)))</f>
        <v>98.283642655220419</v>
      </c>
      <c r="AN38" s="83">
        <f>N!AN38+($J$7*(SUM(N!AM38,N!AN37,N!AO38,N!AN39)-(4*N!AN38)))+(Rstar!AN38*N!AN38*(1-(N!AN38/Kstar!AN38)))</f>
        <v>96.412906446707382</v>
      </c>
      <c r="AO38" s="83">
        <f>N!AO38+($J$7*(SUM(N!AN38,N!AO37,N!AP38,N!AO39)-(4*N!AO38)))+(Rstar!AO38*N!AO38*(1-(N!AO38/Kstar!AO38)))</f>
        <v>92.148764830101513</v>
      </c>
      <c r="AP38" s="83">
        <f>N!AP38+($J$7*(SUM(N!AO38,N!AP37,N!AQ38,N!AP39)-(4*N!AP38)))+(Rstar!AP38*N!AP38*(1-(N!AP38/Kstar!AP38)))</f>
        <v>82.643222275482017</v>
      </c>
      <c r="AQ38" s="110">
        <f>N!AQ38+($J$7*(SUM(N!AP38,N!AQ37,N!AR38,N!AQ39)-(4*N!AQ38)))+(Rstar!AQ38*N!AQ38*(1-(N!AQ38/Kstar!AQ38)))</f>
        <v>62.531043290280273</v>
      </c>
      <c r="AR38" s="92">
        <f>N!AR38+($X$7*(SUM(N!AQ38,N!AR37,N!AS38,N!AR39)-(4*N!AR38)))+(Rstar!AR38*N!AR38*(1-(N!AR38/Kstar!AR38)))</f>
        <v>24.937734452518971</v>
      </c>
      <c r="AS38" s="86">
        <f>N!AS38+($X$7*(SUM(N!AR38,N!AS37,N!AT38,N!AS39)-(4*N!AS38)))+(Rstar!AS38*N!AS38*(1-(N!AS38/Kstar!AS38)))</f>
        <v>15.401408858921277</v>
      </c>
      <c r="AT38" s="86">
        <f>N!AT38+($X$7*(SUM(N!AS38,N!AT37,N!AU38,N!AT39)-(4*N!AT38)))+(Rstar!AT38*N!AT38*(1-(N!AT38/Kstar!AT38)))</f>
        <v>12.149351871919762</v>
      </c>
      <c r="AU38" s="86">
        <f>N!AU38+($X$7*(SUM(N!AT38,N!AU37,N!AV38,N!AU39)-(4*N!AU38)))+(Rstar!AU38*N!AU38*(1-(N!AU38/Kstar!AU38)))</f>
        <v>10.883724477458447</v>
      </c>
      <c r="AV38" s="86">
        <f>N!AV38+($X$7*(SUM(N!AU38,N!AV37,N!AW38,N!AV39)-(4*N!AV38)))+(Rstar!AV38*N!AV38*(1-(N!AV38/Kstar!AV38)))</f>
        <v>10.361798842006102</v>
      </c>
      <c r="AW38" s="86">
        <f>N!AW38+($X$7*(SUM(N!AV38,N!AW37,N!AX38,N!AW39)-(4*N!AW38)))+(Rstar!AW38*N!AW38*(1-(N!AW38/Kstar!AW38)))</f>
        <v>10.141232274046919</v>
      </c>
      <c r="AX38" s="86">
        <f>N!AX38+($X$7*(SUM(N!AW38,N!AX37,N!AY38,N!AX39)-(4*N!AX38)))+(Rstar!AX38*N!AX38*(1-(N!AX38/Kstar!AX38)))</f>
        <v>10.047397786889242</v>
      </c>
      <c r="AY38" s="87">
        <f>N!AY38+($X$7*(SUM(N!AX38,N!AY37,N!AZ38,N!AY39)-(4*N!AY38)))+(Rstar!AY38*N!AY38*(1-(N!AY38/Kstar!AY38)))</f>
        <v>10.008219615050095</v>
      </c>
      <c r="AZ38" s="72">
        <f>N!AZ38+($X$7*(SUM(N!AY38,N!AZ37,N!AZ39)-(3*N!AZ38)))+(Rstar!AZ38*N!AZ38*(1-(N!AZ38/Kstar!AZ38)))</f>
        <v>9.9939946101578965</v>
      </c>
      <c r="BA38" s="35">
        <v>20</v>
      </c>
    </row>
    <row r="39" spans="2:53" x14ac:dyDescent="0.2">
      <c r="B39" s="34">
        <v>21</v>
      </c>
      <c r="C39" s="72">
        <f>N!C39+($X$7*(SUM(N!C38,N!D39,N!C40)-(3*N!C39)))+(Rstar!C39*N!C39*(1-(N!C39/Kstar!C39)))</f>
        <v>99.743226428820634</v>
      </c>
      <c r="D39" s="74">
        <f>N!D39+($C$7*(SUM(N!C39,N!D38,N!E39,N!D40)-(4*N!D39)))+(Rstar!D39*N!D39*(1-(N!D39/Kstar!D39)))</f>
        <v>99.741460053386433</v>
      </c>
      <c r="E39" s="75">
        <f>N!E39+($C$7*(SUM(N!D39,N!E38,N!F39,N!E40)-(4*N!E39)))+(Rstar!E39*N!E39*(1-(N!E39/Kstar!E39)))</f>
        <v>99.736862238540681</v>
      </c>
      <c r="F39" s="75">
        <f>N!F39+($C$7*(SUM(N!E39,N!F38,N!G39,N!F40)-(4*N!F39)))+(Rstar!F39*N!F39*(1-(N!F39/Kstar!F39)))</f>
        <v>99.726992347794123</v>
      </c>
      <c r="G39" s="75">
        <f>N!G39+($C$7*(SUM(N!F39,N!G38,N!H39,N!G40)-(4*N!G39)))+(Rstar!G39*N!G39*(1-(N!G39/Kstar!G39)))</f>
        <v>99.722678042698718</v>
      </c>
      <c r="H39" s="75">
        <f>N!H39+($C$7*(SUM(N!G39,N!H38,N!I39,N!H40)-(4*N!H39)))+(Rstar!H39*N!H39*(1-(N!H39/Kstar!H39)))</f>
        <v>99.72069217490747</v>
      </c>
      <c r="I39" s="75">
        <f>N!I39+($C$7*(SUM(N!H39,N!I38,N!J39,N!I40)-(4*N!I39)))+(Rstar!I39*N!I39*(1-(N!I39/Kstar!I39)))</f>
        <v>99.719761539022556</v>
      </c>
      <c r="J39" s="75">
        <f>N!J39+($C$7*(SUM(N!I39,N!J38,N!K39,N!J40)-(4*N!J39)))+(Rstar!J39*N!J39*(1-(N!J39/Kstar!J39)))</f>
        <v>99.719471890648734</v>
      </c>
      <c r="K39" s="75">
        <f>N!K39+($C$7*(SUM(N!J39,N!K38,N!L39,N!K40)-(4*N!K39)))+(Rstar!K39*N!K39*(1-(N!K39/Kstar!K39)))</f>
        <v>99.726631836068279</v>
      </c>
      <c r="L39" s="109">
        <f>N!L39+($J$7*(SUM(N!K39,N!L38,N!M39,N!L40)-(4*N!L39)))+(Rstar!L39*N!L39*(1-(N!L39/Kstar!L39)))</f>
        <v>99.722678042698718</v>
      </c>
      <c r="M39" s="83">
        <f>N!M39+($J$7*(SUM(N!L39,N!M38,N!N39,N!M40)-(4*N!M39)))+(Rstar!M39*N!M39*(1-(N!M39/Kstar!M39)))</f>
        <v>99.72069217490747</v>
      </c>
      <c r="N39" s="83">
        <f>N!N39+($J$7*(SUM(N!M39,N!N38,N!O39,N!N40)-(4*N!N39)))+(Rstar!N39*N!N39*(1-(N!N39/Kstar!N39)))</f>
        <v>99.719761539022556</v>
      </c>
      <c r="O39" s="83">
        <f>N!O39+($J$7*(SUM(N!N39,N!O38,N!P39,N!O40)-(4*N!O39)))+(Rstar!O39*N!O39*(1-(N!O39/Kstar!O39)))</f>
        <v>99.71931286156557</v>
      </c>
      <c r="P39" s="150">
        <f>N!P39+($J$7*(SUM(N!O39,N!P38,N!Q39,N!P40)-(4*N!P39)))+(Rstar!P39*N!P39*(1-(N!P39/Kstar!P39)))</f>
        <v>99.719080207915084</v>
      </c>
      <c r="Q39" s="150">
        <f>N!Q39+($J$7*(SUM(N!P39,N!Q38,N!R39,N!Q40)-(4*N!Q39)))+(Rstar!Q39*N!Q39*(1-(N!Q39/Kstar!Q39)))</f>
        <v>99.718931782036947</v>
      </c>
      <c r="R39" s="150">
        <f>N!R39+($J$7*(SUM(N!Q39,N!R38,N!S39,N!R40)-(4*N!R39)))+(Rstar!R39*N!R39*(1-(N!R39/Kstar!R39)))</f>
        <v>99.718789506274874</v>
      </c>
      <c r="S39" s="150">
        <f>N!S39+($J$7*(SUM(N!R39,N!S38,N!T39,N!S40)-(4*N!S39)))+(Rstar!S39*N!S39*(1-(N!S39/Kstar!S39)))</f>
        <v>99.718587823580151</v>
      </c>
      <c r="T39" s="83">
        <f>N!T39+($J$7*(SUM(N!S39,N!T38,N!U39,N!T40)-(4*N!T39)))+(Rstar!T39*N!T39*(1-(N!T39/Kstar!T39)))</f>
        <v>99.718249335163335</v>
      </c>
      <c r="U39" s="83">
        <f>N!U39+($J$7*(SUM(N!T39,N!U38,N!V39,N!U40)-(4*N!U39)))+(Rstar!U39*N!U39*(1-(N!U39/Kstar!U39)))</f>
        <v>99.717675009630554</v>
      </c>
      <c r="V39" s="83">
        <f>N!V39+($J$7*(SUM(N!U39,N!V38,N!W39,N!V40)-(4*N!V39)))+(Rstar!V39*N!V39*(1-(N!V39/Kstar!V39)))</f>
        <v>99.716774500071836</v>
      </c>
      <c r="W39" s="83">
        <f>N!W39+($J$7*(SUM(N!V39,N!W38,N!X39,N!W40)-(4*N!W39)))+(Rstar!W39*N!W39*(1-(N!W39/Kstar!W39)))</f>
        <v>99.715612492556019</v>
      </c>
      <c r="X39" s="83">
        <f>N!X39+($J$7*(SUM(N!W39,N!X38,N!Y39,N!X40)-(4*N!X39)))+(Rstar!X39*N!X39*(1-(N!X39/Kstar!X39)))</f>
        <v>99.714711677622347</v>
      </c>
      <c r="Y39" s="83">
        <f>N!Y39+($J$7*(SUM(N!X39,N!Y38,N!Z39,N!Y40)-(4*N!Y39)))+(Rstar!Y39*N!Y39*(1-(N!Y39/Kstar!Y39)))</f>
        <v>99.714136198818878</v>
      </c>
      <c r="Z39" s="83">
        <f>N!Z39+($J$7*(SUM(N!Y39,N!Z38,N!AA39,N!Z40)-(4*N!Z39)))+(Rstar!Z39*N!Z39*(1-(N!Z39/Kstar!Z39)))</f>
        <v>99.713793944123708</v>
      </c>
      <c r="AA39" s="83">
        <f>N!AA39+($J$7*(SUM(N!Z39,N!AA38,N!AB39,N!AA40)-(4*N!AA39)))+(Rstar!AA39*N!AA39*(1-(N!AA39/Kstar!AA39)))</f>
        <v>99.71358099478428</v>
      </c>
      <c r="AB39" s="83">
        <f>N!AB39+($J$7*(SUM(N!AA39,N!AB38,N!AC39,N!AB40)-(4*N!AB39)))+(Rstar!AB39*N!AB39*(1-(N!AB39/Kstar!AB39)))</f>
        <v>99.713407146509454</v>
      </c>
      <c r="AC39" s="83">
        <f>N!AC39+($J$7*(SUM(N!AB39,N!AC38,N!AD39,N!AC40)-(4*N!AC39)))+(Rstar!AC39*N!AC39*(1-(N!AC39/Kstar!AC39)))</f>
        <v>99.713174293237046</v>
      </c>
      <c r="AD39" s="83">
        <f>N!AD39+($J$7*(SUM(N!AC39,N!AD38,N!AE39,N!AD40)-(4*N!AD39)))+(Rstar!AD39*N!AD39*(1-(N!AD39/Kstar!AD39)))</f>
        <v>99.712723393610261</v>
      </c>
      <c r="AE39" s="83">
        <f>N!AE39+($J$7*(SUM(N!AD39,N!AE38,N!AF39,N!AE40)-(4*N!AE39)))+(Rstar!AE39*N!AE39*(1-(N!AE39/Kstar!AE39)))</f>
        <v>99.711724738723049</v>
      </c>
      <c r="AF39" s="83">
        <f>N!AF39+($J$7*(SUM(N!AE39,N!AF38,N!AG39,N!AF40)-(4*N!AF39)))+(Rstar!AF39*N!AF39*(1-(N!AF39/Kstar!AF39)))</f>
        <v>99.709435623940081</v>
      </c>
      <c r="AG39" s="83">
        <f>N!AG39+($J$7*(SUM(N!AF39,N!AG38,N!AH39,N!AG40)-(4*N!AG39)))+(Rstar!AG39*N!AG39*(1-(N!AG39/Kstar!AG39)))</f>
        <v>99.704146773237881</v>
      </c>
      <c r="AH39" s="83">
        <f>N!AH39+($J$7*(SUM(N!AG39,N!AH38,N!AI39,N!AH40)-(4*N!AH39)))+(Rstar!AH39*N!AH39*(1-(N!AH39/Kstar!AH39)))</f>
        <v>99.691904412987952</v>
      </c>
      <c r="AI39" s="83">
        <f>N!AI39+($J$7*(SUM(N!AH39,N!AI38,N!AJ39,N!AI40)-(4*N!AI39)))+(Rstar!AI39*N!AI39*(1-(N!AI39/Kstar!AI39)))</f>
        <v>99.663552530591176</v>
      </c>
      <c r="AJ39" s="83">
        <f>N!AJ39+($J$7*(SUM(N!AI39,N!AJ38,N!AK39,N!AJ40)-(4*N!AJ39)))+(Rstar!AJ39*N!AJ39*(1-(N!AJ39/Kstar!AJ39)))</f>
        <v>99.597886131738335</v>
      </c>
      <c r="AK39" s="83">
        <f>N!AK39+($J$7*(SUM(N!AJ39,N!AK38,N!AL39,N!AK40)-(4*N!AK39)))+(Rstar!AK39*N!AK39*(1-(N!AK39/Kstar!AK39)))</f>
        <v>99.445820384442428</v>
      </c>
      <c r="AL39" s="83">
        <f>N!AL39+($J$7*(SUM(N!AK39,N!AL38,N!AM39,N!AL40)-(4*N!AL39)))+(Rstar!AL39*N!AL39*(1-(N!AL39/Kstar!AL39)))</f>
        <v>99.0939018391974</v>
      </c>
      <c r="AM39" s="83">
        <f>N!AM39+($J$7*(SUM(N!AL39,N!AM38,N!AN39,N!AM40)-(4*N!AM39)))+(Rstar!AM39*N!AM39*(1-(N!AM39/Kstar!AM39)))</f>
        <v>98.280835592750122</v>
      </c>
      <c r="AN39" s="83">
        <f>N!AN39+($J$7*(SUM(N!AM39,N!AN38,N!AO39,N!AN40)-(4*N!AN39)))+(Rstar!AN39*N!AN39*(1-(N!AN39/Kstar!AN39)))</f>
        <v>96.40992023168856</v>
      </c>
      <c r="AO39" s="83">
        <f>N!AO39+($J$7*(SUM(N!AN39,N!AO38,N!AP39,N!AO40)-(4*N!AO39)))+(Rstar!AO39*N!AO39*(1-(N!AO39/Kstar!AO39)))</f>
        <v>92.14561220576303</v>
      </c>
      <c r="AP39" s="83">
        <f>N!AP39+($J$7*(SUM(N!AO39,N!AP38,N!AQ39,N!AP40)-(4*N!AP39)))+(Rstar!AP39*N!AP39*(1-(N!AP39/Kstar!AP39)))</f>
        <v>82.640088963552103</v>
      </c>
      <c r="AQ39" s="110">
        <f>N!AQ39+($J$7*(SUM(N!AP39,N!AQ38,N!AR39,N!AQ40)-(4*N!AQ39)))+(Rstar!AQ39*N!AQ39*(1-(N!AQ39/Kstar!AQ39)))</f>
        <v>62.528538504747921</v>
      </c>
      <c r="AR39" s="92">
        <f>N!AR39+($X$7*(SUM(N!AQ39,N!AR38,N!AS39,N!AR40)-(4*N!AR39)))+(Rstar!AR39*N!AR39*(1-(N!AR39/Kstar!AR39)))</f>
        <v>24.937090883719144</v>
      </c>
      <c r="AS39" s="86">
        <f>N!AS39+($X$7*(SUM(N!AR39,N!AS38,N!AT39,N!AS40)-(4*N!AS39)))+(Rstar!AS39*N!AS39*(1-(N!AS39/Kstar!AS39)))</f>
        <v>15.401133656754981</v>
      </c>
      <c r="AT39" s="86">
        <f>N!AT39+($X$7*(SUM(N!AS39,N!AT38,N!AU39,N!AT40)-(4*N!AT39)))+(Rstar!AT39*N!AT39*(1-(N!AT39/Kstar!AT39)))</f>
        <v>12.149199260964735</v>
      </c>
      <c r="AU39" s="86">
        <f>N!AU39+($X$7*(SUM(N!AT39,N!AU38,N!AV39,N!AU40)-(4*N!AU39)))+(Rstar!AU39*N!AU39*(1-(N!AU39/Kstar!AU39)))</f>
        <v>10.883630320091829</v>
      </c>
      <c r="AV39" s="86">
        <f>N!AV39+($X$7*(SUM(N!AU39,N!AV38,N!AW39,N!AV40)-(4*N!AV39)))+(Rstar!AV39*N!AV39*(1-(N!AV39/Kstar!AV39)))</f>
        <v>10.361739104386018</v>
      </c>
      <c r="AW39" s="86">
        <f>N!AW39+($X$7*(SUM(N!AV39,N!AW38,N!AX39,N!AW40)-(4*N!AW39)))+(Rstar!AW39*N!AW39*(1-(N!AW39/Kstar!AW39)))</f>
        <v>10.141194465330603</v>
      </c>
      <c r="AX39" s="86">
        <f>N!AX39+($X$7*(SUM(N!AW39,N!AX38,N!AY39,N!AX40)-(4*N!AX39)))+(Rstar!AX39*N!AX39*(1-(N!AX39/Kstar!AX39)))</f>
        <v>10.047373843509686</v>
      </c>
      <c r="AY39" s="87">
        <f>N!AY39+($X$7*(SUM(N!AX39,N!AY38,N!AZ39,N!AY40)-(4*N!AY39)))+(Rstar!AY39*N!AY39*(1-(N!AY39/Kstar!AY39)))</f>
        <v>10.008203781447856</v>
      </c>
      <c r="AZ39" s="72">
        <f>N!AZ39+($X$7*(SUM(N!AY39,N!AZ38,N!AZ40)-(3*N!AZ39)))+(Rstar!AZ39*N!AZ39*(1-(N!AZ39/Kstar!AZ39)))</f>
        <v>9.9939824981785907</v>
      </c>
      <c r="BA39" s="35">
        <v>21</v>
      </c>
    </row>
    <row r="40" spans="2:53" x14ac:dyDescent="0.2">
      <c r="B40" s="34">
        <v>22</v>
      </c>
      <c r="C40" s="72">
        <f>N!C40+($X$7*(SUM(N!C39,N!D40,N!C41)-(3*N!C40)))+(Rstar!C40*N!C40*(1-(N!C40/Kstar!C40)))</f>
        <v>99.73703065674097</v>
      </c>
      <c r="D40" s="74">
        <f>N!D40+($C$7*(SUM(N!C40,N!D39,N!E40,N!D41)-(4*N!D40)))+(Rstar!D40*N!D40*(1-(N!D40/Kstar!D40)))</f>
        <v>99.735080211599978</v>
      </c>
      <c r="E40" s="75">
        <f>N!E40+($C$7*(SUM(N!D40,N!E39,N!F40,N!E41)-(4*N!E40)))+(Rstar!E40*N!E40*(1-(N!E40/Kstar!E40)))</f>
        <v>99.730008771219119</v>
      </c>
      <c r="F40" s="75">
        <f>N!F40+($C$7*(SUM(N!E40,N!F39,N!G40,N!F41)-(4*N!F40)))+(Rstar!F40*N!F40*(1-(N!F40/Kstar!F40)))</f>
        <v>99.719240096275527</v>
      </c>
      <c r="G40" s="75">
        <f>N!G40+($C$7*(SUM(N!F40,N!G39,N!H40,N!G41)-(4*N!G40)))+(Rstar!G40*N!G40*(1-(N!G40/Kstar!G40)))</f>
        <v>99.71483023337035</v>
      </c>
      <c r="H40" s="75">
        <f>N!H40+($C$7*(SUM(N!G40,N!H39,N!I40,N!H41)-(4*N!H40)))+(Rstar!H40*N!H40*(1-(N!H40/Kstar!H40)))</f>
        <v>99.712705996003876</v>
      </c>
      <c r="I40" s="75">
        <f>N!I40+($C$7*(SUM(N!H40,N!I39,N!J40,N!I41)-(4*N!I40)))+(Rstar!I40*N!I40*(1-(N!I40/Kstar!I40)))</f>
        <v>99.71167710533895</v>
      </c>
      <c r="J40" s="75">
        <f>N!J40+($C$7*(SUM(N!I40,N!J39,N!K40,N!J41)-(4*N!J40)))+(Rstar!J40*N!J40*(1-(N!J40/Kstar!J40)))</f>
        <v>99.711341547015536</v>
      </c>
      <c r="K40" s="75">
        <f>N!K40+($C$7*(SUM(N!J40,N!K39,N!L40,N!K41)-(4*N!K40)))+(Rstar!K40*N!K40*(1-(N!K40/Kstar!K40)))</f>
        <v>99.718853684806518</v>
      </c>
      <c r="L40" s="109">
        <f>N!L40+($J$7*(SUM(N!K40,N!L39,N!M40,N!L41)-(4*N!L40)))+(Rstar!L40*N!L40*(1-(N!L40/Kstar!L40)))</f>
        <v>99.71483023337035</v>
      </c>
      <c r="M40" s="83">
        <f>N!M40+($J$7*(SUM(N!L40,N!M39,N!N40,N!M41)-(4*N!M40)))+(Rstar!M40*N!M40*(1-(N!M40/Kstar!M40)))</f>
        <v>99.712705996003876</v>
      </c>
      <c r="N40" s="83">
        <f>N!N40+($J$7*(SUM(N!M40,N!N39,N!O40,N!N41)-(4*N!N40)))+(Rstar!N40*N!N40*(1-(N!N40/Kstar!N40)))</f>
        <v>99.71167710533895</v>
      </c>
      <c r="O40" s="83">
        <f>N!O40+($J$7*(SUM(N!N40,N!O39,N!P40,N!O41)-(4*N!O40)))+(Rstar!O40*N!O40*(1-(N!O40/Kstar!O40)))</f>
        <v>99.711174820150418</v>
      </c>
      <c r="P40" s="150">
        <f>N!P40+($J$7*(SUM(N!O40,N!P39,N!Q40,N!P41)-(4*N!P40)))+(Rstar!P40*N!P40*(1-(N!P40/Kstar!P40)))</f>
        <v>99.710920056291201</v>
      </c>
      <c r="Q40" s="150">
        <f>N!Q40+($J$7*(SUM(N!P40,N!Q39,N!R40,N!Q41)-(4*N!Q40)))+(Rstar!Q40*N!Q40*(1-(N!Q40/Kstar!Q40)))</f>
        <v>99.710773268136734</v>
      </c>
      <c r="R40" s="150">
        <f>N!R40+($J$7*(SUM(N!Q40,N!R39,N!S40,N!R41)-(4*N!R40)))+(Rstar!R40*N!R40*(1-(N!R40/Kstar!R40)))</f>
        <v>99.71065859870744</v>
      </c>
      <c r="S40" s="150">
        <f>N!S40+($J$7*(SUM(N!R40,N!S39,N!T40,N!S41)-(4*N!S40)))+(Rstar!S40*N!S40*(1-(N!S40/Kstar!S40)))</f>
        <v>99.710525653346252</v>
      </c>
      <c r="T40" s="83">
        <f>N!T40+($J$7*(SUM(N!S40,N!T39,N!U40,N!T41)-(4*N!T40)))+(Rstar!T40*N!T40*(1-(N!T40/Kstar!T40)))</f>
        <v>99.710330973633219</v>
      </c>
      <c r="U40" s="83">
        <f>N!U40+($J$7*(SUM(N!T40,N!U39,N!V40,N!U41)-(4*N!U40)))+(Rstar!U40*N!U40*(1-(N!U40/Kstar!U40)))</f>
        <v>99.71003446309237</v>
      </c>
      <c r="V40" s="83">
        <f>N!V40+($J$7*(SUM(N!U40,N!V39,N!W40,N!V41)-(4*N!V40)))+(Rstar!V40*N!V40*(1-(N!V40/Kstar!V40)))</f>
        <v>99.70961672208945</v>
      </c>
      <c r="W40" s="83">
        <f>N!W40+($J$7*(SUM(N!V40,N!W39,N!X40,N!W41)-(4*N!W40)))+(Rstar!W40*N!W40*(1-(N!W40/Kstar!W40)))</f>
        <v>99.709125294775347</v>
      </c>
      <c r="X40" s="83">
        <f>N!X40+($J$7*(SUM(N!W40,N!X39,N!Y40,N!X41)-(4*N!X40)))+(Rstar!X40*N!X40*(1-(N!X40/Kstar!X40)))</f>
        <v>99.708707565924925</v>
      </c>
      <c r="Y40" s="83">
        <f>N!Y40+($J$7*(SUM(N!X40,N!Y39,N!Z40,N!Y41)-(4*N!Y40)))+(Rstar!Y40*N!Y40*(1-(N!Y40/Kstar!Y40)))</f>
        <v>99.708410675388379</v>
      </c>
      <c r="Z40" s="83">
        <f>N!Z40+($J$7*(SUM(N!Y40,N!Z39,N!AA40,N!Z41)-(4*N!Z40)))+(Rstar!Z40*N!Z40*(1-(N!Z40/Kstar!Z40)))</f>
        <v>99.708213845479051</v>
      </c>
      <c r="AA40" s="83">
        <f>N!AA40+($J$7*(SUM(N!Z40,N!AA39,N!AB40,N!AA41)-(4*N!AA40)))+(Rstar!AA40*N!AA40*(1-(N!AA40/Kstar!AA40)))</f>
        <v>99.70807295865778</v>
      </c>
      <c r="AB40" s="83">
        <f>N!AB40+($J$7*(SUM(N!AA40,N!AB39,N!AC40,N!AB41)-(4*N!AB40)))+(Rstar!AB40*N!AB40*(1-(N!AB40/Kstar!AB40)))</f>
        <v>99.707933553977568</v>
      </c>
      <c r="AC40" s="83">
        <f>N!AC40+($J$7*(SUM(N!AB40,N!AC39,N!AD40,N!AC41)-(4*N!AC40)))+(Rstar!AC40*N!AC40*(1-(N!AC40/Kstar!AC40)))</f>
        <v>99.707716293253654</v>
      </c>
      <c r="AD40" s="83">
        <f>N!AD40+($J$7*(SUM(N!AC40,N!AD39,N!AE40,N!AD41)-(4*N!AD40)))+(Rstar!AD40*N!AD40*(1-(N!AD40/Kstar!AD40)))</f>
        <v>99.707271182203698</v>
      </c>
      <c r="AE40" s="83">
        <f>N!AE40+($J$7*(SUM(N!AD40,N!AE39,N!AF40,N!AE41)-(4*N!AE40)))+(Rstar!AE40*N!AE40*(1-(N!AE40/Kstar!AE40)))</f>
        <v>99.706272259969907</v>
      </c>
      <c r="AF40" s="83">
        <f>N!AF40+($J$7*(SUM(N!AE40,N!AF39,N!AG40,N!AF41)-(4*N!AF40)))+(Rstar!AF40*N!AF40*(1-(N!AF40/Kstar!AF40)))</f>
        <v>99.70397744522154</v>
      </c>
      <c r="AG40" s="83">
        <f>N!AG40+($J$7*(SUM(N!AF40,N!AG39,N!AH40,N!AG41)-(4*N!AG40)))+(Rstar!AG40*N!AG40*(1-(N!AG40/Kstar!AG40)))</f>
        <v>99.698675714391229</v>
      </c>
      <c r="AH40" s="83">
        <f>N!AH40+($J$7*(SUM(N!AG40,N!AH39,N!AI40,N!AH41)-(4*N!AH40)))+(Rstar!AH40*N!AH40*(1-(N!AH40/Kstar!AH40)))</f>
        <v>99.686409020678994</v>
      </c>
      <c r="AI40" s="83">
        <f>N!AI40+($J$7*(SUM(N!AH40,N!AI39,N!AJ40,N!AI41)-(4*N!AI40)))+(Rstar!AI40*N!AI40*(1-(N!AI40/Kstar!AI40)))</f>
        <v>99.658013766368327</v>
      </c>
      <c r="AJ40" s="83">
        <f>N!AJ40+($J$7*(SUM(N!AI40,N!AJ39,N!AK40,N!AJ41)-(4*N!AJ40)))+(Rstar!AJ40*N!AJ40*(1-(N!AJ40/Kstar!AJ40)))</f>
        <v>99.592272905591358</v>
      </c>
      <c r="AK40" s="83">
        <f>N!AK40+($J$7*(SUM(N!AJ40,N!AK39,N!AL40,N!AK41)-(4*N!AK40)))+(Rstar!AK40*N!AK40*(1-(N!AK40/Kstar!AK40)))</f>
        <v>99.440084178614569</v>
      </c>
      <c r="AL40" s="83">
        <f>N!AL40+($J$7*(SUM(N!AK40,N!AL39,N!AM40,N!AL41)-(4*N!AL40)))+(Rstar!AL40*N!AL40*(1-(N!AL40/Kstar!AL40)))</f>
        <v>99.087972371964213</v>
      </c>
      <c r="AM40" s="83">
        <f>N!AM40+($J$7*(SUM(N!AL40,N!AM39,N!AN40,N!AM41)-(4*N!AM40)))+(Rstar!AM40*N!AM40*(1-(N!AM40/Kstar!AM40)))</f>
        <v>98.274623980665666</v>
      </c>
      <c r="AN40" s="83">
        <f>N!AN40+($J$7*(SUM(N!AM40,N!AN39,N!AO40,N!AN41)-(4*N!AN40)))+(Rstar!AN40*N!AN40*(1-(N!AN40/Kstar!AN40)))</f>
        <v>96.403347452175936</v>
      </c>
      <c r="AO40" s="83">
        <f>N!AO40+($J$7*(SUM(N!AN40,N!AO39,N!AP40,N!AO41)-(4*N!AO40)))+(Rstar!AO40*N!AO40*(1-(N!AO40/Kstar!AO40)))</f>
        <v>92.138707352079365</v>
      </c>
      <c r="AP40" s="83">
        <f>N!AP40+($J$7*(SUM(N!AO40,N!AP39,N!AQ40,N!AP41)-(4*N!AP40)))+(Rstar!AP40*N!AP40*(1-(N!AP40/Kstar!AP40)))</f>
        <v>82.633252792956853</v>
      </c>
      <c r="AQ40" s="83">
        <f>N!AQ40+($J$7*(SUM(N!AP40,N!AQ39,N!AR40,N!AQ41)-(4*N!AQ40)))+(Rstar!AQ40*N!AQ40*(1-(N!AQ40/Kstar!AQ40)))</f>
        <v>62.523086932576497</v>
      </c>
      <c r="AR40" s="92">
        <f>N!AR40+($X$7*(SUM(N!AQ40,N!AR39,N!AS40,N!AR41)-(4*N!AR40)))+(Rstar!AR40*N!AR40*(1-(N!AR40/Kstar!AR40)))</f>
        <v>24.93569176841002</v>
      </c>
      <c r="AS40" s="86">
        <f>N!AS40+($X$7*(SUM(N!AR40,N!AS39,N!AT40,N!AS41)-(4*N!AS40)))+(Rstar!AS40*N!AS40*(1-(N!AS40/Kstar!AS40)))</f>
        <v>15.400537452850095</v>
      </c>
      <c r="AT40" s="86">
        <f>N!AT40+($X$7*(SUM(N!AS40,N!AT39,N!AU40,N!AT41)-(4*N!AT40)))+(Rstar!AT40*N!AT40*(1-(N!AT40/Kstar!AT40)))</f>
        <v>12.148871144558138</v>
      </c>
      <c r="AU40" s="86">
        <f>N!AU40+($X$7*(SUM(N!AT40,N!AU39,N!AV40,N!AU41)-(4*N!AU40)))+(Rstar!AU40*N!AU40*(1-(N!AU40/Kstar!AU40)))</f>
        <v>10.883430351727167</v>
      </c>
      <c r="AV40" s="86">
        <f>N!AV40+($X$7*(SUM(N!AU40,N!AV39,N!AW40,N!AV41)-(4*N!AV40)))+(Rstar!AV40*N!AV40*(1-(N!AV40/Kstar!AV40)))</f>
        <v>10.361614313174561</v>
      </c>
      <c r="AW40" s="86">
        <f>N!AW40+($X$7*(SUM(N!AV40,N!AW39,N!AX40,N!AW41)-(4*N!AW40)))+(Rstar!AW40*N!AW40*(1-(N!AW40/Kstar!AW40)))</f>
        <v>10.141117061322726</v>
      </c>
      <c r="AX40" s="86">
        <f>N!AX40+($X$7*(SUM(N!AW40,N!AX39,N!AY40,N!AX41)-(4*N!AX40)))+(Rstar!AX40*N!AX40*(1-(N!AX40/Kstar!AX40)))</f>
        <v>10.047325968731922</v>
      </c>
      <c r="AY40" s="87">
        <f>N!AY40+($X$7*(SUM(N!AX40,N!AY39,N!AZ40,N!AY41)-(4*N!AY40)))+(Rstar!AY40*N!AY40*(1-(N!AY40/Kstar!AY40)))</f>
        <v>10.008172927955105</v>
      </c>
      <c r="AZ40" s="72">
        <f>N!AZ40+($X$7*(SUM(N!AY40,N!AZ39,N!AZ41)-(3*N!AZ40)))+(Rstar!AZ40*N!AZ40*(1-(N!AZ40/Kstar!AZ40)))</f>
        <v>9.9939593715483586</v>
      </c>
      <c r="BA40" s="35">
        <v>22</v>
      </c>
    </row>
    <row r="41" spans="2:53" x14ac:dyDescent="0.2">
      <c r="B41" s="34">
        <v>23</v>
      </c>
      <c r="C41" s="72">
        <f>N!C41+($X$7*(SUM(N!C40,N!D41,N!C42)-(3*N!C41)))+(Rstar!C41*N!C41*(1-(N!C41/Kstar!C41)))</f>
        <v>99.723368803447983</v>
      </c>
      <c r="D41" s="74">
        <f>N!D41+($C$7*(SUM(N!C41,N!D40,N!E41,N!D42)-(4*N!D41)))+(Rstar!D41*N!D41*(1-(N!D41/Kstar!D41)))</f>
        <v>99.721449102864909</v>
      </c>
      <c r="E41" s="75">
        <f>N!E41+($C$7*(SUM(N!D41,N!E40,N!F41,N!E42)-(4*N!E41)))+(Rstar!E41*N!E41*(1-(N!E41/Kstar!E41)))</f>
        <v>99.716372713305717</v>
      </c>
      <c r="F41" s="75">
        <f>N!F41+($C$7*(SUM(N!E41,N!F40,N!G41,N!F42)-(4*N!F41)))+(Rstar!F41*N!F41*(1-(N!F41/Kstar!F41)))</f>
        <v>99.705487619173709</v>
      </c>
      <c r="G41" s="75">
        <f>N!G41+($C$7*(SUM(N!F41,N!G40,N!H41,N!G42)-(4*N!G41)))+(Rstar!G41*N!G41*(1-(N!G41/Kstar!G41)))</f>
        <v>99.701074043320077</v>
      </c>
      <c r="H41" s="75">
        <f>N!H41+($C$7*(SUM(N!G41,N!H40,N!I41,N!H42)-(4*N!H41)))+(Rstar!H41*N!H41*(1-(N!H41/Kstar!H41)))</f>
        <v>99.698907328290829</v>
      </c>
      <c r="I41" s="75">
        <f>N!I41+($C$7*(SUM(N!H41,N!I40,N!J41,N!I42)-(4*N!I41)))+(Rstar!I41*N!I41*(1-(N!I41/Kstar!I41)))</f>
        <v>99.69783772669193</v>
      </c>
      <c r="J41" s="75">
        <f>N!J41+($C$7*(SUM(N!I41,N!J40,N!K41,N!J42)-(4*N!J41)))+(Rstar!J41*N!J41*(1-(N!J41/Kstar!J41)))</f>
        <v>99.697478432981427</v>
      </c>
      <c r="K41" s="75">
        <f>N!K41+($C$7*(SUM(N!J41,N!K40,N!L41,N!K42)-(4*N!K41)))+(Rstar!K41*N!K41*(1-(N!K41/Kstar!K41)))</f>
        <v>99.705096548327319</v>
      </c>
      <c r="L41" s="109">
        <f>N!L41+($J$7*(SUM(N!K41,N!L40,N!M41,N!L42)-(4*N!L41)))+(Rstar!L41*N!L41*(1-(N!L41/Kstar!L41)))</f>
        <v>99.701074043320077</v>
      </c>
      <c r="M41" s="83">
        <f>N!M41+($J$7*(SUM(N!L41,N!M40,N!N41,N!M42)-(4*N!M41)))+(Rstar!M41*N!M41*(1-(N!M41/Kstar!M41)))</f>
        <v>99.698907328290829</v>
      </c>
      <c r="N41" s="83">
        <f>N!N41+($J$7*(SUM(N!M41,N!N40,N!O41,N!N42)-(4*N!N41)))+(Rstar!N41*N!N41*(1-(N!N41/Kstar!N41)))</f>
        <v>99.69783772669193</v>
      </c>
      <c r="O41" s="83">
        <f>N!O41+($J$7*(SUM(N!N41,N!O40,N!P41,N!O42)-(4*N!O41)))+(Rstar!O41*N!O41*(1-(N!O41/Kstar!O41)))</f>
        <v>99.69730929390974</v>
      </c>
      <c r="P41" s="150">
        <f>N!P41+($J$7*(SUM(N!O41,N!P40,N!Q41,N!P42)-(4*N!P41)))+(Rstar!P41*N!P41*(1-(N!P41/Kstar!P41)))</f>
        <v>99.697043170409628</v>
      </c>
      <c r="Q41" s="150">
        <f>N!Q41+($J$7*(SUM(N!P41,N!Q40,N!R41,N!Q42)-(4*N!Q41)))+(Rstar!Q41*N!Q41*(1-(N!Q41/Kstar!Q41)))</f>
        <v>99.696898908308185</v>
      </c>
      <c r="R41" s="150">
        <f>N!R41+($J$7*(SUM(N!Q41,N!R40,N!S41,N!R42)-(4*N!R41)))+(Rstar!R41*N!R41*(1-(N!R41/Kstar!R41)))</f>
        <v>99.696803216151707</v>
      </c>
      <c r="S41" s="150">
        <f>N!S41+($J$7*(SUM(N!R41,N!S40,N!T41,N!S42)-(4*N!S41)))+(Rstar!S41*N!S41*(1-(N!S41/Kstar!S41)))</f>
        <v>99.696714021780295</v>
      </c>
      <c r="T41" s="83">
        <f>N!T41+($J$7*(SUM(N!S41,N!T40,N!U41,N!T42)-(4*N!T41)))+(Rstar!T41*N!T41*(1-(N!T41/Kstar!T41)))</f>
        <v>99.696603490729132</v>
      </c>
      <c r="U41" s="83">
        <f>N!U41+($J$7*(SUM(N!T41,N!U40,N!V41,N!U42)-(4*N!U41)))+(Rstar!U41*N!U41*(1-(N!U41/Kstar!U41)))</f>
        <v>99.696453065090651</v>
      </c>
      <c r="V41" s="83">
        <f>N!V41+($J$7*(SUM(N!U41,N!V40,N!W41,N!V42)-(4*N!V41)))+(Rstar!V41*N!V41*(1-(N!V41/Kstar!V41)))</f>
        <v>99.696258545037509</v>
      </c>
      <c r="W41" s="83">
        <f>N!W41+($J$7*(SUM(N!V41,N!W40,N!X41,N!W42)-(4*N!W41)))+(Rstar!W41*N!W41*(1-(N!W41/Kstar!W41)))</f>
        <v>99.696041407823017</v>
      </c>
      <c r="X41" s="83">
        <f>N!X41+($J$7*(SUM(N!W41,N!X40,N!Y41,N!X42)-(4*N!X41)))+(Rstar!X41*N!X41*(1-(N!X41/Kstar!X41)))</f>
        <v>99.695847128364335</v>
      </c>
      <c r="Y41" s="83">
        <f>N!Y41+($J$7*(SUM(N!X41,N!Y40,N!Z41,N!Y42)-(4*N!Y41)))+(Rstar!Y41*N!Y41*(1-(N!Y41/Kstar!Y41)))</f>
        <v>99.695696874054363</v>
      </c>
      <c r="Z41" s="83">
        <f>N!Z41+($J$7*(SUM(N!Y41,N!Z40,N!AA41,N!Z42)-(4*N!Z41)))+(Rstar!Z41*N!Z41*(1-(N!Z41/Kstar!Z41)))</f>
        <v>99.695585309443828</v>
      </c>
      <c r="AA41" s="83">
        <f>N!AA41+($J$7*(SUM(N!Z41,N!AA40,N!AB41,N!AA42)-(4*N!AA41)))+(Rstar!AA41*N!AA41*(1-(N!AA41/Kstar!AA41)))</f>
        <v>99.695490354122626</v>
      </c>
      <c r="AB41" s="83">
        <f>N!AB41+($J$7*(SUM(N!AA41,N!AB40,N!AC41,N!AB42)-(4*N!AB41)))+(Rstar!AB41*N!AB41*(1-(N!AB41/Kstar!AB41)))</f>
        <v>99.695374104979877</v>
      </c>
      <c r="AC41" s="83">
        <f>N!AC41+($J$7*(SUM(N!AB41,N!AC40,N!AD41,N!AC42)-(4*N!AC41)))+(Rstar!AC41*N!AC41*(1-(N!AC41/Kstar!AC41)))</f>
        <v>99.695167151888882</v>
      </c>
      <c r="AD41" s="83">
        <f>N!AD41+($J$7*(SUM(N!AC41,N!AD40,N!AE41,N!AD42)-(4*N!AD41)))+(Rstar!AD41*N!AD41*(1-(N!AD41/Kstar!AD41)))</f>
        <v>99.694724448322688</v>
      </c>
      <c r="AE41" s="83">
        <f>N!AE41+($J$7*(SUM(N!AD41,N!AE40,N!AF41,N!AE42)-(4*N!AE41)))+(Rstar!AE41*N!AE41*(1-(N!AE41/Kstar!AE41)))</f>
        <v>99.693721493917124</v>
      </c>
      <c r="AF41" s="83">
        <f>N!AF41+($J$7*(SUM(N!AE41,N!AF40,N!AG41,N!AF42)-(4*N!AF41)))+(Rstar!AF41*N!AF41*(1-(N!AF41/Kstar!AF41)))</f>
        <v>99.691414818667738</v>
      </c>
      <c r="AG41" s="83">
        <f>N!AG41+($J$7*(SUM(N!AF41,N!AG40,N!AH41,N!AG42)-(4*N!AG41)))+(Rstar!AG41*N!AG41*(1-(N!AG41/Kstar!AG41)))</f>
        <v>99.686088880717094</v>
      </c>
      <c r="AH41" s="83">
        <f>N!AH41+($J$7*(SUM(N!AG41,N!AH40,N!AI41,N!AH42)-(4*N!AH41)))+(Rstar!AH41*N!AH41*(1-(N!AH41/Kstar!AH41)))</f>
        <v>99.673776793170944</v>
      </c>
      <c r="AI41" s="83">
        <f>N!AI41+($J$7*(SUM(N!AH41,N!AI40,N!AJ41,N!AI42)-(4*N!AI41)))+(Rstar!AI41*N!AI41*(1-(N!AI41/Kstar!AI41)))</f>
        <v>99.645299698602415</v>
      </c>
      <c r="AJ41" s="83">
        <f>N!AJ41+($J$7*(SUM(N!AI41,N!AJ40,N!AK41,N!AJ42)-(4*N!AJ41)))+(Rstar!AJ41*N!AJ41*(1-(N!AJ41/Kstar!AJ41)))</f>
        <v>99.579416099457546</v>
      </c>
      <c r="AK41" s="83">
        <f>N!AK41+($J$7*(SUM(N!AJ41,N!AK40,N!AL41,N!AK42)-(4*N!AK41)))+(Rstar!AK41*N!AK41*(1-(N!AK41/Kstar!AK41)))</f>
        <v>99.426987750770252</v>
      </c>
      <c r="AL41" s="83">
        <f>N!AL41+($J$7*(SUM(N!AK41,N!AL40,N!AM41,N!AL42)-(4*N!AL41)))+(Rstar!AL41*N!AL41*(1-(N!AL41/Kstar!AL41)))</f>
        <v>99.074493577433472</v>
      </c>
      <c r="AM41" s="83">
        <f>N!AM41+($J$7*(SUM(N!AL41,N!AM40,N!AN41,N!AM42)-(4*N!AM41)))+(Rstar!AM41*N!AM41*(1-(N!AM41/Kstar!AM41)))</f>
        <v>98.260579848412164</v>
      </c>
      <c r="AN41" s="83">
        <f>N!AN41+($J$7*(SUM(N!AM41,N!AN40,N!AO41,N!AN42)-(4*N!AN41)))+(Rstar!AN41*N!AN41*(1-(N!AN41/Kstar!AN41)))</f>
        <v>96.388574965211433</v>
      </c>
      <c r="AO41" s="83">
        <f>N!AO41+($J$7*(SUM(N!AN41,N!AO40,N!AP41,N!AO42)-(4*N!AO41)))+(Rstar!AO41*N!AO41*(1-(N!AO41/Kstar!AO41)))</f>
        <v>92.123276660796208</v>
      </c>
      <c r="AP41" s="83">
        <f>N!AP41+($J$7*(SUM(N!AO41,N!AP40,N!AQ41,N!AP42)-(4*N!AP41)))+(Rstar!AP41*N!AP41*(1-(N!AP41/Kstar!AP41)))</f>
        <v>82.618045587317468</v>
      </c>
      <c r="AQ41" s="83">
        <f>N!AQ41+($J$7*(SUM(N!AP41,N!AQ40,N!AR41,N!AQ42)-(4*N!AQ41)))+(Rstar!AQ41*N!AQ41*(1-(N!AQ41/Kstar!AQ41)))</f>
        <v>62.51099598821132</v>
      </c>
      <c r="AR41" s="92">
        <f>N!AR41+($X$7*(SUM(N!AQ41,N!AR40,N!AS41,N!AR42)-(4*N!AR41)))+(Rstar!AR41*N!AR41*(1-(N!AR41/Kstar!AR41)))</f>
        <v>24.932593004420848</v>
      </c>
      <c r="AS41" s="86">
        <f>N!AS41+($X$7*(SUM(N!AR41,N!AS40,N!AT41,N!AS42)-(4*N!AS41)))+(Rstar!AS41*N!AS41*(1-(N!AS41/Kstar!AS41)))</f>
        <v>15.399222935409579</v>
      </c>
      <c r="AT41" s="86">
        <f>N!AT41+($X$7*(SUM(N!AS41,N!AT40,N!AU41,N!AT42)-(4*N!AT41)))+(Rstar!AT41*N!AT41*(1-(N!AT41/Kstar!AT41)))</f>
        <v>12.148154893313631</v>
      </c>
      <c r="AU41" s="86">
        <f>N!AU41+($X$7*(SUM(N!AT41,N!AU40,N!AV41,N!AU42)-(4*N!AU41)))+(Rstar!AU41*N!AU41*(1-(N!AU41/Kstar!AU41)))</f>
        <v>10.883000708607574</v>
      </c>
      <c r="AV41" s="86">
        <f>N!AV41+($X$7*(SUM(N!AU41,N!AV40,N!AW41,N!AV42)-(4*N!AV41)))+(Rstar!AV41*N!AV41*(1-(N!AV41/Kstar!AV41)))</f>
        <v>10.361351684366349</v>
      </c>
      <c r="AW41" s="86">
        <f>N!AW41+($X$7*(SUM(N!AV41,N!AW40,N!AX41,N!AW42)-(4*N!AW41)))+(Rstar!AW41*N!AW41*(1-(N!AW41/Kstar!AW41)))</f>
        <v>10.140958096562262</v>
      </c>
      <c r="AX41" s="86">
        <f>N!AX41+($X$7*(SUM(N!AW41,N!AX40,N!AY41,N!AX42)-(4*N!AX41)))+(Rstar!AX41*N!AX41*(1-(N!AX41/Kstar!AX41)))</f>
        <v>10.047230340503246</v>
      </c>
      <c r="AY41" s="87">
        <f>N!AY41+($X$7*(SUM(N!AX41,N!AY40,N!AZ41,N!AY42)-(4*N!AY41)))+(Rstar!AY41*N!AY41*(1-(N!AY41/Kstar!AY41)))</f>
        <v>10.008113114976057</v>
      </c>
      <c r="AZ41" s="72">
        <f>N!AZ41+($X$7*(SUM(N!AY41,N!AZ40,N!AZ42)-(3*N!AZ41)))+(Rstar!AZ41*N!AZ41*(1-(N!AZ41/Kstar!AZ41)))</f>
        <v>9.9939155899887382</v>
      </c>
      <c r="BA41" s="35">
        <v>23</v>
      </c>
    </row>
    <row r="42" spans="2:53" x14ac:dyDescent="0.2">
      <c r="B42" s="34">
        <v>24</v>
      </c>
      <c r="C42" s="72">
        <f>N!C42+($X$7*(SUM(N!C41,N!D42,N!C43)-(3*N!C42)))+(Rstar!C42*N!C42*(1-(N!C42/Kstar!C42)))</f>
        <v>99.692047921434934</v>
      </c>
      <c r="D42" s="74">
        <f>N!D42+($C$7*(SUM(N!C42,N!D41,N!E42,N!D43)-(4*N!D42)))+(Rstar!D42*N!D42*(1-(N!D42/Kstar!D42)))</f>
        <v>99.690497604510853</v>
      </c>
      <c r="E42" s="75">
        <f>N!E42+($C$7*(SUM(N!D42,N!E41,N!F42,N!E43)-(4*N!E42)))+(Rstar!E42*N!E42*(1-(N!E42/Kstar!E42)))</f>
        <v>99.68603712999105</v>
      </c>
      <c r="F42" s="75">
        <f>N!F42+($C$7*(SUM(N!E42,N!F41,N!G42,N!F43)-(4*N!F42)))+(Rstar!F42*N!F42*(1-(N!F42/Kstar!F42)))</f>
        <v>99.675843894169518</v>
      </c>
      <c r="G42" s="75">
        <f>N!G42+($C$7*(SUM(N!F42,N!G41,N!H42,N!G43)-(4*N!G42)))+(Rstar!G42*N!G42*(1-(N!G42/Kstar!G42)))</f>
        <v>99.671450653696212</v>
      </c>
      <c r="H42" s="75">
        <f>N!H42+($C$7*(SUM(N!G42,N!H41,N!I42,N!H43)-(4*N!H42)))+(Rstar!H42*N!H42*(1-(N!H42/Kstar!H42)))</f>
        <v>99.669271473391234</v>
      </c>
      <c r="I42" s="75">
        <f>N!I42+($C$7*(SUM(N!H42,N!I41,N!J42,N!I43)-(4*N!I42)))+(Rstar!I42*N!I42*(1-(N!I42/Kstar!I42)))</f>
        <v>99.668185782484841</v>
      </c>
      <c r="J42" s="75">
        <f>N!J42+($C$7*(SUM(N!I42,N!J41,N!K42,N!J43)-(4*N!J42)))+(Rstar!J42*N!J42*(1-(N!J42/Kstar!J42)))</f>
        <v>99.667815351071255</v>
      </c>
      <c r="K42" s="75">
        <f>N!K42+($C$7*(SUM(N!J42,N!K41,N!L42,N!K43)-(4*N!K42)))+(Rstar!K42*N!K42*(1-(N!K42/Kstar!K42)))</f>
        <v>99.675466267928527</v>
      </c>
      <c r="L42" s="109">
        <f>N!L42+($J$7*(SUM(N!K42,N!L41,N!M42,N!L43)-(4*N!L42)))+(Rstar!L42*N!L42*(1-(N!L42/Kstar!L42)))</f>
        <v>99.671450653696212</v>
      </c>
      <c r="M42" s="83">
        <f>N!M42+($J$7*(SUM(N!L42,N!M41,N!N42,N!M43)-(4*N!M42)))+(Rstar!M42*N!M42*(1-(N!M42/Kstar!M42)))</f>
        <v>99.669271473391234</v>
      </c>
      <c r="N42" s="83">
        <f>N!N42+($J$7*(SUM(N!M42,N!N41,N!O42,N!N43)-(4*N!N42)))+(Rstar!N42*N!N42*(1-(N!N42/Kstar!N42)))</f>
        <v>99.668185782484841</v>
      </c>
      <c r="O42" s="83">
        <f>N!O42+($J$7*(SUM(N!N42,N!O41,N!P42,N!O43)-(4*N!O42)))+(Rstar!O42*N!O42*(1-(N!O42/Kstar!O42)))</f>
        <v>99.667645429880537</v>
      </c>
      <c r="P42" s="83">
        <f>N!P42+($J$7*(SUM(N!O42,N!P41,N!Q42,N!P43)-(4*N!P42)))+(Rstar!P42*N!P42*(1-(N!P42/Kstar!P42)))</f>
        <v>99.667373975654939</v>
      </c>
      <c r="Q42" s="83">
        <f>N!Q42+($J$7*(SUM(N!P42,N!Q41,N!R42,N!Q43)-(4*N!Q42)))+(Rstar!Q42*N!Q42*(1-(N!Q42/Kstar!Q42)))</f>
        <v>99.6672319679015</v>
      </c>
      <c r="R42" s="83">
        <f>N!R42+($J$7*(SUM(N!Q42,N!R41,N!S42,N!R43)-(4*N!R42)))+(Rstar!R42*N!R42*(1-(N!R42/Kstar!R42)))</f>
        <v>99.667148087557493</v>
      </c>
      <c r="S42" s="83">
        <f>N!S42+($J$7*(SUM(N!R42,N!S41,N!T42,N!S43)-(4*N!S42)))+(Rstar!S42*N!S42*(1-(N!S42/Kstar!S42)))</f>
        <v>99.667084416862622</v>
      </c>
      <c r="T42" s="83">
        <f>N!T42+($J$7*(SUM(N!S42,N!T41,N!U42,N!T43)-(4*N!T42)))+(Rstar!T42*N!T42*(1-(N!T42/Kstar!T42)))</f>
        <v>99.6670196531622</v>
      </c>
      <c r="U42" s="83">
        <f>N!U42+($J$7*(SUM(N!T42,N!U41,N!V42,N!U43)-(4*N!U42)))+(Rstar!U42*N!U42*(1-(N!U42/Kstar!U42)))</f>
        <v>99.666942350225199</v>
      </c>
      <c r="V42" s="83">
        <f>N!V42+($J$7*(SUM(N!U42,N!V41,N!W42,N!V43)-(4*N!V42)))+(Rstar!V42*N!V42*(1-(N!V42/Kstar!V42)))</f>
        <v>99.666850119091379</v>
      </c>
      <c r="W42" s="83">
        <f>N!W42+($J$7*(SUM(N!V42,N!W41,N!X42,N!W43)-(4*N!W42)))+(Rstar!W42*N!W42*(1-(N!W42/Kstar!W42)))</f>
        <v>99.666750837202571</v>
      </c>
      <c r="X42" s="83">
        <f>N!X42+($J$7*(SUM(N!W42,N!X41,N!Y42,N!X43)-(4*N!X42)))+(Rstar!X42*N!X42*(1-(N!X42/Kstar!X42)))</f>
        <v>99.666658993474073</v>
      </c>
      <c r="Y42" s="83">
        <f>N!Y42+($J$7*(SUM(N!X42,N!Y41,N!Z42,N!Y43)-(4*N!Y42)))+(Rstar!Y42*N!Y42*(1-(N!Y42/Kstar!Y42)))</f>
        <v>99.666582201597834</v>
      </c>
      <c r="Z42" s="83">
        <f>N!Z42+($J$7*(SUM(N!Y42,N!Z41,N!AA42,N!Z43)-(4*N!Z42)))+(Rstar!Z42*N!Z42*(1-(N!Z42/Kstar!Z42)))</f>
        <v>99.666517042214153</v>
      </c>
      <c r="AA42" s="83">
        <f>N!AA42+($J$7*(SUM(N!Z42,N!AA41,N!AB42,N!AA43)-(4*N!AA42)))+(Rstar!AA42*N!AA42*(1-(N!AA42/Kstar!AA42)))</f>
        <v>99.666448726839775</v>
      </c>
      <c r="AB42" s="83">
        <f>N!AB42+($J$7*(SUM(N!AA42,N!AB41,N!AC42,N!AB43)-(4*N!AB42)))+(Rstar!AB42*N!AB42*(1-(N!AB42/Kstar!AB42)))</f>
        <v>99.66634613156404</v>
      </c>
      <c r="AC42" s="83">
        <f>N!AC42+($J$7*(SUM(N!AB42,N!AC41,N!AD42,N!AC43)-(4*N!AC42)))+(Rstar!AC42*N!AC42*(1-(N!AC42/Kstar!AC42)))</f>
        <v>99.666144202791699</v>
      </c>
      <c r="AD42" s="83">
        <f>N!AD42+($J$7*(SUM(N!AC42,N!AD41,N!AE42,N!AD43)-(4*N!AD42)))+(Rstar!AD42*N!AD42*(1-(N!AD42/Kstar!AD42)))</f>
        <v>99.665699586374302</v>
      </c>
      <c r="AE42" s="83">
        <f>N!AE42+($J$7*(SUM(N!AD42,N!AE41,N!AF42,N!AE43)-(4*N!AE42)))+(Rstar!AE42*N!AE42*(1-(N!AE42/Kstar!AE42)))</f>
        <v>99.664686745687277</v>
      </c>
      <c r="AF42" s="83">
        <f>N!AF42+($J$7*(SUM(N!AE42,N!AF41,N!AG42,N!AF43)-(4*N!AF42)))+(Rstar!AF42*N!AF42*(1-(N!AF42/Kstar!AF42)))</f>
        <v>99.662357828318108</v>
      </c>
      <c r="AG42" s="83">
        <f>N!AG42+($J$7*(SUM(N!AF42,N!AG41,N!AH42,N!AG43)-(4*N!AG42)))+(Rstar!AG42*N!AG42*(1-(N!AG42/Kstar!AG42)))</f>
        <v>99.656987963400127</v>
      </c>
      <c r="AH42" s="83">
        <f>N!AH42+($J$7*(SUM(N!AG42,N!AH41,N!AI42,N!AH43)-(4*N!AH42)))+(Rstar!AH42*N!AH42*(1-(N!AH42/Kstar!AH42)))</f>
        <v>99.644593016596687</v>
      </c>
      <c r="AI42" s="83">
        <f>N!AI42+($J$7*(SUM(N!AH42,N!AI41,N!AJ42,N!AI43)-(4*N!AI42)))+(Rstar!AI42*N!AI42*(1-(N!AI42/Kstar!AI42)))</f>
        <v>99.615964298681575</v>
      </c>
      <c r="AJ42" s="83">
        <f>N!AJ42+($J$7*(SUM(N!AI42,N!AJ41,N!AK42,N!AJ43)-(4*N!AJ42)))+(Rstar!AJ42*N!AJ42*(1-(N!AJ42/Kstar!AJ42)))</f>
        <v>99.549811729678439</v>
      </c>
      <c r="AK42" s="83">
        <f>N!AK42+($J$7*(SUM(N!AJ42,N!AK41,N!AL42,N!AK43)-(4*N!AK42)))+(Rstar!AK42*N!AK42*(1-(N!AK42/Kstar!AK42)))</f>
        <v>99.39692413509745</v>
      </c>
      <c r="AL42" s="83">
        <f>N!AL42+($J$7*(SUM(N!AK42,N!AL41,N!AM42,N!AL43)-(4*N!AL42)))+(Rstar!AL42*N!AL42*(1-(N!AL42/Kstar!AL42)))</f>
        <v>99.043685585185486</v>
      </c>
      <c r="AM42" s="83">
        <f>N!AM42+($J$7*(SUM(N!AL42,N!AM41,N!AN42,N!AM43)-(4*N!AM42)))+(Rstar!AM42*N!AM42*(1-(N!AM42/Kstar!AM42)))</f>
        <v>98.228657440917047</v>
      </c>
      <c r="AN42" s="83">
        <f>N!AN42+($J$7*(SUM(N!AM42,N!AN41,N!AO42,N!AN43)-(4*N!AN42)))+(Rstar!AN42*N!AN42*(1-(N!AN42/Kstar!AN42)))</f>
        <v>96.355210227461157</v>
      </c>
      <c r="AO42" s="83">
        <f>N!AO42+($J$7*(SUM(N!AN42,N!AO41,N!AP42,N!AO43)-(4*N!AO42)))+(Rstar!AO42*N!AO42*(1-(N!AO42/Kstar!AO42)))</f>
        <v>92.088645711537808</v>
      </c>
      <c r="AP42" s="83">
        <f>N!AP42+($J$7*(SUM(N!AO42,N!AP41,N!AQ42,N!AP43)-(4*N!AP42)))+(Rstar!AP42*N!AP42*(1-(N!AP42/Kstar!AP42)))</f>
        <v>82.584097152153433</v>
      </c>
      <c r="AQ42" s="83">
        <f>N!AQ42+($J$7*(SUM(N!AP42,N!AQ41,N!AR42,N!AQ43)-(4*N!AQ42)))+(Rstar!AQ42*N!AQ42*(1-(N!AQ42/Kstar!AQ42)))</f>
        <v>62.484100504506806</v>
      </c>
      <c r="AR42" s="92">
        <f>N!AR42+($X$7*(SUM(N!AQ42,N!AR41,N!AS42,N!AR43)-(4*N!AR42)))+(Rstar!AR42*N!AR42*(1-(N!AR42/Kstar!AR42)))</f>
        <v>24.925710831102723</v>
      </c>
      <c r="AS42" s="86">
        <f>N!AS42+($X$7*(SUM(N!AR42,N!AS41,N!AT42,N!AS43)-(4*N!AS42)))+(Rstar!AS42*N!AS42*(1-(N!AS42/Kstar!AS42)))</f>
        <v>15.396319132547758</v>
      </c>
      <c r="AT42" s="86">
        <f>N!AT42+($X$7*(SUM(N!AS42,N!AT41,N!AU42,N!AT43)-(4*N!AT42)))+(Rstar!AT42*N!AT42*(1-(N!AT42/Kstar!AT42)))</f>
        <v>12.146591545367194</v>
      </c>
      <c r="AU42" s="86">
        <f>N!AU42+($X$7*(SUM(N!AT42,N!AU41,N!AV42,N!AU43)-(4*N!AU42)))+(Rstar!AU42*N!AU42*(1-(N!AU42/Kstar!AU42)))</f>
        <v>10.88208045677176</v>
      </c>
      <c r="AV42" s="86">
        <f>N!AV42+($X$7*(SUM(N!AU42,N!AV41,N!AW42,N!AV43)-(4*N!AV42)))+(Rstar!AV42*N!AV42*(1-(N!AV42/Kstar!AV42)))</f>
        <v>10.36080255549451</v>
      </c>
      <c r="AW42" s="86">
        <f>N!AW42+($X$7*(SUM(N!AV42,N!AW41,N!AX42,N!AW43)-(4*N!AW42)))+(Rstar!AW42*N!AW42*(1-(N!AW42/Kstar!AW42)))</f>
        <v>10.140634834539858</v>
      </c>
      <c r="AX42" s="86">
        <f>N!AX42+($X$7*(SUM(N!AW42,N!AX41,N!AY42,N!AX43)-(4*N!AX42)))+(Rstar!AX42*N!AX42*(1-(N!AX42/Kstar!AX42)))</f>
        <v>10.047041794031497</v>
      </c>
      <c r="AY42" s="87">
        <f>N!AY42+($X$7*(SUM(N!AX42,N!AY41,N!AZ42,N!AY43)-(4*N!AY42)))+(Rstar!AY42*N!AY42*(1-(N!AY42/Kstar!AY42)))</f>
        <v>10.007999013696322</v>
      </c>
      <c r="AZ42" s="72">
        <f>N!AZ42+($X$7*(SUM(N!AY42,N!AZ41,N!AZ43)-(3*N!AZ42)))+(Rstar!AZ42*N!AZ42*(1-(N!AZ42/Kstar!AZ42)))</f>
        <v>9.9938342565231366</v>
      </c>
      <c r="BA42" s="35">
        <v>24</v>
      </c>
    </row>
    <row r="43" spans="2:53" x14ac:dyDescent="0.2">
      <c r="B43" s="34">
        <v>25</v>
      </c>
      <c r="C43" s="72">
        <f>N!C43+($X$7*(SUM(N!C42,N!D43,N!C44)-(3*N!C43)))+(Rstar!C43*N!C43*(1-(N!C43/Kstar!C43)))</f>
        <v>99.6192828424319</v>
      </c>
      <c r="D43" s="74">
        <f>N!D43+($C$7*(SUM(N!C43,N!D42,N!E43,N!D44)-(4*N!D43)))+(Rstar!D43*N!D43*(1-(N!D43/Kstar!D43)))</f>
        <v>99.618858939433863</v>
      </c>
      <c r="E43" s="75">
        <f>N!E43+($C$7*(SUM(N!D43,N!E42,N!F43,N!E44)-(4*N!E43)))+(Rstar!E43*N!E43*(1-(N!E43/Kstar!E43)))</f>
        <v>99.616293025038715</v>
      </c>
      <c r="F43" s="75">
        <f>N!F43+($C$7*(SUM(N!E43,N!F42,N!G43,N!F44)-(4*N!F43)))+(Rstar!F43*N!F43*(1-(N!F43/Kstar!F43)))</f>
        <v>99.608290543986769</v>
      </c>
      <c r="G43" s="75">
        <f>N!G43+($C$7*(SUM(N!F43,N!G42,N!H43,N!G44)-(4*N!G43)))+(Rstar!G43*N!G43*(1-(N!G43/Kstar!G43)))</f>
        <v>99.603948117233983</v>
      </c>
      <c r="H43" s="75">
        <f>N!H43+($C$7*(SUM(N!G43,N!H42,N!I43,N!H44)-(4*N!H43)))+(Rstar!H43*N!H43*(1-(N!H43/Kstar!H43)))</f>
        <v>99.601765411988211</v>
      </c>
      <c r="I43" s="75">
        <f>N!I43+($C$7*(SUM(N!H43,N!I42,N!J43,N!I44)-(4*N!I43)))+(Rstar!I43*N!I43*(1-(N!I43/Kstar!I43)))</f>
        <v>99.600672873110796</v>
      </c>
      <c r="J43" s="75">
        <f>N!J43+($C$7*(SUM(N!I43,N!J42,N!K43,N!J44)-(4*N!J43)))+(Rstar!J43*N!J43*(1-(N!J43/Kstar!J43)))</f>
        <v>99.600296830134809</v>
      </c>
      <c r="K43" s="75">
        <f>N!K43+($C$7*(SUM(N!J43,N!K42,N!L43,N!K44)-(4*N!K43)))+(Rstar!K43*N!K43*(1-(N!K43/Kstar!K43)))</f>
        <v>99.607957528102503</v>
      </c>
      <c r="L43" s="109">
        <f>N!L43+($J$7*(SUM(N!K43,N!L42,N!M43,N!L44)-(4*N!L43)))+(Rstar!L43*N!L43*(1-(N!L43/Kstar!L43)))</f>
        <v>99.603948117233983</v>
      </c>
      <c r="M43" s="83">
        <f>N!M43+($J$7*(SUM(N!L43,N!M42,N!N43,N!M44)-(4*N!M43)))+(Rstar!M43*N!M43*(1-(N!M43/Kstar!M43)))</f>
        <v>99.601765411988211</v>
      </c>
      <c r="N43" s="83">
        <f>N!N43+($J$7*(SUM(N!M43,N!N42,N!O43,N!N44)-(4*N!N43)))+(Rstar!N43*N!N43*(1-(N!N43/Kstar!N43)))</f>
        <v>99.600672873110796</v>
      </c>
      <c r="O43" s="83">
        <f>N!O43+($J$7*(SUM(N!N43,N!O42,N!P43,N!O44)-(4*N!O43)))+(Rstar!O43*N!O43*(1-(N!O43/Kstar!O43)))</f>
        <v>99.600126654162807</v>
      </c>
      <c r="P43" s="83">
        <f>N!P43+($J$7*(SUM(N!O43,N!P42,N!Q43,N!P44)-(4*N!P43)))+(Rstar!P43*N!P43*(1-(N!P43/Kstar!P43)))</f>
        <v>99.599852361087699</v>
      </c>
      <c r="Q43" s="83">
        <f>N!Q43+($J$7*(SUM(N!P43,N!Q42,N!R43,N!Q44)-(4*N!Q43)))+(Rstar!Q43*N!Q43*(1-(N!Q43/Kstar!Q43)))</f>
        <v>99.599711636830705</v>
      </c>
      <c r="R43" s="83">
        <f>N!R43+($J$7*(SUM(N!Q43,N!R42,N!S43,N!R44)-(4*N!R43)))+(Rstar!R43*N!R43*(1-(N!R43/Kstar!R43)))</f>
        <v>99.599634389098313</v>
      </c>
      <c r="S43" s="83">
        <f>N!S43+($J$7*(SUM(N!R43,N!S42,N!T43,N!S44)-(4*N!S43)))+(Rstar!S43*N!S43*(1-(N!S43/Kstar!S43)))</f>
        <v>99.599584616606919</v>
      </c>
      <c r="T43" s="83">
        <f>N!T43+($J$7*(SUM(N!S43,N!T42,N!U43,N!T44)-(4*N!T43)))+(Rstar!T43*N!T43*(1-(N!T43/Kstar!T43)))</f>
        <v>99.599543547837015</v>
      </c>
      <c r="U43" s="83">
        <f>N!U43+($J$7*(SUM(N!T43,N!U42,N!V43,N!U44)-(4*N!U43)))+(Rstar!U43*N!U43*(1-(N!U43/Kstar!U43)))</f>
        <v>99.599501847753373</v>
      </c>
      <c r="V43" s="83">
        <f>N!V43+($J$7*(SUM(N!U43,N!V42,N!W43,N!V44)-(4*N!V43)))+(Rstar!V43*N!V43*(1-(N!V43/Kstar!V43)))</f>
        <v>99.59945650211202</v>
      </c>
      <c r="W43" s="83">
        <f>N!W43+($J$7*(SUM(N!V43,N!W42,N!X43,N!W44)-(4*N!W43)))+(Rstar!W43*N!W43*(1-(N!W43/Kstar!W43)))</f>
        <v>99.599409347795628</v>
      </c>
      <c r="X43" s="83">
        <f>N!X43+($J$7*(SUM(N!W43,N!X42,N!Y43,N!X44)-(4*N!X43)))+(Rstar!X43*N!X43*(1-(N!X43/Kstar!X43)))</f>
        <v>99.599364468662444</v>
      </c>
      <c r="Y43" s="83">
        <f>N!Y43+($J$7*(SUM(N!X43,N!Y42,N!Z43,N!Y44)-(4*N!Y43)))+(Rstar!Y43*N!Y43*(1-(N!Y43/Kstar!Y43)))</f>
        <v>99.599323439490533</v>
      </c>
      <c r="Z43" s="83">
        <f>N!Z43+($J$7*(SUM(N!Y43,N!Z42,N!AA43,N!Z44)-(4*N!Z43)))+(Rstar!Z43*N!Z43*(1-(N!Z43/Kstar!Z43)))</f>
        <v>99.599282202233823</v>
      </c>
      <c r="AA43" s="83">
        <f>N!AA43+($J$7*(SUM(N!Z43,N!AA42,N!AB43,N!AA44)-(4*N!AA43)))+(Rstar!AA43*N!AA43*(1-(N!AA43/Kstar!AA43)))</f>
        <v>99.59922799795649</v>
      </c>
      <c r="AB43" s="83">
        <f>N!AB43+($J$7*(SUM(N!AA43,N!AB42,N!AC43,N!AB44)-(4*N!AB43)))+(Rstar!AB43*N!AB43*(1-(N!AB43/Kstar!AB43)))</f>
        <v>99.599131943357136</v>
      </c>
      <c r="AC43" s="83">
        <f>N!AC43+($J$7*(SUM(N!AB43,N!AC42,N!AD43,N!AC44)-(4*N!AC43)))+(Rstar!AC43*N!AC43*(1-(N!AC43/Kstar!AC43)))</f>
        <v>99.598930061446751</v>
      </c>
      <c r="AD43" s="83">
        <f>N!AD43+($J$7*(SUM(N!AC43,N!AD42,N!AE43,N!AD44)-(4*N!AD43)))+(Rstar!AD43*N!AD43*(1-(N!AD43/Kstar!AD43)))</f>
        <v>99.598478068057105</v>
      </c>
      <c r="AE43" s="83">
        <f>N!AE43+($J$7*(SUM(N!AD43,N!AE42,N!AF43,N!AE44)-(4*N!AE43)))+(Rstar!AE43*N!AE43*(1-(N!AE43/Kstar!AE43)))</f>
        <v>99.597446447176651</v>
      </c>
      <c r="AF43" s="83">
        <f>N!AF43+($J$7*(SUM(N!AE43,N!AF42,N!AG43,N!AF44)-(4*N!AF43)))+(Rstar!AF43*N!AF43*(1-(N!AF43/Kstar!AF43)))</f>
        <v>99.595078387261466</v>
      </c>
      <c r="AG43" s="83">
        <f>N!AG43+($J$7*(SUM(N!AF43,N!AG42,N!AH43,N!AG44)-(4*N!AG43)))+(Rstar!AG43*N!AG43*(1-(N!AG43/Kstar!AG43)))</f>
        <v>99.589631506083563</v>
      </c>
      <c r="AH43" s="83">
        <f>N!AH43+($J$7*(SUM(N!AG43,N!AH42,N!AI43,N!AH44)-(4*N!AH43)))+(Rstar!AH43*N!AH43*(1-(N!AH43/Kstar!AH43)))</f>
        <v>99.577089474231386</v>
      </c>
      <c r="AI43" s="83">
        <f>N!AI43+($J$7*(SUM(N!AH43,N!AI42,N!AJ43,N!AI44)-(4*N!AI43)))+(Rstar!AI43*N!AI43*(1-(N!AI43/Kstar!AI43)))</f>
        <v>99.548187130761804</v>
      </c>
      <c r="AJ43" s="83">
        <f>N!AJ43+($J$7*(SUM(N!AI43,N!AJ42,N!AK43,N!AJ44)-(4*N!AJ43)))+(Rstar!AJ43*N!AJ43*(1-(N!AJ43/Kstar!AJ43)))</f>
        <v>99.48154063585045</v>
      </c>
      <c r="AK43" s="83">
        <f>N!AK43+($J$7*(SUM(N!AJ43,N!AK42,N!AL43,N!AK44)-(4*N!AK43)))+(Rstar!AK43*N!AK43*(1-(N!AK43/Kstar!AK43)))</f>
        <v>99.327795191410488</v>
      </c>
      <c r="AL43" s="83">
        <f>N!AL43+($J$7*(SUM(N!AK43,N!AL42,N!AM43,N!AL44)-(4*N!AL43)))+(Rstar!AL43*N!AL43*(1-(N!AL43/Kstar!AL43)))</f>
        <v>98.973144564243526</v>
      </c>
      <c r="AM43" s="83">
        <f>N!AM43+($J$7*(SUM(N!AL43,N!AM42,N!AN43,N!AM44)-(4*N!AM43)))+(Rstar!AM43*N!AM43*(1-(N!AM43/Kstar!AM43)))</f>
        <v>98.155978074857146</v>
      </c>
      <c r="AN43" s="83">
        <f>N!AN43+($J$7*(SUM(N!AM43,N!AN42,N!AO43,N!AN44)-(4*N!AN43)))+(Rstar!AN43*N!AN43*(1-(N!AN43/Kstar!AN43)))</f>
        <v>96.279761551437772</v>
      </c>
      <c r="AO43" s="83">
        <f>N!AO43+($J$7*(SUM(N!AN43,N!AO42,N!AP43,N!AO44)-(4*N!AO43)))+(Rstar!AO43*N!AO43*(1-(N!AO43/Kstar!AO43)))</f>
        <v>92.010886654346024</v>
      </c>
      <c r="AP43" s="83">
        <f>N!AP43+($J$7*(SUM(N!AO43,N!AP42,N!AQ43,N!AP44)-(4*N!AP43)))+(Rstar!AP43*N!AP43*(1-(N!AP43/Kstar!AP43)))</f>
        <v>82.508342824437491</v>
      </c>
      <c r="AQ43" s="83">
        <f>N!AQ43+($J$7*(SUM(N!AP43,N!AQ42,N!AR43,N!AQ44)-(4*N!AQ43)))+(Rstar!AQ43*N!AQ43*(1-(N!AQ43/Kstar!AQ43)))</f>
        <v>62.424344394359956</v>
      </c>
      <c r="AR43" s="92">
        <f>N!AR43+($X$7*(SUM(N!AQ43,N!AR42,N!AS43,N!AR44)-(4*N!AR43)))+(Rstar!AR43*N!AR43*(1-(N!AR43/Kstar!AR43)))</f>
        <v>24.910446139636544</v>
      </c>
      <c r="AS43" s="86">
        <f>N!AS43+($X$7*(SUM(N!AR43,N!AS42,N!AT43,N!AS44)-(4*N!AS43)))+(Rstar!AS43*N!AS43*(1-(N!AS43/Kstar!AS43)))</f>
        <v>15.389919794899242</v>
      </c>
      <c r="AT43" s="86">
        <f>N!AT43+($X$7*(SUM(N!AS43,N!AT42,N!AU43,N!AT44)-(4*N!AT43)))+(Rstar!AT43*N!AT43*(1-(N!AT43/Kstar!AT43)))</f>
        <v>12.143196053136053</v>
      </c>
      <c r="AU43" s="86">
        <f>N!AU43+($X$7*(SUM(N!AT43,N!AU42,N!AV43,N!AU44)-(4*N!AU43)))+(Rstar!AU43*N!AU43*(1-(N!AU43/Kstar!AU43)))</f>
        <v>10.880126227533376</v>
      </c>
      <c r="AV43" s="86">
        <f>N!AV43+($X$7*(SUM(N!AU43,N!AV42,N!AW43,N!AV44)-(4*N!AV43)))+(Rstar!AV43*N!AV43*(1-(N!AV43/Kstar!AV43)))</f>
        <v>10.359668693395284</v>
      </c>
      <c r="AW43" s="86">
        <f>N!AW43+($X$7*(SUM(N!AV43,N!AW42,N!AX43,N!AW44)-(4*N!AW43)))+(Rstar!AW43*N!AW43*(1-(N!AW43/Kstar!AW43)))</f>
        <v>10.139988049464423</v>
      </c>
      <c r="AX43" s="86">
        <f>N!AX43+($X$7*(SUM(N!AW43,N!AX42,N!AY43,N!AX44)-(4*N!AX43)))+(Rstar!AX43*N!AX43*(1-(N!AX43/Kstar!AX43)))</f>
        <v>10.046677214302539</v>
      </c>
      <c r="AY43" s="87">
        <f>N!AY43+($X$7*(SUM(N!AX43,N!AY42,N!AZ43,N!AY44)-(4*N!AY43)))+(Rstar!AY43*N!AY43*(1-(N!AY43/Kstar!AY43)))</f>
        <v>10.007786197818199</v>
      </c>
      <c r="AZ43" s="72">
        <f>N!AZ43+($X$7*(SUM(N!AY43,N!AZ42,N!AZ44)-(3*N!AZ43)))+(Rstar!AZ43*N!AZ43*(1-(N!AZ43/Kstar!AZ43)))</f>
        <v>9.9936869348141073</v>
      </c>
      <c r="BA43" s="35">
        <v>25</v>
      </c>
    </row>
    <row r="44" spans="2:53" x14ac:dyDescent="0.2">
      <c r="B44" s="34">
        <v>26</v>
      </c>
      <c r="C44" s="72">
        <f>N!C44+($X$7*(SUM(N!C43,N!D44,N!C45)-(3*N!C44)))+(Rstar!C44*N!C44*(1-(N!C44/Kstar!C44)))</f>
        <v>99.449517890114549</v>
      </c>
      <c r="D44" s="74">
        <f>N!D44+($C$7*(SUM(N!C44,N!D43,N!E44,N!D45)-(4*N!D44)))+(Rstar!D44*N!D44*(1-(N!D44/Kstar!D44)))</f>
        <v>99.452190120167515</v>
      </c>
      <c r="E44" s="75">
        <f>N!E44+($C$7*(SUM(N!D44,N!E43,N!F44,N!E45)-(4*N!E44)))+(Rstar!E44*N!E44*(1-(N!E44/Kstar!E44)))</f>
        <v>99.454666563731635</v>
      </c>
      <c r="F44" s="75">
        <f>N!F44+($C$7*(SUM(N!E44,N!F43,N!G44,N!F45)-(4*N!F44)))+(Rstar!F44*N!F44*(1-(N!F44/Kstar!F44)))</f>
        <v>99.452367226269814</v>
      </c>
      <c r="G44" s="75">
        <f>N!G44+($C$7*(SUM(N!F44,N!G43,N!H44,N!G45)-(4*N!G44)))+(Rstar!G44*N!G44*(1-(N!G44/Kstar!G44)))</f>
        <v>99.448149635303878</v>
      </c>
      <c r="H44" s="75">
        <f>N!H44+($C$7*(SUM(N!G44,N!H43,N!I44,N!H45)-(4*N!H44)))+(Rstar!H44*N!H44*(1-(N!H44/Kstar!H44)))</f>
        <v>99.445966159936063</v>
      </c>
      <c r="I44" s="75">
        <f>N!I44+($C$7*(SUM(N!H44,N!I43,N!J44,N!I45)-(4*N!I44)))+(Rstar!I44*N!I44*(1-(N!I44/Kstar!I44)))</f>
        <v>99.444869369678713</v>
      </c>
      <c r="J44" s="75">
        <f>N!J44+($C$7*(SUM(N!I44,N!J43,N!K44,N!J45)-(4*N!J44)))+(Rstar!J44*N!J44*(1-(N!J44/Kstar!J44)))</f>
        <v>99.444489125860471</v>
      </c>
      <c r="K44" s="75">
        <f>N!K44+($C$7*(SUM(N!J44,N!K43,N!L44,N!K45)-(4*N!K44)))+(Rstar!K44*N!K44*(1-(N!K44/Kstar!K44)))</f>
        <v>99.452150878083003</v>
      </c>
      <c r="L44" s="109">
        <f>N!L44+($J$7*(SUM(N!K44,N!L43,N!M44,N!L45)-(4*N!L44)))+(Rstar!L44*N!L44*(1-(N!L44/Kstar!L44)))</f>
        <v>99.448149635303878</v>
      </c>
      <c r="M44" s="83">
        <f>N!M44+($J$7*(SUM(N!L44,N!M43,N!N44,N!M45)-(4*N!M44)))+(Rstar!M44*N!M44*(1-(N!M44/Kstar!M44)))</f>
        <v>99.445966159936063</v>
      </c>
      <c r="N44" s="83">
        <f>N!N44+($J$7*(SUM(N!M44,N!N43,N!O44,N!N45)-(4*N!N44)))+(Rstar!N44*N!N44*(1-(N!N44/Kstar!N44)))</f>
        <v>99.444869369678713</v>
      </c>
      <c r="O44" s="83">
        <f>N!O44+($J$7*(SUM(N!N44,N!O43,N!P44,N!O45)-(4*N!O44)))+(Rstar!O44*N!O44*(1-(N!O44/Kstar!O44)))</f>
        <v>99.444318886016859</v>
      </c>
      <c r="P44" s="83">
        <f>N!P44+($J$7*(SUM(N!O44,N!P43,N!Q44,N!P45)-(4*N!P44)))+(Rstar!P44*N!P44*(1-(N!P44/Kstar!P44)))</f>
        <v>99.444042008828248</v>
      </c>
      <c r="Q44" s="83">
        <f>N!Q44+($J$7*(SUM(N!P44,N!Q43,N!R44,N!Q45)-(4*N!Q44)))+(Rstar!Q44*N!Q44*(1-(N!Q44/Kstar!Q44)))</f>
        <v>99.443901205323783</v>
      </c>
      <c r="R44" s="83">
        <f>N!R44+($J$7*(SUM(N!Q44,N!R43,N!S44,N!R45)-(4*N!R44)))+(Rstar!R44*N!R44*(1-(N!R44/Kstar!R44)))</f>
        <v>99.443827013206644</v>
      </c>
      <c r="S44" s="83">
        <f>N!S44+($J$7*(SUM(N!R44,N!S43,N!T44,N!S45)-(4*N!S44)))+(Rstar!S44*N!S44*(1-(N!S44/Kstar!S44)))</f>
        <v>99.443784198114656</v>
      </c>
      <c r="T44" s="83">
        <f>N!T44+($J$7*(SUM(N!S44,N!T43,N!U44,N!T45)-(4*N!T44)))+(Rstar!T44*N!T44*(1-(N!T44/Kstar!T44)))</f>
        <v>99.443754848604328</v>
      </c>
      <c r="U44" s="83">
        <f>N!U44+($J$7*(SUM(N!T44,N!U43,N!V44,N!U45)-(4*N!U44)))+(Rstar!U44*N!U44*(1-(N!U44/Kstar!U44)))</f>
        <v>99.443730114963259</v>
      </c>
      <c r="V44" s="83">
        <f>N!V44+($J$7*(SUM(N!U44,N!V43,N!W44,N!V45)-(4*N!V44)))+(Rstar!V44*N!V44*(1-(N!V44/Kstar!V44)))</f>
        <v>99.443706259180217</v>
      </c>
      <c r="W44" s="83">
        <f>N!W44+($J$7*(SUM(N!V44,N!W43,N!X44,N!W45)-(4*N!W44)))+(Rstar!W44*N!W44*(1-(N!W44/Kstar!W44)))</f>
        <v>99.443682514632769</v>
      </c>
      <c r="X44" s="83">
        <f>N!X44+($J$7*(SUM(N!W44,N!X43,N!Y44,N!X45)-(4*N!X44)))+(Rstar!X44*N!X44*(1-(N!X44/Kstar!X44)))</f>
        <v>99.44365915393972</v>
      </c>
      <c r="Y44" s="83">
        <f>N!Y44+($J$7*(SUM(N!X44,N!Y43,N!Z44,N!Y45)-(4*N!Y44)))+(Rstar!Y44*N!Y44*(1-(N!Y44/Kstar!Y44)))</f>
        <v>99.443635110452021</v>
      </c>
      <c r="Z44" s="83">
        <f>N!Z44+($J$7*(SUM(N!Y44,N!Z43,N!AA44,N!Z45)-(4*N!Z44)))+(Rstar!Z44*N!Z44*(1-(N!Z44/Kstar!Z44)))</f>
        <v>99.443605484002646</v>
      </c>
      <c r="AA44" s="83">
        <f>N!AA44+($J$7*(SUM(N!Z44,N!AA43,N!AB44,N!AA45)-(4*N!AA44)))+(Rstar!AA44*N!AA44*(1-(N!AA44/Kstar!AA44)))</f>
        <v>99.443557686011502</v>
      </c>
      <c r="AB44" s="83">
        <f>N!AB44+($J$7*(SUM(N!AA44,N!AB43,N!AC44,N!AB45)-(4*N!AB44)))+(Rstar!AB44*N!AB44*(1-(N!AB44/Kstar!AB44)))</f>
        <v>99.443462913719117</v>
      </c>
      <c r="AC44" s="83">
        <f>N!AC44+($J$7*(SUM(N!AB44,N!AC43,N!AD44,N!AC45)-(4*N!AC44)))+(Rstar!AC44*N!AC44*(1-(N!AC44/Kstar!AC44)))</f>
        <v>99.443256131514133</v>
      </c>
      <c r="AD44" s="83">
        <f>N!AD44+($J$7*(SUM(N!AC44,N!AD43,N!AE44,N!AD45)-(4*N!AD44)))+(Rstar!AD44*N!AD44*(1-(N!AD44/Kstar!AD44)))</f>
        <v>99.442789609928809</v>
      </c>
      <c r="AE44" s="83">
        <f>N!AE44+($J$7*(SUM(N!AD44,N!AE43,N!AF44,N!AE45)-(4*N!AE44)))+(Rstar!AE44*N!AE44*(1-(N!AE44/Kstar!AE44)))</f>
        <v>99.441725960844821</v>
      </c>
      <c r="AF44" s="83">
        <f>N!AF44+($J$7*(SUM(N!AE44,N!AF43,N!AG44,N!AF45)-(4*N!AF44)))+(Rstar!AF44*N!AF44*(1-(N!AF44/Kstar!AF44)))</f>
        <v>99.439292338400847</v>
      </c>
      <c r="AG44" s="83">
        <f>N!AG44+($J$7*(SUM(N!AF44,N!AG43,N!AH44,N!AG45)-(4*N!AG44)))+(Rstar!AG44*N!AG44*(1-(N!AG44/Kstar!AG44)))</f>
        <v>99.433715393573692</v>
      </c>
      <c r="AH44" s="83">
        <f>N!AH44+($J$7*(SUM(N!AG44,N!AH43,N!AI44,N!AH45)-(4*N!AH44)))+(Rstar!AH44*N!AH44*(1-(N!AH44/Kstar!AH44)))</f>
        <v>99.420921222598693</v>
      </c>
      <c r="AI44" s="83">
        <f>N!AI44+($J$7*(SUM(N!AH44,N!AI43,N!AJ44,N!AI45)-(4*N!AI44)))+(Rstar!AI44*N!AI44*(1-(N!AI44/Kstar!AI44)))</f>
        <v>99.391541846459305</v>
      </c>
      <c r="AJ44" s="83">
        <f>N!AJ44+($J$7*(SUM(N!AI44,N!AJ43,N!AK44,N!AJ45)-(4*N!AJ44)))+(Rstar!AJ44*N!AJ44*(1-(N!AJ44/Kstar!AJ44)))</f>
        <v>99.32401932924914</v>
      </c>
      <c r="AK44" s="83">
        <f>N!AK44+($J$7*(SUM(N!AJ44,N!AK43,N!AL44,N!AK45)-(4*N!AK44)))+(Rstar!AK44*N!AK44*(1-(N!AK44/Kstar!AK44)))</f>
        <v>99.168727131238342</v>
      </c>
      <c r="AL44" s="83">
        <f>N!AL44+($J$7*(SUM(N!AK44,N!AL43,N!AM44,N!AL45)-(4*N!AL44)))+(Rstar!AL44*N!AL44*(1-(N!AL44/Kstar!AL44)))</f>
        <v>98.811493894890333</v>
      </c>
      <c r="AM44" s="83">
        <f>N!AM44+($J$7*(SUM(N!AL44,N!AM43,N!AN44,N!AM45)-(4*N!AM44)))+(Rstar!AM44*N!AM44*(1-(N!AM44/Kstar!AM44)))</f>
        <v>97.990382408980921</v>
      </c>
      <c r="AN44" s="83">
        <f>N!AN44+($J$7*(SUM(N!AM44,N!AN43,N!AO44,N!AN45)-(4*N!AN44)))+(Rstar!AN44*N!AN44*(1-(N!AN44/Kstar!AN44)))</f>
        <v>96.109095138195528</v>
      </c>
      <c r="AO44" s="83">
        <f>N!AO44+($J$7*(SUM(N!AN44,N!AO43,N!AP44,N!AO45)-(4*N!AO44)))+(Rstar!AO44*N!AO44*(1-(N!AO44/Kstar!AO44)))</f>
        <v>91.836386082127177</v>
      </c>
      <c r="AP44" s="83">
        <f>N!AP44+($J$7*(SUM(N!AO44,N!AP43,N!AQ44,N!AP45)-(4*N!AP44)))+(Rstar!AP44*N!AP44*(1-(N!AP44/Kstar!AP44)))</f>
        <v>82.339586602397802</v>
      </c>
      <c r="AQ44" s="83">
        <f>N!AQ44+($J$7*(SUM(N!AP44,N!AQ43,N!AR44,N!AQ45)-(4*N!AQ44)))+(Rstar!AQ44*N!AQ44*(1-(N!AQ44/Kstar!AQ44)))</f>
        <v>62.291941765331906</v>
      </c>
      <c r="AR44" s="92">
        <f>N!AR44+($X$7*(SUM(N!AQ44,N!AR43,N!AS44,N!AR45)-(4*N!AR44)))+(Rstar!AR44*N!AR44*(1-(N!AR44/Kstar!AR44)))</f>
        <v>24.876681448271924</v>
      </c>
      <c r="AS44" s="86">
        <f>N!AS44+($X$7*(SUM(N!AR44,N!AS43,N!AT44,N!AS45)-(4*N!AS44)))+(Rstar!AS44*N!AS44*(1-(N!AS44/Kstar!AS44)))</f>
        <v>15.375875508898265</v>
      </c>
      <c r="AT44" s="86">
        <f>N!AT44+($X$7*(SUM(N!AS44,N!AT43,N!AU44,N!AT45)-(4*N!AT44)))+(Rstar!AT44*N!AT44*(1-(N!AT44/Kstar!AT44)))</f>
        <v>12.135877625696986</v>
      </c>
      <c r="AU44" s="86">
        <f>N!AU44+($X$7*(SUM(N!AT44,N!AU43,N!AV44,N!AU45)-(4*N!AU44)))+(Rstar!AU44*N!AU44*(1-(N!AU44/Kstar!AU44)))</f>
        <v>10.876027577284624</v>
      </c>
      <c r="AV44" s="86">
        <f>N!AV44+($X$7*(SUM(N!AU44,N!AV43,N!AW44,N!AV45)-(4*N!AV44)))+(Rstar!AV44*N!AV44*(1-(N!AV44/Kstar!AV44)))</f>
        <v>10.357367616135472</v>
      </c>
      <c r="AW44" s="86">
        <f>N!AW44+($X$7*(SUM(N!AV44,N!AW43,N!AX44,N!AW45)-(4*N!AW44)))+(Rstar!AW44*N!AW44*(1-(N!AW44/Kstar!AW44)))</f>
        <v>10.138721600372515</v>
      </c>
      <c r="AX44" s="86">
        <f>N!AX44+($X$7*(SUM(N!AW44,N!AX43,N!AY44,N!AX45)-(4*N!AX44)))+(Rstar!AX44*N!AX44*(1-(N!AX44/Kstar!AX44)))</f>
        <v>10.045989744541352</v>
      </c>
      <c r="AY44" s="87">
        <f>N!AY44+($X$7*(SUM(N!AX44,N!AY43,N!AZ44,N!AY45)-(4*N!AY44)))+(Rstar!AY44*N!AY44*(1-(N!AY44/Kstar!AY44)))</f>
        <v>10.007400311169878</v>
      </c>
      <c r="AZ44" s="72">
        <f>N!AZ44+($X$7*(SUM(N!AY44,N!AZ43,N!AZ45)-(3*N!AZ44)))+(Rstar!AZ44*N!AZ44*(1-(N!AZ44/Kstar!AZ44)))</f>
        <v>9.9934282359595965</v>
      </c>
      <c r="BA44" s="35">
        <v>26</v>
      </c>
    </row>
    <row r="45" spans="2:53" x14ac:dyDescent="0.2">
      <c r="B45" s="34">
        <v>27</v>
      </c>
      <c r="C45" s="72">
        <f>N!C45+($X$7*(SUM(N!C44,N!D45,N!C46)-(3*N!C45)))+(Rstar!C45*N!C45*(1-(N!C45/Kstar!C45)))</f>
        <v>99.052922740941696</v>
      </c>
      <c r="D45" s="74">
        <f>N!D45+($C$7*(SUM(N!C45,N!D44,N!E45,N!D46)-(4*N!D45)))+(Rstar!D45*N!D45*(1-(N!D45/Kstar!D45)))</f>
        <v>99.064127541541851</v>
      </c>
      <c r="E45" s="75">
        <f>N!E45+($C$7*(SUM(N!D45,N!E44,N!F45,N!E46)-(4*N!E45)))+(Rstar!E45*N!E45*(1-(N!E45/Kstar!E45)))</f>
        <v>99.079742913741853</v>
      </c>
      <c r="F45" s="75">
        <f>N!F45+($C$7*(SUM(N!E45,N!F44,N!G45,N!F46)-(4*N!F45)))+(Rstar!F45*N!F45*(1-(N!F45/Kstar!F45)))</f>
        <v>99.091702728177395</v>
      </c>
      <c r="G45" s="75">
        <f>N!G45+($C$7*(SUM(N!F45,N!G44,N!H45,N!G46)-(4*N!G45)))+(Rstar!G45*N!G45*(1-(N!G45/Kstar!G45)))</f>
        <v>99.087792525332361</v>
      </c>
      <c r="H45" s="75">
        <f>N!H45+($C$7*(SUM(N!G45,N!H44,N!I45,N!H46)-(4*N!H45)))+(Rstar!H45*N!H45*(1-(N!H45/Kstar!H45)))</f>
        <v>99.085609763181935</v>
      </c>
      <c r="I45" s="75">
        <f>N!I45+($C$7*(SUM(N!H45,N!I44,N!J45,N!I46)-(4*N!I45)))+(Rstar!I45*N!I45*(1-(N!I45/Kstar!I45)))</f>
        <v>99.084508269810229</v>
      </c>
      <c r="J45" s="75">
        <f>N!J45+($C$7*(SUM(N!I45,N!J44,N!K45,N!J46)-(4*N!J45)))+(Rstar!J45*N!J45*(1-(N!J45/Kstar!J45)))</f>
        <v>99.084122723664692</v>
      </c>
      <c r="K45" s="75">
        <f>N!K45+($C$7*(SUM(N!J45,N!K44,N!L45,N!K46)-(4*N!K45)))+(Rstar!K45*N!K45*(1-(N!K45/Kstar!K45)))</f>
        <v>99.091778271461052</v>
      </c>
      <c r="L45" s="109">
        <f>N!L45+($J$7*(SUM(N!K45,N!L44,N!M45,N!L46)-(4*N!L45)))+(Rstar!L45*N!L45*(1-(N!L45/Kstar!L45)))</f>
        <v>99.087792525332361</v>
      </c>
      <c r="M45" s="83">
        <f>N!M45+($J$7*(SUM(N!L45,N!M44,N!N45,N!M46)-(4*N!M45)))+(Rstar!M45*N!M45*(1-(N!M45/Kstar!M45)))</f>
        <v>99.085609763181935</v>
      </c>
      <c r="N45" s="83">
        <f>N!N45+($J$7*(SUM(N!M45,N!N44,N!O45,N!N46)-(4*N!N45)))+(Rstar!N45*N!N45*(1-(N!N45/Kstar!N45)))</f>
        <v>99.084508269810229</v>
      </c>
      <c r="O45" s="83">
        <f>N!O45+($J$7*(SUM(N!N45,N!O44,N!P45,N!O46)-(4*N!O45)))+(Rstar!O45*N!O45*(1-(N!O45/Kstar!O45)))</f>
        <v>99.083952558362682</v>
      </c>
      <c r="P45" s="83">
        <f>N!P45+($J$7*(SUM(N!O45,N!P44,N!Q45,N!P46)-(4*N!P45)))+(Rstar!P45*N!P45*(1-(N!P45/Kstar!P45)))</f>
        <v>99.083671870392621</v>
      </c>
      <c r="Q45" s="83">
        <f>N!Q45+($J$7*(SUM(N!P45,N!Q44,N!R45,N!Q46)-(4*N!Q45)))+(Rstar!Q45*N!Q45*(1-(N!Q45/Kstar!Q45)))</f>
        <v>99.083529303156041</v>
      </c>
      <c r="R45" s="83">
        <f>N!R45+($J$7*(SUM(N!Q45,N!R44,N!S45,N!R46)-(4*N!R45)))+(Rstar!R45*N!R45*(1-(N!R45/Kstar!R45)))</f>
        <v>99.083455587853422</v>
      </c>
      <c r="S45" s="83">
        <f>N!S45+($J$7*(SUM(N!R45,N!S44,N!T45,N!S46)-(4*N!S45)))+(Rstar!S45*N!S45*(1-(N!S45/Kstar!S45)))</f>
        <v>99.083415626923468</v>
      </c>
      <c r="T45" s="83">
        <f>N!T45+($J$7*(SUM(N!S45,N!T44,N!U45,N!T46)-(4*N!T45)))+(Rstar!T45*N!T45*(1-(N!T45/Kstar!T45)))</f>
        <v>99.08339164162048</v>
      </c>
      <c r="U45" s="83">
        <f>N!U45+($J$7*(SUM(N!T45,N!U44,N!V45,N!U46)-(4*N!U45)))+(Rstar!U45*N!U45*(1-(N!U45/Kstar!U45)))</f>
        <v>99.083374733547871</v>
      </c>
      <c r="V45" s="83">
        <f>N!V45+($J$7*(SUM(N!U45,N!V44,N!W45,N!V46)-(4*N!V45)))+(Rstar!V45*N!V45*(1-(N!V45/Kstar!V45)))</f>
        <v>99.083360641319757</v>
      </c>
      <c r="W45" s="83">
        <f>N!W45+($J$7*(SUM(N!V45,N!W44,N!X45,N!W46)-(4*N!W45)))+(Rstar!W45*N!W45*(1-(N!W45/Kstar!W45)))</f>
        <v>99.083347429482131</v>
      </c>
      <c r="X45" s="83">
        <f>N!X45+($J$7*(SUM(N!W45,N!X44,N!Y45,N!X46)-(4*N!X45)))+(Rstar!X45*N!X45*(1-(N!X45/Kstar!X45)))</f>
        <v>99.083333830622465</v>
      </c>
      <c r="Y45" s="83">
        <f>N!Y45+($J$7*(SUM(N!X45,N!Y44,N!Z45,N!Y46)-(4*N!Y45)))+(Rstar!Y45*N!Y45*(1-(N!Y45/Kstar!Y45)))</f>
        <v>99.083317535040209</v>
      </c>
      <c r="Z45" s="83">
        <f>N!Z45+($J$7*(SUM(N!Y45,N!Z44,N!AA45,N!Z46)-(4*N!Z45)))+(Rstar!Z45*N!Z45*(1-(N!Z45/Kstar!Z45)))</f>
        <v>99.083292901018098</v>
      </c>
      <c r="AA45" s="83">
        <f>N!AA45+($J$7*(SUM(N!Z45,N!AA44,N!AB45,N!AA46)-(4*N!AA45)))+(Rstar!AA45*N!AA45*(1-(N!AA45/Kstar!AA45)))</f>
        <v>99.083246742253081</v>
      </c>
      <c r="AB45" s="83">
        <f>N!AB45+($J$7*(SUM(N!AA45,N!AB44,N!AC45,N!AB46)-(4*N!AB45)))+(Rstar!AB45*N!AB45*(1-(N!AB45/Kstar!AB45)))</f>
        <v>99.083149084959132</v>
      </c>
      <c r="AC45" s="83">
        <f>N!AC45+($J$7*(SUM(N!AB45,N!AC44,N!AD45,N!AC46)-(4*N!AC45)))+(Rstar!AC45*N!AC45*(1-(N!AC45/Kstar!AC45)))</f>
        <v>99.082932060412503</v>
      </c>
      <c r="AD45" s="83">
        <f>N!AD45+($J$7*(SUM(N!AC45,N!AD44,N!AE45,N!AD46)-(4*N!AD45)))+(Rstar!AD45*N!AD45*(1-(N!AD45/Kstar!AD45)))</f>
        <v>99.082441605484419</v>
      </c>
      <c r="AE45" s="83">
        <f>N!AE45+($J$7*(SUM(N!AD45,N!AE44,N!AF45,N!AE46)-(4*N!AE45)))+(Rstar!AE45*N!AE45*(1-(N!AE45/Kstar!AE45)))</f>
        <v>99.081327089398869</v>
      </c>
      <c r="AF45" s="83">
        <f>N!AF45+($J$7*(SUM(N!AE45,N!AF44,N!AG45,N!AF46)-(4*N!AF45)))+(Rstar!AF45*N!AF45*(1-(N!AF45/Kstar!AF45)))</f>
        <v>99.078789084799098</v>
      </c>
      <c r="AG45" s="83">
        <f>N!AG45+($J$7*(SUM(N!AF45,N!AG44,N!AH45,N!AG46)-(4*N!AG45)))+(Rstar!AG45*N!AG45*(1-(N!AG45/Kstar!AG45)))</f>
        <v>99.073002480927542</v>
      </c>
      <c r="AH45" s="83">
        <f>N!AH45+($J$7*(SUM(N!AG45,N!AH44,N!AI45,N!AH46)-(4*N!AH45)))+(Rstar!AH45*N!AH45*(1-(N!AH45/Kstar!AH45)))</f>
        <v>99.059795620423714</v>
      </c>
      <c r="AI45" s="83">
        <f>N!AI45+($J$7*(SUM(N!AH45,N!AI44,N!AJ45,N!AI46)-(4*N!AI45)))+(Rstar!AI45*N!AI45*(1-(N!AI45/Kstar!AI45)))</f>
        <v>99.029622810272684</v>
      </c>
      <c r="AJ45" s="83">
        <f>N!AJ45+($J$7*(SUM(N!AI45,N!AJ44,N!AK45,N!AJ46)-(4*N!AJ45)))+(Rstar!AJ45*N!AJ45*(1-(N!AJ45/Kstar!AJ45)))</f>
        <v>98.960619860544625</v>
      </c>
      <c r="AK45" s="83">
        <f>N!AK45+($J$7*(SUM(N!AJ45,N!AK44,N!AL45,N!AK46)-(4*N!AK45)))+(Rstar!AK45*N!AK45*(1-(N!AK45/Kstar!AK45)))</f>
        <v>98.802675249283595</v>
      </c>
      <c r="AL45" s="83">
        <f>N!AL45+($J$7*(SUM(N!AK45,N!AL44,N!AM45,N!AL46)-(4*N!AL45)))+(Rstar!AL45*N!AL45*(1-(N!AL45/Kstar!AL45)))</f>
        <v>98.440963765858072</v>
      </c>
      <c r="AM45" s="83">
        <f>N!AM45+($J$7*(SUM(N!AL45,N!AM44,N!AN45,N!AM46)-(4*N!AM45)))+(Rstar!AM45*N!AM45*(1-(N!AM45/Kstar!AM45)))</f>
        <v>97.612996456265805</v>
      </c>
      <c r="AN45" s="83">
        <f>N!AN45+($J$7*(SUM(N!AM45,N!AN44,N!AO45,N!AN46)-(4*N!AN45)))+(Rstar!AN45*N!AN45*(1-(N!AN45/Kstar!AN45)))</f>
        <v>95.723121209686909</v>
      </c>
      <c r="AO45" s="83">
        <f>N!AO45+($J$7*(SUM(N!AN45,N!AO44,N!AP45,N!AO46)-(4*N!AO45)))+(Rstar!AO45*N!AO45*(1-(N!AO45/Kstar!AO45)))</f>
        <v>91.445247408394366</v>
      </c>
      <c r="AP45" s="83">
        <f>N!AP45+($J$7*(SUM(N!AO45,N!AP44,N!AQ45,N!AP46)-(4*N!AP45)))+(Rstar!AP45*N!AP45*(1-(N!AP45/Kstar!AP45)))</f>
        <v>81.964637075351561</v>
      </c>
      <c r="AQ45" s="83">
        <f>N!AQ45+($J$7*(SUM(N!AP45,N!AQ44,N!AR45,N!AQ46)-(4*N!AQ45)))+(Rstar!AQ45*N!AQ45*(1-(N!AQ45/Kstar!AQ45)))</f>
        <v>61.999764681922578</v>
      </c>
      <c r="AR45" s="92">
        <f>N!AR45+($X$7*(SUM(N!AQ45,N!AR44,N!AS45,N!AR46)-(4*N!AR45)))+(Rstar!AR45*N!AR45*(1-(N!AR45/Kstar!AR45)))</f>
        <v>24.802273024046716</v>
      </c>
      <c r="AS45" s="86">
        <f>N!AS45+($X$7*(SUM(N!AR45,N!AS44,N!AT45,N!AS46)-(4*N!AS45)))+(Rstar!AS45*N!AS45*(1-(N!AS45/Kstar!AS45)))</f>
        <v>15.345230564243021</v>
      </c>
      <c r="AT45" s="86">
        <f>N!AT45+($X$7*(SUM(N!AS45,N!AT44,N!AU45,N!AT46)-(4*N!AT45)))+(Rstar!AT45*N!AT45*(1-(N!AT45/Kstar!AT45)))</f>
        <v>12.120273281653128</v>
      </c>
      <c r="AU45" s="86">
        <f>N!AU45+($X$7*(SUM(N!AT45,N!AU44,N!AV45,N!AU46)-(4*N!AU45)))+(Rstar!AU45*N!AU45*(1-(N!AU45/Kstar!AU45)))</f>
        <v>10.86757701630281</v>
      </c>
      <c r="AV45" s="86">
        <f>N!AV45+($X$7*(SUM(N!AU45,N!AV44,N!AW45,N!AV46)-(4*N!AV45)))+(Rstar!AV45*N!AV45*(1-(N!AV45/Kstar!AV45)))</f>
        <v>10.352804175939989</v>
      </c>
      <c r="AW45" s="86">
        <f>N!AW45+($X$7*(SUM(N!AV45,N!AW44,N!AX45,N!AW46)-(4*N!AW45)))+(Rstar!AW45*N!AW45*(1-(N!AW45/Kstar!AW45)))</f>
        <v>10.13631019241412</v>
      </c>
      <c r="AX45" s="86">
        <f>N!AX45+($X$7*(SUM(N!AW45,N!AX44,N!AY45,N!AX46)-(4*N!AX45)))+(Rstar!AX45*N!AX45*(1-(N!AX45/Kstar!AX45)))</f>
        <v>10.044733889808768</v>
      </c>
      <c r="AY45" s="87">
        <f>N!AY45+($X$7*(SUM(N!AX45,N!AY44,N!AZ45,N!AY46)-(4*N!AY45)))+(Rstar!AY45*N!AY45*(1-(N!AY45/Kstar!AY45)))</f>
        <v>10.006724480433828</v>
      </c>
      <c r="AZ45" s="72">
        <f>N!AZ45+($X$7*(SUM(N!AY45,N!AZ44,N!AZ46)-(3*N!AZ45)))+(Rstar!AZ45*N!AZ45*(1-(N!AZ45/Kstar!AZ45)))</f>
        <v>9.992990621473913</v>
      </c>
      <c r="BA45" s="35">
        <v>27</v>
      </c>
    </row>
    <row r="46" spans="2:53" x14ac:dyDescent="0.2">
      <c r="B46" s="34">
        <v>28</v>
      </c>
      <c r="C46" s="72">
        <f>N!C46+($X$7*(SUM(N!C45,N!D46,N!C47)-(3*N!C46)))+(Rstar!C46*N!C46*(1-(N!C46/Kstar!C46)))</f>
        <v>98.126541478777625</v>
      </c>
      <c r="D46" s="74">
        <f>N!D46+($C$7*(SUM(N!C46,N!D45,N!E46,N!D47)-(4*N!D46)))+(Rstar!D46*N!D46*(1-(N!D46/Kstar!D46)))</f>
        <v>98.161944831222399</v>
      </c>
      <c r="E46" s="75">
        <f>N!E46+($C$7*(SUM(N!D46,N!E45,N!F46,N!E47)-(4*N!E46)))+(Rstar!E46*N!E46*(1-(N!E46/Kstar!E46)))</f>
        <v>98.211711669976737</v>
      </c>
      <c r="F46" s="75">
        <f>N!F46+($C$7*(SUM(N!E46,N!F45,N!G46,N!F47)-(4*N!F46)))+(Rstar!F46*N!F46*(1-(N!F46/Kstar!F46)))</f>
        <v>98.258431124486989</v>
      </c>
      <c r="G46" s="75">
        <f>N!G46+($C$7*(SUM(N!F46,N!G45,N!H46,N!G47)-(4*N!G46)))+(Rstar!G46*N!G46*(1-(N!G46/Kstar!G46)))</f>
        <v>98.255265590257792</v>
      </c>
      <c r="H46" s="75">
        <f>N!H46+($C$7*(SUM(N!G46,N!H45,N!I46,N!H47)-(4*N!H46)))+(Rstar!H46*N!H46*(1-(N!H46/Kstar!H46)))</f>
        <v>98.253086579402648</v>
      </c>
      <c r="I46" s="75">
        <f>N!I46+($C$7*(SUM(N!H46,N!I45,N!J46,N!I47)-(4*N!I46)))+(Rstar!I46*N!I46*(1-(N!I46/Kstar!I46)))</f>
        <v>98.251978631526981</v>
      </c>
      <c r="J46" s="75">
        <f>N!J46+($C$7*(SUM(N!I46,N!J45,N!K46,N!J47)-(4*N!J46)))+(Rstar!J46*N!J46*(1-(N!J46/Kstar!J46)))</f>
        <v>98.251584930348656</v>
      </c>
      <c r="K46" s="75">
        <f>N!K46+($C$7*(SUM(N!J46,N!K45,N!L46,N!K47)-(4*N!K46)))+(Rstar!K46*N!K46*(1-(N!K46/Kstar!K46)))</f>
        <v>98.25921836786469</v>
      </c>
      <c r="L46" s="109">
        <f>N!L46+($J$7*(SUM(N!K46,N!L45,N!M46,N!L47)-(4*N!L46)))+(Rstar!L46*N!L46*(1-(N!L46/Kstar!L46)))</f>
        <v>98.255265590257792</v>
      </c>
      <c r="M46" s="83">
        <f>N!M46+($J$7*(SUM(N!L46,N!M45,N!N46,N!M47)-(4*N!M46)))+(Rstar!M46*N!M46*(1-(N!M46/Kstar!M46)))</f>
        <v>98.253086579402648</v>
      </c>
      <c r="N46" s="83">
        <f>N!N46+($J$7*(SUM(N!M46,N!N45,N!O46,N!N47)-(4*N!N46)))+(Rstar!N46*N!N46*(1-(N!N46/Kstar!N46)))</f>
        <v>98.251978631526981</v>
      </c>
      <c r="O46" s="83">
        <f>N!O46+($J$7*(SUM(N!N46,N!O45,N!P46,N!O47)-(4*N!O46)))+(Rstar!O46*N!O46*(1-(N!O46/Kstar!O46)))</f>
        <v>98.251415153183586</v>
      </c>
      <c r="P46" s="83">
        <f>N!P46+($J$7*(SUM(N!O46,N!P45,N!Q46,N!P47)-(4*N!P46)))+(Rstar!P46*N!P46*(1-(N!P46/Kstar!P46)))</f>
        <v>98.251128385838982</v>
      </c>
      <c r="Q46" s="83">
        <f>N!Q46+($J$7*(SUM(N!P46,N!Q45,N!R46,N!Q47)-(4*N!Q46)))+(Rstar!Q46*N!Q46*(1-(N!Q46/Kstar!Q46)))</f>
        <v>98.250982057981389</v>
      </c>
      <c r="R46" s="83">
        <f>N!R46+($J$7*(SUM(N!Q46,N!R45,N!S46,N!R47)-(4*N!R46)))+(Rstar!R46*N!R46*(1-(N!R46/Kstar!R46)))</f>
        <v>98.250906759584424</v>
      </c>
      <c r="S46" s="83">
        <f>N!S46+($J$7*(SUM(N!R46,N!S45,N!T46,N!S47)-(4*N!S46)))+(Rstar!S46*N!S46*(1-(N!S46/Kstar!S46)))</f>
        <v>98.250867110551198</v>
      </c>
      <c r="T46" s="83">
        <f>N!T46+($J$7*(SUM(N!S46,N!T45,N!U46,N!T47)-(4*N!T46)))+(Rstar!T46*N!T46*(1-(N!T46/Kstar!T46)))</f>
        <v>98.250845077449128</v>
      </c>
      <c r="U46" s="83">
        <f>N!U46+($J$7*(SUM(N!T46,N!U45,N!V46,N!U47)-(4*N!U46)))+(Rstar!U46*N!U46*(1-(N!U46/Kstar!U46)))</f>
        <v>98.250831490757633</v>
      </c>
      <c r="V46" s="83">
        <f>N!V46+($J$7*(SUM(N!U46,N!V45,N!W46,N!V47)-(4*N!V46)))+(Rstar!V46*N!V46*(1-(N!V46/Kstar!V46)))</f>
        <v>98.250821685787614</v>
      </c>
      <c r="W46" s="83">
        <f>N!W46+($J$7*(SUM(N!V46,N!W45,N!X46,N!W47)-(4*N!W46)))+(Rstar!W46*N!W46*(1-(N!W46/Kstar!W46)))</f>
        <v>98.250813124308849</v>
      </c>
      <c r="X46" s="83">
        <f>N!X46+($J$7*(SUM(N!W46,N!X45,N!Y46,N!X47)-(4*N!X46)))+(Rstar!X46*N!X46*(1-(N!X46/Kstar!X46)))</f>
        <v>98.250803807513208</v>
      </c>
      <c r="Y46" s="83">
        <f>N!Y46+($J$7*(SUM(N!X46,N!Y45,N!Z46,N!Y47)-(4*N!Y46)))+(Rstar!Y46*N!Y46*(1-(N!Y46/Kstar!Y46)))</f>
        <v>98.250790715654603</v>
      </c>
      <c r="Z46" s="83">
        <f>N!Z46+($J$7*(SUM(N!Y46,N!Z45,N!AA46,N!Z47)-(4*N!Z46)))+(Rstar!Z46*N!Z46*(1-(N!Z46/Kstar!Z46)))</f>
        <v>98.250767489016354</v>
      </c>
      <c r="AA46" s="83">
        <f>N!AA46+($J$7*(SUM(N!Z46,N!AA45,N!AB46,N!AA47)-(4*N!AA46)))+(Rstar!AA46*N!AA46*(1-(N!AA46/Kstar!AA46)))</f>
        <v>98.250719878165881</v>
      </c>
      <c r="AB46" s="83">
        <f>N!AB46+($J$7*(SUM(N!AA46,N!AB45,N!AC46,N!AB47)-(4*N!AB46)))+(Rstar!AB46*N!AB46*(1-(N!AB46/Kstar!AB46)))</f>
        <v>98.25061576713972</v>
      </c>
      <c r="AC46" s="83">
        <f>N!AC46+($J$7*(SUM(N!AB46,N!AC45,N!AD46,N!AC47)-(4*N!AC46)))+(Rstar!AC46*N!AC46*(1-(N!AC46/Kstar!AC46)))</f>
        <v>98.250382671624777</v>
      </c>
      <c r="AD46" s="83">
        <f>N!AD46+($J$7*(SUM(N!AC46,N!AD45,N!AE46,N!AD47)-(4*N!AD46)))+(Rstar!AD46*N!AD46*(1-(N!AD46/Kstar!AD46)))</f>
        <v>98.249856747777713</v>
      </c>
      <c r="AE46" s="83">
        <f>N!AE46+($J$7*(SUM(N!AD46,N!AE45,N!AF46,N!AE47)-(4*N!AE46)))+(Rstar!AE46*N!AE46*(1-(N!AE46/Kstar!AE46)))</f>
        <v>98.248667158930374</v>
      </c>
      <c r="AF46" s="83">
        <f>N!AF46+($J$7*(SUM(N!AE46,N!AF45,N!AG46,N!AF47)-(4*N!AF46)))+(Rstar!AF46*N!AF46*(1-(N!AF46/Kstar!AF46)))</f>
        <v>98.245973688726139</v>
      </c>
      <c r="AG46" s="83">
        <f>N!AG46+($J$7*(SUM(N!AF46,N!AG45,N!AH46,N!AG47)-(4*N!AG46)))+(Rstar!AG46*N!AG46*(1-(N!AG46/Kstar!AG46)))</f>
        <v>98.239870813761513</v>
      </c>
      <c r="AH46" s="83">
        <f>N!AH46+($J$7*(SUM(N!AG46,N!AH45,N!AI46,N!AH47)-(4*N!AH46)))+(Rstar!AH46*N!AH46*(1-(N!AH46/Kstar!AH46)))</f>
        <v>98.226032800184626</v>
      </c>
      <c r="AI46" s="83">
        <f>N!AI46+($J$7*(SUM(N!AH46,N!AI45,N!AJ46,N!AI47)-(4*N!AI46)))+(Rstar!AI46*N!AI46*(1-(N!AI46/Kstar!AI46)))</f>
        <v>98.194629802968691</v>
      </c>
      <c r="AJ46" s="83">
        <f>N!AJ46+($J$7*(SUM(N!AI46,N!AJ45,N!AK46,N!AJ47)-(4*N!AJ46)))+(Rstar!AJ46*N!AJ46*(1-(N!AJ46/Kstar!AJ46)))</f>
        <v>98.123302190936371</v>
      </c>
      <c r="AK46" s="83">
        <f>N!AK46+($J$7*(SUM(N!AJ46,N!AK45,N!AL46,N!AK47)-(4*N!AK46)))+(Rstar!AK46*N!AK46*(1-(N!AK46/Kstar!AK46)))</f>
        <v>97.961151007027439</v>
      </c>
      <c r="AL46" s="83">
        <f>N!AL46+($J$7*(SUM(N!AK46,N!AL45,N!AM46,N!AL47)-(4*N!AL46)))+(Rstar!AL46*N!AL46*(1-(N!AL46/Kstar!AL46)))</f>
        <v>97.592313704951536</v>
      </c>
      <c r="AM46" s="83">
        <f>N!AM46+($J$7*(SUM(N!AL46,N!AM45,N!AN46,N!AM47)-(4*N!AM46)))+(Rstar!AM46*N!AM46*(1-(N!AM46/Kstar!AM46)))</f>
        <v>96.753587783808612</v>
      </c>
      <c r="AN46" s="83">
        <f>N!AN46+($J$7*(SUM(N!AM46,N!AN45,N!AO46,N!AN47)-(4*N!AN46)))+(Rstar!AN46*N!AN46*(1-(N!AN46/Kstar!AN46)))</f>
        <v>94.851205820716757</v>
      </c>
      <c r="AO46" s="83">
        <f>N!AO46+($J$7*(SUM(N!AN46,N!AO45,N!AP46,N!AO47)-(4*N!AO46)))+(Rstar!AO46*N!AO46*(1-(N!AO46/Kstar!AO46)))</f>
        <v>90.570473308826877</v>
      </c>
      <c r="AP46" s="83">
        <f>N!AP46+($J$7*(SUM(N!AO46,N!AP45,N!AQ46,N!AP47)-(4*N!AP46)))+(Rstar!AP46*N!AP46*(1-(N!AP46/Kstar!AP46)))</f>
        <v>81.134929076822218</v>
      </c>
      <c r="AQ46" s="83">
        <f>N!AQ46+($J$7*(SUM(N!AP46,N!AQ45,N!AR46,N!AQ47)-(4*N!AQ46)))+(Rstar!AQ46*N!AQ46*(1-(N!AQ46/Kstar!AQ46)))</f>
        <v>61.358903112100677</v>
      </c>
      <c r="AR46" s="92">
        <f>N!AR46+($X$7*(SUM(N!AQ46,N!AR45,N!AS46,N!AR47)-(4*N!AR46)))+(Rstar!AR46*N!AR46*(1-(N!AR46/Kstar!AR46)))</f>
        <v>24.639113091956922</v>
      </c>
      <c r="AS46" s="86">
        <f>N!AS46+($X$7*(SUM(N!AR46,N!AS45,N!AT46,N!AS47)-(4*N!AS46)))+(Rstar!AS46*N!AS46*(1-(N!AS46/Kstar!AS46)))</f>
        <v>15.278912477162802</v>
      </c>
      <c r="AT46" s="86">
        <f>N!AT46+($X$7*(SUM(N!AS46,N!AT45,N!AU46,N!AT47)-(4*N!AT46)))+(Rstar!AT46*N!AT46*(1-(N!AT46/Kstar!AT46)))</f>
        <v>12.087517171257423</v>
      </c>
      <c r="AU46" s="86">
        <f>N!AU46+($X$7*(SUM(N!AT46,N!AU45,N!AV46,N!AU47)-(4*N!AU46)))+(Rstar!AU46*N!AU46*(1-(N!AU46/Kstar!AU46)))</f>
        <v>10.850564926499962</v>
      </c>
      <c r="AV46" s="86">
        <f>N!AV46+($X$7*(SUM(N!AU46,N!AV45,N!AW46,N!AV47)-(4*N!AV46)))+(Rstar!AV46*N!AV46*(1-(N!AV46/Kstar!AV46)))</f>
        <v>10.344030599762123</v>
      </c>
      <c r="AW46" s="86">
        <f>N!AW46+($X$7*(SUM(N!AV46,N!AW45,N!AX46,N!AW47)-(4*N!AW46)))+(Rstar!AW46*N!AW46*(1-(N!AW46/Kstar!AW46)))</f>
        <v>10.131883040543389</v>
      </c>
      <c r="AX46" s="86">
        <f>N!AX46+($X$7*(SUM(N!AW46,N!AX45,N!AY46,N!AX47)-(4*N!AX46)))+(Rstar!AX46*N!AX46*(1-(N!AX46/Kstar!AX46)))</f>
        <v>10.042530084926602</v>
      </c>
      <c r="AY46" s="87">
        <f>N!AY46+($X$7*(SUM(N!AX46,N!AY45,N!AZ46,N!AY47)-(4*N!AY46)))+(Rstar!AY46*N!AY46*(1-(N!AY46/Kstar!AY46)))</f>
        <v>10.005590410587105</v>
      </c>
      <c r="AZ46" s="72">
        <f>N!AZ46+($X$7*(SUM(N!AY46,N!AZ45,N!AZ47)-(3*N!AZ46)))+(Rstar!AZ46*N!AZ46*(1-(N!AZ46/Kstar!AZ46)))</f>
        <v>9.9922829080902176</v>
      </c>
      <c r="BA46" s="35">
        <v>28</v>
      </c>
    </row>
    <row r="47" spans="2:53" x14ac:dyDescent="0.2">
      <c r="B47" s="34">
        <v>29</v>
      </c>
      <c r="C47" s="72">
        <f>N!C47+($X$7*(SUM(N!C46,N!D47,N!C48)-(3*N!C47)))+(Rstar!C47*N!C47*(1-(N!C47/Kstar!C47)))</f>
        <v>95.967622438251468</v>
      </c>
      <c r="D47" s="74">
        <f>N!D47+($C$7*(SUM(N!C47,N!D46,N!E47,N!D48)-(4*N!D47)))+(Rstar!D47*N!D47*(1-(N!D47/Kstar!D47)))</f>
        <v>96.07455800589922</v>
      </c>
      <c r="E47" s="75">
        <f>N!E47+($C$7*(SUM(N!D47,N!E46,N!F47,N!E48)-(4*N!E47)))+(Rstar!E47*N!E47*(1-(N!E47/Kstar!E47)))</f>
        <v>96.212746002859873</v>
      </c>
      <c r="F47" s="75">
        <f>N!F47+($C$7*(SUM(N!E47,N!F46,N!G47,N!F48)-(4*N!F47)))+(Rstar!F47*N!F47*(1-(N!F47/Kstar!F47)))</f>
        <v>96.341109780953673</v>
      </c>
      <c r="G47" s="75">
        <f>N!G47+($C$7*(SUM(N!F47,N!G46,N!H47,N!G48)-(4*N!G47)))+(Rstar!G47*N!G47*(1-(N!G47/Kstar!G47)))</f>
        <v>96.339688303283893</v>
      </c>
      <c r="H47" s="75">
        <f>N!H47+($C$7*(SUM(N!G47,N!H46,N!I47,N!H48)-(4*N!H47)))+(Rstar!H47*N!H47*(1-(N!H47/Kstar!H47)))</f>
        <v>96.337523280646209</v>
      </c>
      <c r="I47" s="75">
        <f>N!I47+($C$7*(SUM(N!H47,N!I46,N!J47,N!I48)-(4*N!I47)))+(Rstar!I47*N!I47*(1-(N!I47/Kstar!I47)))</f>
        <v>96.336408866433672</v>
      </c>
      <c r="J47" s="75">
        <f>N!J47+($C$7*(SUM(N!I47,N!J46,N!K47,N!J48)-(4*N!J47)))+(Rstar!J47*N!J47*(1-(N!J47/Kstar!J47)))</f>
        <v>96.336003660077225</v>
      </c>
      <c r="K47" s="75">
        <f>N!K47+($C$7*(SUM(N!J47,N!K46,N!L47,N!K48)-(4*N!K47)))+(Rstar!K47*N!K47*(1-(N!K47/Kstar!K47)))</f>
        <v>96.343569035357575</v>
      </c>
      <c r="L47" s="109">
        <f>N!L47+($J$7*(SUM(N!K47,N!L46,N!M47,N!L48)-(4*N!L47)))+(Rstar!L47*N!L47*(1-(N!L47/Kstar!L47)))</f>
        <v>96.339688303283893</v>
      </c>
      <c r="M47" s="83">
        <f>N!M47+($J$7*(SUM(N!L47,N!M46,N!N47,N!M48)-(4*N!M47)))+(Rstar!M47*N!M47*(1-(N!M47/Kstar!M47)))</f>
        <v>96.337523280646209</v>
      </c>
      <c r="N47" s="83">
        <f>N!N47+($J$7*(SUM(N!M47,N!N46,N!O47,N!N48)-(4*N!N47)))+(Rstar!N47*N!N47*(1-(N!N47/Kstar!N47)))</f>
        <v>96.336408866433672</v>
      </c>
      <c r="O47" s="83">
        <f>N!O47+($J$7*(SUM(N!N47,N!O46,N!P47,N!O48)-(4*N!O47)))+(Rstar!O47*N!O47*(1-(N!O47/Kstar!O47)))</f>
        <v>96.335835243355234</v>
      </c>
      <c r="P47" s="83">
        <f>N!P47+($J$7*(SUM(N!O47,N!P46,N!Q47,N!P48)-(4*N!P47)))+(Rstar!P47*N!P47*(1-(N!P47/Kstar!P47)))</f>
        <v>96.33554002843475</v>
      </c>
      <c r="Q47" s="83">
        <f>N!Q47+($J$7*(SUM(N!P47,N!Q46,N!R47,N!Q48)-(4*N!Q47)))+(Rstar!Q47*N!Q47*(1-(N!Q47/Kstar!Q47)))</f>
        <v>96.335388018697074</v>
      </c>
      <c r="R47" s="83">
        <f>N!R47+($J$7*(SUM(N!Q47,N!R46,N!S47,N!R48)-(4*N!R47)))+(Rstar!R47*N!R47*(1-(N!R47/Kstar!R47)))</f>
        <v>96.335309505027141</v>
      </c>
      <c r="S47" s="83">
        <f>N!S47+($J$7*(SUM(N!R47,N!S46,N!T47,N!S48)-(4*N!S47)))+(Rstar!S47*N!S47*(1-(N!S47/Kstar!S47)))</f>
        <v>96.335268542491576</v>
      </c>
      <c r="T47" s="83">
        <f>N!T47+($J$7*(SUM(N!S47,N!T46,N!U47,N!T48)-(4*N!T47)))+(Rstar!T47*N!T47*(1-(N!T47/Kstar!T47)))</f>
        <v>96.335246598078228</v>
      </c>
      <c r="U47" s="83">
        <f>N!U47+($J$7*(SUM(N!T47,N!U46,N!V47,N!U48)-(4*N!U47)))+(Rstar!U47*N!U47*(1-(N!U47/Kstar!U47)))</f>
        <v>96.335234099304031</v>
      </c>
      <c r="V47" s="83">
        <f>N!V47+($J$7*(SUM(N!U47,N!V46,N!W47,N!V48)-(4*N!V47)))+(Rstar!V47*N!V47*(1-(N!V47/Kstar!V47)))</f>
        <v>96.335226013350152</v>
      </c>
      <c r="W47" s="83">
        <f>N!W47+($J$7*(SUM(N!V47,N!W46,N!X47,N!W48)-(4*N!W47)))+(Rstar!W47*N!W47*(1-(N!W47/Kstar!W47)))</f>
        <v>96.335219408942066</v>
      </c>
      <c r="X47" s="83">
        <f>N!X47+($J$7*(SUM(N!W47,N!X46,N!Y47,N!X48)-(4*N!X47)))+(Rstar!X47*N!X47*(1-(N!X47/Kstar!X47)))</f>
        <v>96.335211844298414</v>
      </c>
      <c r="Y47" s="83">
        <f>N!Y47+($J$7*(SUM(N!X47,N!Y46,N!Z47,N!Y48)-(4*N!Y47)))+(Rstar!Y47*N!Y47*(1-(N!Y47/Kstar!Y47)))</f>
        <v>96.335199775379877</v>
      </c>
      <c r="Z47" s="83">
        <f>N!Z47+($J$7*(SUM(N!Y47,N!Z46,N!AA47,N!Z48)-(4*N!Z47)))+(Rstar!Z47*N!Z47*(1-(N!Z47/Kstar!Z47)))</f>
        <v>96.335176082671254</v>
      </c>
      <c r="AA47" s="83">
        <f>N!AA47+($J$7*(SUM(N!Z47,N!AA46,N!AB47,N!AA48)-(4*N!AA47)))+(Rstar!AA47*N!AA47*(1-(N!AA47/Kstar!AA47)))</f>
        <v>96.33512510973614</v>
      </c>
      <c r="AB47" s="83">
        <f>N!AB47+($J$7*(SUM(N!AA47,N!AB46,N!AC47,N!AB48)-(4*N!AB47)))+(Rstar!AB47*N!AB47*(1-(N!AB47/Kstar!AB47)))</f>
        <v>96.335011805787474</v>
      </c>
      <c r="AC47" s="83">
        <f>N!AC47+($J$7*(SUM(N!AB47,N!AC46,N!AD47,N!AC48)-(4*N!AC47)))+(Rstar!AC47*N!AC47*(1-(N!AC47/Kstar!AC47)))</f>
        <v>96.334757433217689</v>
      </c>
      <c r="AD47" s="83">
        <f>N!AD47+($J$7*(SUM(N!AC47,N!AD46,N!AE47,N!AD48)-(4*N!AD47)))+(Rstar!AD47*N!AD47*(1-(N!AD47/Kstar!AD47)))</f>
        <v>96.334184963117238</v>
      </c>
      <c r="AE47" s="83">
        <f>N!AE47+($J$7*(SUM(N!AD47,N!AE46,N!AF47,N!AE48)-(4*N!AE47)))+(Rstar!AE47*N!AE47*(1-(N!AE47/Kstar!AE47)))</f>
        <v>96.332896222862715</v>
      </c>
      <c r="AF47" s="83">
        <f>N!AF47+($J$7*(SUM(N!AE47,N!AF46,N!AG47,N!AF48)-(4*N!AF47)))+(Rstar!AF47*N!AF47*(1-(N!AF47/Kstar!AF47)))</f>
        <v>96.329995384515627</v>
      </c>
      <c r="AG47" s="83">
        <f>N!AG47+($J$7*(SUM(N!AF47,N!AG46,N!AH47,N!AG48)-(4*N!AG47)))+(Rstar!AG47*N!AG47*(1-(N!AG47/Kstar!AG47)))</f>
        <v>96.323466314541363</v>
      </c>
      <c r="AH47" s="83">
        <f>N!AH47+($J$7*(SUM(N!AG47,N!AH46,N!AI47,N!AH48)-(4*N!AH47)))+(Rstar!AH47*N!AH47*(1-(N!AH47/Kstar!AH47)))</f>
        <v>96.308769674542617</v>
      </c>
      <c r="AI47" s="83">
        <f>N!AI47+($J$7*(SUM(N!AH47,N!AI46,N!AJ47,N!AI48)-(4*N!AI47)))+(Rstar!AI47*N!AI47*(1-(N!AI47/Kstar!AI47)))</f>
        <v>96.275680025960412</v>
      </c>
      <c r="AJ47" s="83">
        <f>N!AJ47+($J$7*(SUM(N!AI47,N!AJ46,N!AK47,N!AJ48)-(4*N!AJ47)))+(Rstar!AJ47*N!AJ47*(1-(N!AJ47/Kstar!AJ47)))</f>
        <v>96.20115127085532</v>
      </c>
      <c r="AK47" s="83">
        <f>N!AK47+($J$7*(SUM(N!AJ47,N!AK46,N!AL47,N!AK48)-(4*N!AK47)))+(Rstar!AK47*N!AK47*(1-(N!AK47/Kstar!AK47)))</f>
        <v>96.033224106234385</v>
      </c>
      <c r="AL47" s="83">
        <f>N!AL47+($J$7*(SUM(N!AK47,N!AL46,N!AM47,N!AL48)-(4*N!AL47)))+(Rstar!AL47*N!AL47*(1-(N!AL47/Kstar!AL47)))</f>
        <v>95.654791005373099</v>
      </c>
      <c r="AM47" s="83">
        <f>N!AM47+($J$7*(SUM(N!AL47,N!AM46,N!AN47,N!AM48)-(4*N!AM47)))+(Rstar!AM47*N!AM47*(1-(N!AM47/Kstar!AM47)))</f>
        <v>94.802499401519128</v>
      </c>
      <c r="AN47" s="83">
        <f>N!AN47+($J$7*(SUM(N!AM47,N!AN46,N!AO47,N!AN48)-(4*N!AN47)))+(Rstar!AN47*N!AN47*(1-(N!AN47/Kstar!AN47)))</f>
        <v>92.888256393751149</v>
      </c>
      <c r="AO47" s="83">
        <f>N!AO47+($J$7*(SUM(N!AN47,N!AO46,N!AP47,N!AO48)-(4*N!AO47)))+(Rstar!AO47*N!AO47*(1-(N!AO47/Kstar!AO47)))</f>
        <v>88.623026752401955</v>
      </c>
      <c r="AP47" s="83">
        <f>N!AP47+($J$7*(SUM(N!AO47,N!AP46,N!AQ47,N!AP48)-(4*N!AP47)))+(Rstar!AP47*N!AP47*(1-(N!AP47/Kstar!AP47)))</f>
        <v>79.311440486475419</v>
      </c>
      <c r="AQ47" s="83">
        <f>N!AQ47+($J$7*(SUM(N!AP47,N!AQ46,N!AR47,N!AQ48)-(4*N!AQ47)))+(Rstar!AQ47*N!AQ47*(1-(N!AQ47/Kstar!AQ47)))</f>
        <v>59.966698799597154</v>
      </c>
      <c r="AR47" s="92">
        <f>N!AR47+($X$7*(SUM(N!AQ47,N!AR46,N!AS47,N!AR48)-(4*N!AR47)))+(Rstar!AR47*N!AR47*(1-(N!AR47/Kstar!AR47)))</f>
        <v>24.283923964137479</v>
      </c>
      <c r="AS47" s="86">
        <f>N!AS47+($X$7*(SUM(N!AR47,N!AS46,N!AT47,N!AS48)-(4*N!AS47)))+(Rstar!AS47*N!AS47*(1-(N!AS47/Kstar!AS47)))</f>
        <v>15.137247266065911</v>
      </c>
      <c r="AT47" s="86">
        <f>N!AT47+($X$7*(SUM(N!AS47,N!AT46,N!AU47,N!AT48)-(4*N!AT47)))+(Rstar!AT47*N!AT47*(1-(N!AT47/Kstar!AT47)))</f>
        <v>12.020377695125804</v>
      </c>
      <c r="AU47" s="86">
        <f>N!AU47+($X$7*(SUM(N!AT47,N!AU46,N!AV47,N!AU48)-(4*N!AU47)))+(Rstar!AU47*N!AU47*(1-(N!AU47/Kstar!AU47)))</f>
        <v>10.817477683464771</v>
      </c>
      <c r="AV47" s="86">
        <f>N!AV47+($X$7*(SUM(N!AU47,N!AV46,N!AW47,N!AV48)-(4*N!AV47)))+(Rstar!AV47*N!AV47*(1-(N!AV47/Kstar!AV47)))</f>
        <v>10.327866725619806</v>
      </c>
      <c r="AW47" s="86">
        <f>N!AW47+($X$7*(SUM(N!AV47,N!AW46,N!AX47,N!AW48)-(4*N!AW47)))+(Rstar!AW47*N!AW47*(1-(N!AW47/Kstar!AW47)))</f>
        <v>10.124137139632811</v>
      </c>
      <c r="AX47" s="86">
        <f>N!AX47+($X$7*(SUM(N!AW47,N!AX46,N!AY47,N!AX48)-(4*N!AX47)))+(Rstar!AX47*N!AX47*(1-(N!AX47/Kstar!AX47)))</f>
        <v>10.038856393996095</v>
      </c>
      <c r="AY47" s="87">
        <f>N!AY47+($X$7*(SUM(N!AX47,N!AY46,N!AZ47,N!AY48)-(4*N!AY47)))+(Rstar!AY47*N!AY47*(1-(N!AY47/Kstar!AY47)))</f>
        <v>10.003785615116449</v>
      </c>
      <c r="AZ47" s="72">
        <f>N!AZ47+($X$7*(SUM(N!AY47,N!AZ46,N!AZ48)-(3*N!AZ47)))+(Rstar!AZ47*N!AZ47*(1-(N!AZ47/Kstar!AZ47)))</f>
        <v>9.9911987771803918</v>
      </c>
      <c r="BA47" s="35">
        <v>29</v>
      </c>
    </row>
    <row r="48" spans="2:53" x14ac:dyDescent="0.2">
      <c r="B48" s="34">
        <v>30</v>
      </c>
      <c r="C48" s="72">
        <f>N!C48+($X$7*(SUM(N!C47,N!D48,N!C49)-(3*N!C48)))+(Rstar!C48*N!C48*(1-(N!C48/Kstar!C48)))</f>
        <v>90.97329626124872</v>
      </c>
      <c r="D48" s="74">
        <f>N!D48+($C$7*(SUM(N!C48,N!D47,N!E48,N!D49)-(4*N!D48)))+(Rstar!D48*N!D48*(1-(N!D48/Kstar!D48)))</f>
        <v>91.302263587604116</v>
      </c>
      <c r="E48" s="75">
        <f>N!E48+($C$7*(SUM(N!D48,N!E47,N!F48,N!E49)-(4*N!E48)))+(Rstar!E48*N!E48*(1-(N!E48/Kstar!E48)))</f>
        <v>91.665153554961307</v>
      </c>
      <c r="F48" s="75">
        <f>N!F48+($C$7*(SUM(N!E48,N!F47,N!G48,N!F49)-(4*N!F48)))+(Rstar!F48*N!F48*(1-(N!F48/Kstar!F48)))</f>
        <v>91.972515102066353</v>
      </c>
      <c r="G48" s="75">
        <f>N!G48+($C$7*(SUM(N!F48,N!G47,N!H48,N!G49)-(4*N!G48)))+(Rstar!G48*N!G48*(1-(N!G48/Kstar!G48)))</f>
        <v>91.974921027338453</v>
      </c>
      <c r="H48" s="75">
        <f>N!H48+($C$7*(SUM(N!G48,N!H47,N!I48,N!H49)-(4*N!H48)))+(Rstar!H48*N!H48*(1-(N!H48/Kstar!H48)))</f>
        <v>91.972804977592119</v>
      </c>
      <c r="I48" s="75">
        <f>N!I48+($C$7*(SUM(N!H48,N!I47,N!J48,N!I49)-(4*N!I48)))+(Rstar!I48*N!I48*(1-(N!I48/Kstar!I48)))</f>
        <v>91.971696201539487</v>
      </c>
      <c r="J48" s="75">
        <f>N!J48+($C$7*(SUM(N!I48,N!J47,N!K48,N!J49)-(4*N!J48)))+(Rstar!J48*N!J48*(1-(N!J48/Kstar!J48)))</f>
        <v>91.971280296185085</v>
      </c>
      <c r="K48" s="75">
        <f>N!K48+($C$7*(SUM(N!J48,N!K47,N!L48,N!K49)-(4*N!K48)))+(Rstar!K48*N!K48*(1-(N!K48/Kstar!K48)))</f>
        <v>91.978641289714304</v>
      </c>
      <c r="L48" s="109">
        <f>N!L48+($J$7*(SUM(N!K48,N!L47,N!M48,N!L49)-(4*N!L48)))+(Rstar!L48*N!L48*(1-(N!L48/Kstar!L48)))</f>
        <v>91.974921027338453</v>
      </c>
      <c r="M48" s="83">
        <f>N!M48+($J$7*(SUM(N!L48,N!M47,N!N48,N!M49)-(4*N!M48)))+(Rstar!M48*N!M48*(1-(N!M48/Kstar!M48)))</f>
        <v>91.972804977592119</v>
      </c>
      <c r="N48" s="83">
        <f>N!N48+($J$7*(SUM(N!M48,N!N47,N!O48,N!N49)-(4*N!N48)))+(Rstar!N48*N!N48*(1-(N!N48/Kstar!N48)))</f>
        <v>91.971696201539487</v>
      </c>
      <c r="O48" s="83">
        <f>N!O48+($J$7*(SUM(N!N48,N!O47,N!P48,N!O49)-(4*N!O48)))+(Rstar!O48*N!O48*(1-(N!O48/Kstar!O48)))</f>
        <v>91.971116234059721</v>
      </c>
      <c r="P48" s="83">
        <f>N!P48+($J$7*(SUM(N!O48,N!P47,N!Q48,N!P49)-(4*N!P48)))+(Rstar!P48*N!P48*(1-(N!P48/Kstar!P48)))</f>
        <v>91.970813489146011</v>
      </c>
      <c r="Q48" s="83">
        <f>N!Q48+($J$7*(SUM(N!P48,N!Q47,N!R48,N!Q49)-(4*N!Q48)))+(Rstar!Q48*N!Q48*(1-(N!Q48/Kstar!Q48)))</f>
        <v>91.970655752582658</v>
      </c>
      <c r="R48" s="83">
        <f>N!R48+($J$7*(SUM(N!Q48,N!R47,N!S48,N!R49)-(4*N!R48)))+(Rstar!R48*N!R48*(1-(N!R48/Kstar!R48)))</f>
        <v>91.970573628935085</v>
      </c>
      <c r="S48" s="83">
        <f>N!S48+($J$7*(SUM(N!R48,N!S47,N!T48,N!S49)-(4*N!S48)))+(Rstar!S48*N!S48*(1-(N!S48/Kstar!S48)))</f>
        <v>91.970530760285058</v>
      </c>
      <c r="T48" s="83">
        <f>N!T48+($J$7*(SUM(N!S48,N!T47,N!U48,N!T49)-(4*N!T48)))+(Rstar!T48*N!T48*(1-(N!T48/Kstar!T48)))</f>
        <v>91.970508128166884</v>
      </c>
      <c r="U48" s="83">
        <f>N!U48+($J$7*(SUM(N!T48,N!U47,N!V48,N!U49)-(4*N!U48)))+(Rstar!U48*N!U48*(1-(N!U48/Kstar!U48)))</f>
        <v>91.970495762396496</v>
      </c>
      <c r="V48" s="83">
        <f>N!V48+($J$7*(SUM(N!U48,N!V47,N!W48,N!V49)-(4*N!V48)))+(Rstar!V48*N!V48*(1-(N!V48/Kstar!V48)))</f>
        <v>91.970488313850836</v>
      </c>
      <c r="W48" s="83">
        <f>N!W48+($J$7*(SUM(N!V48,N!W47,N!X48,N!W49)-(4*N!W48)))+(Rstar!W48*N!W48*(1-(N!W48/Kstar!W48)))</f>
        <v>91.970482569071635</v>
      </c>
      <c r="X48" s="83">
        <f>N!X48+($J$7*(SUM(N!W48,N!X47,N!Y48,N!X49)-(4*N!X48)))+(Rstar!X48*N!X48*(1-(N!X48/Kstar!X48)))</f>
        <v>91.970475783617019</v>
      </c>
      <c r="Y48" s="83">
        <f>N!Y48+($J$7*(SUM(N!X48,N!Y47,N!Z48,N!Y49)-(4*N!Y48)))+(Rstar!Y48*N!Y48*(1-(N!Y48/Kstar!Y48)))</f>
        <v>91.970464003913975</v>
      </c>
      <c r="Z48" s="83">
        <f>N!Z48+($J$7*(SUM(N!Y48,N!Z47,N!AA48,N!Z49)-(4*N!Z48)))+(Rstar!Z48*N!Z48*(1-(N!Z48/Kstar!Z48)))</f>
        <v>91.970439401004626</v>
      </c>
      <c r="AA48" s="83">
        <f>N!AA48+($J$7*(SUM(N!Z48,N!AA47,N!AB48,N!AA49)-(4*N!AA48)))+(Rstar!AA48*N!AA48*(1-(N!AA48/Kstar!AA48)))</f>
        <v>91.970384880780472</v>
      </c>
      <c r="AB48" s="83">
        <f>N!AB48+($J$7*(SUM(N!AA48,N!AB47,N!AC48,N!AB49)-(4*N!AB48)))+(Rstar!AB48*N!AB48*(1-(N!AB48/Kstar!AB48)))</f>
        <v>91.970262321977586</v>
      </c>
      <c r="AC48" s="83">
        <f>N!AC48+($J$7*(SUM(N!AB48,N!AC47,N!AD48,N!AC49)-(4*N!AC48)))+(Rstar!AC48*N!AC48*(1-(N!AC48/Kstar!AC48)))</f>
        <v>91.9699864165337</v>
      </c>
      <c r="AD48" s="83">
        <f>N!AD48+($J$7*(SUM(N!AC48,N!AD47,N!AE48,N!AD49)-(4*N!AD48)))+(Rstar!AD48*N!AD48*(1-(N!AD48/Kstar!AD48)))</f>
        <v>91.969366265630029</v>
      </c>
      <c r="AE48" s="83">
        <f>N!AE48+($J$7*(SUM(N!AD48,N!AE47,N!AF48,N!AE49)-(4*N!AE48)))+(Rstar!AE48*N!AE48*(1-(N!AE48/Kstar!AE48)))</f>
        <v>91.967974942762226</v>
      </c>
      <c r="AF48" s="83">
        <f>N!AF48+($J$7*(SUM(N!AE48,N!AF47,N!AG48,N!AF49)-(4*N!AF48)))+(Rstar!AF48*N!AF48*(1-(N!AF48/Kstar!AF48)))</f>
        <v>91.964858284644876</v>
      </c>
      <c r="AG48" s="83">
        <f>N!AG48+($J$7*(SUM(N!AF48,N!AG47,N!AH48,N!AG49)-(4*N!AG48)))+(Rstar!AG48*N!AG48*(1-(N!AG48/Kstar!AG48)))</f>
        <v>91.957885047955457</v>
      </c>
      <c r="AH48" s="83">
        <f>N!AH48+($J$7*(SUM(N!AG48,N!AH47,N!AI48,N!AH49)-(4*N!AH48)))+(Rstar!AH48*N!AH48*(1-(N!AH48/Kstar!AH48)))</f>
        <v>91.942297462716667</v>
      </c>
      <c r="AI48" s="83">
        <f>N!AI48+($J$7*(SUM(N!AH48,N!AI47,N!AJ48,N!AI49)-(4*N!AI48)))+(Rstar!AI48*N!AI48*(1-(N!AI48/Kstar!AI48)))</f>
        <v>91.907480098806829</v>
      </c>
      <c r="AJ48" s="83">
        <f>N!AJ48+($J$7*(SUM(N!AI48,N!AJ47,N!AK48,N!AJ49)-(4*N!AJ48)))+(Rstar!AJ48*N!AJ48*(1-(N!AJ48/Kstar!AJ48)))</f>
        <v>91.829762717205497</v>
      </c>
      <c r="AK48" s="83">
        <f>N!AK48+($J$7*(SUM(N!AJ48,N!AK47,N!AL48,N!AK49)-(4*N!AK48)))+(Rstar!AK48*N!AK48*(1-(N!AK48/Kstar!AK48)))</f>
        <v>91.656412911349349</v>
      </c>
      <c r="AL48" s="83">
        <f>N!AL48+($J$7*(SUM(N!AK48,N!AL47,N!AM48,N!AL49)-(4*N!AL48)))+(Rstar!AL48*N!AL48*(1-(N!AL48/Kstar!AL48)))</f>
        <v>91.270149925257869</v>
      </c>
      <c r="AM48" s="83">
        <f>N!AM48+($J$7*(SUM(N!AL48,N!AM47,N!AN48,N!AM49)-(4*N!AM48)))+(Rstar!AM48*N!AM48*(1-(N!AM48/Kstar!AM48)))</f>
        <v>90.411078438475954</v>
      </c>
      <c r="AN48" s="83">
        <f>N!AN48+($J$7*(SUM(N!AM48,N!AN47,N!AO48,N!AN49)-(4*N!AN48)))+(Rstar!AN48*N!AN48*(1-(N!AN48/Kstar!AN48)))</f>
        <v>88.508095225841586</v>
      </c>
      <c r="AO48" s="83">
        <f>N!AO48+($J$7*(SUM(N!AN48,N!AO47,N!AP48,N!AO49)-(4*N!AO48)))+(Rstar!AO48*N!AO48*(1-(N!AO48/Kstar!AO48)))</f>
        <v>84.33101461677721</v>
      </c>
      <c r="AP48" s="83">
        <f>N!AP48+($J$7*(SUM(N!AO48,N!AP47,N!AQ48,N!AP49)-(4*N!AP48)))+(Rstar!AP48*N!AP48*(1-(N!AP48/Kstar!AP48)))</f>
        <v>75.354466157260106</v>
      </c>
      <c r="AQ48" s="83">
        <f>N!AQ48+($J$7*(SUM(N!AP48,N!AQ47,N!AR48,N!AQ49)-(4*N!AQ48)))+(Rstar!AQ48*N!AQ48*(1-(N!AQ48/Kstar!AQ48)))</f>
        <v>56.991391844443449</v>
      </c>
      <c r="AR48" s="92">
        <f>N!AR48+($X$7*(SUM(N!AQ48,N!AR47,N!AS48,N!AR49)-(4*N!AR48)))+(Rstar!AR48*N!AR48*(1-(N!AR48/Kstar!AR48)))</f>
        <v>23.520081000360427</v>
      </c>
      <c r="AS48" s="86">
        <f>N!AS48+($X$7*(SUM(N!AR48,N!AS47,N!AT48,N!AS49)-(4*N!AS48)))+(Rstar!AS48*N!AS48*(1-(N!AS48/Kstar!AS48)))</f>
        <v>14.841515656103198</v>
      </c>
      <c r="AT48" s="86">
        <f>N!AT48+($X$7*(SUM(N!AS48,N!AT47,N!AU48,N!AT49)-(4*N!AT48)))+(Rstar!AT48*N!AT48*(1-(N!AT48/Kstar!AT48)))</f>
        <v>11.887988758441649</v>
      </c>
      <c r="AU48" s="86">
        <f>N!AU48+($X$7*(SUM(N!AT48,N!AU47,N!AV48,N!AU49)-(4*N!AU48)))+(Rstar!AU48*N!AU48*(1-(N!AU48/Kstar!AU48)))</f>
        <v>10.756356106577627</v>
      </c>
      <c r="AV48" s="86">
        <f>N!AV48+($X$7*(SUM(N!AU48,N!AV47,N!AW48,N!AV49)-(4*N!AV48)))+(Rstar!AV48*N!AV48*(1-(N!AV48/Kstar!AV48)))</f>
        <v>10.299818091734515</v>
      </c>
      <c r="AW48" s="86">
        <f>N!AW48+($X$7*(SUM(N!AV48,N!AW47,N!AX48,N!AW49)-(4*N!AW48)))+(Rstar!AW48*N!AW48*(1-(N!AW48/Kstar!AW48)))</f>
        <v>10.111430641364217</v>
      </c>
      <c r="AX48" s="86">
        <f>N!AX48+($X$7*(SUM(N!AW48,N!AX47,N!AY48,N!AX49)-(4*N!AX48)))+(Rstar!AX48*N!AX48*(1-(N!AX48/Kstar!AX48)))</f>
        <v>10.033124522347281</v>
      </c>
      <c r="AY48" s="87">
        <f>N!AY48+($X$7*(SUM(N!AX48,N!AY47,N!AZ48,N!AY49)-(4*N!AY48)))+(Rstar!AY48*N!AY48*(1-(N!AY48/Kstar!AY48)))</f>
        <v>10.001096611117134</v>
      </c>
      <c r="AZ48" s="72">
        <f>N!AZ48+($X$7*(SUM(N!AY48,N!AZ47,N!AZ49)-(3*N!AZ48)))+(Rstar!AZ48*N!AZ48*(1-(N!AZ48/Kstar!AZ48)))</f>
        <v>9.9896430105656222</v>
      </c>
      <c r="BA48" s="35">
        <v>30</v>
      </c>
    </row>
    <row r="49" spans="2:53" x14ac:dyDescent="0.2">
      <c r="B49" s="34">
        <v>31</v>
      </c>
      <c r="C49" s="72">
        <f>N!C49+($X$7*(SUM(N!C48,N!D49,N!C50)-(3*N!C49)))+(Rstar!C49*N!C49*(1-(N!C49/Kstar!C49)))</f>
        <v>79.647531034547981</v>
      </c>
      <c r="D49" s="74">
        <f>N!D49+($C$7*(SUM(N!C49,N!D48,N!E49,N!D50)-(4*N!D49)))+(Rstar!D49*N!D49*(1-(N!D49/Kstar!D49)))</f>
        <v>80.698319826520674</v>
      </c>
      <c r="E49" s="75">
        <f>N!E49+($C$7*(SUM(N!D49,N!E48,N!F49,N!E50)-(4*N!E49)))+(Rstar!E49*N!E49*(1-(N!E49/Kstar!E49)))</f>
        <v>81.597824981482916</v>
      </c>
      <c r="F49" s="75">
        <f>N!F49+($C$7*(SUM(N!E49,N!F48,N!G49,N!F50)-(4*N!F49)))+(Rstar!F49*N!F49*(1-(N!F49/Kstar!F49)))</f>
        <v>82.244254076868714</v>
      </c>
      <c r="G49" s="75">
        <f>N!G49+($C$7*(SUM(N!F49,N!G48,N!H49,N!G50)-(4*N!G49)))+(Rstar!G49*N!G49*(1-(N!G49/Kstar!G49)))</f>
        <v>82.253980418560687</v>
      </c>
      <c r="H49" s="75">
        <f>N!H49+($C$7*(SUM(N!G49,N!H48,N!I49,N!H50)-(4*N!H49)))+(Rstar!H49*N!H49*(1-(N!H49/Kstar!H49)))</f>
        <v>82.252025735152415</v>
      </c>
      <c r="I49" s="75">
        <f>N!I49+($C$7*(SUM(N!H49,N!I48,N!J49,N!I50)-(4*N!I49)))+(Rstar!I49*N!I49*(1-(N!I49/Kstar!I49)))</f>
        <v>82.250978458996968</v>
      </c>
      <c r="J49" s="75">
        <f>N!J49+($C$7*(SUM(N!I49,N!J48,N!K49,N!J50)-(4*N!J49)))+(Rstar!J49*N!J49*(1-(N!J49/Kstar!J49)))</f>
        <v>82.250571101161356</v>
      </c>
      <c r="K49" s="75">
        <f>N!K49+($C$7*(SUM(N!J49,N!K48,N!L49,N!K50)-(4*N!K49)))+(Rstar!K49*N!K49*(1-(N!K49/Kstar!K49)))</f>
        <v>82.25733103779335</v>
      </c>
      <c r="L49" s="109">
        <f>N!L49+($J$7*(SUM(N!K49,N!L48,N!M49,N!L50)-(4*N!L49)))+(Rstar!L49*N!L49*(1-(N!L49/Kstar!L49)))</f>
        <v>82.253980418560687</v>
      </c>
      <c r="M49" s="83">
        <f>N!M49+($J$7*(SUM(N!L49,N!M48,N!N49,N!M50)-(4*N!M49)))+(Rstar!M49*N!M49*(1-(N!M49/Kstar!M49)))</f>
        <v>82.252025735152415</v>
      </c>
      <c r="N49" s="83">
        <f>N!N49+($J$7*(SUM(N!M49,N!N48,N!O49,N!N50)-(4*N!N49)))+(Rstar!N49*N!N49*(1-(N!N49/Kstar!N49)))</f>
        <v>82.250978458996968</v>
      </c>
      <c r="O49" s="83">
        <f>N!O49+($J$7*(SUM(N!N49,N!O48,N!P49,N!O50)-(4*N!O49)))+(Rstar!O49*N!O49*(1-(N!O49/Kstar!O49)))</f>
        <v>82.250420221206184</v>
      </c>
      <c r="P49" s="83">
        <f>N!P49+($J$7*(SUM(N!O49,N!P48,N!Q49,N!P50)-(4*N!P49)))+(Rstar!P49*N!P49*(1-(N!P49/Kstar!P49)))</f>
        <v>82.250124240450049</v>
      </c>
      <c r="Q49" s="83">
        <f>N!Q49+($J$7*(SUM(N!P49,N!Q48,N!R49,N!Q50)-(4*N!Q49)))+(Rstar!Q49*N!Q49*(1-(N!Q49/Kstar!Q49)))</f>
        <v>82.249968105435059</v>
      </c>
      <c r="R49" s="83">
        <f>N!R49+($J$7*(SUM(N!Q49,N!R48,N!S49,N!R50)-(4*N!R49)))+(Rstar!R49*N!R49*(1-(N!R49/Kstar!R49)))</f>
        <v>82.249886099464163</v>
      </c>
      <c r="S49" s="83">
        <f>N!S49+($J$7*(SUM(N!R49,N!S48,N!T49,N!S50)-(4*N!S49)))+(Rstar!S49*N!S49*(1-(N!S49/Kstar!S49)))</f>
        <v>82.24984314935692</v>
      </c>
      <c r="T49" s="83">
        <f>N!T49+($J$7*(SUM(N!S49,N!T48,N!U49,N!T50)-(4*N!T49)))+(Rstar!T49*N!T49*(1-(N!T49/Kstar!T49)))</f>
        <v>82.249820631037025</v>
      </c>
      <c r="U49" s="83">
        <f>N!U49+($J$7*(SUM(N!T49,N!U48,N!V49,N!U50)-(4*N!U49)))+(Rstar!U49*N!U49*(1-(N!U49/Kstar!U49)))</f>
        <v>82.249808657686671</v>
      </c>
      <c r="V49" s="83">
        <f>N!V49+($J$7*(SUM(N!U49,N!V48,N!W49,N!V50)-(4*N!V49)))+(Rstar!V49*N!V49*(1-(N!V49/Kstar!V49)))</f>
        <v>82.249801862797923</v>
      </c>
      <c r="W49" s="83">
        <f>N!W49+($J$7*(SUM(N!V49,N!W48,N!X49,N!W50)-(4*N!W49)))+(Rstar!W49*N!W49*(1-(N!W49/Kstar!W49)))</f>
        <v>82.249796984149583</v>
      </c>
      <c r="X49" s="83">
        <f>N!X49+($J$7*(SUM(N!W49,N!X48,N!Y49,N!X50)-(4*N!X49)))+(Rstar!X49*N!X49*(1-(N!X49/Kstar!X49)))</f>
        <v>82.24979121238303</v>
      </c>
      <c r="Y49" s="83">
        <f>N!Y49+($J$7*(SUM(N!X49,N!Y48,N!Z49,N!Y50)-(4*N!Y49)))+(Rstar!Y49*N!Y49*(1-(N!Y49/Kstar!Y49)))</f>
        <v>82.249780495404565</v>
      </c>
      <c r="Z49" s="83">
        <f>N!Z49+($J$7*(SUM(N!Y49,N!Z48,N!AA49,N!Z50)-(4*N!Z49)))+(Rstar!Z49*N!Z49*(1-(N!Z49/Kstar!Z49)))</f>
        <v>82.249756808534343</v>
      </c>
      <c r="AA49" s="83">
        <f>N!AA49+($J$7*(SUM(N!Z49,N!AA48,N!AB49,N!AA50)-(4*N!AA49)))+(Rstar!AA49*N!AA49*(1-(N!AA49/Kstar!AA49)))</f>
        <v>82.249702617537864</v>
      </c>
      <c r="AB49" s="83">
        <f>N!AB49+($J$7*(SUM(N!AA49,N!AB48,N!AC49,N!AB50)-(4*N!AB49)))+(Rstar!AB49*N!AB49*(1-(N!AB49/Kstar!AB49)))</f>
        <v>82.249578818829761</v>
      </c>
      <c r="AC49" s="83">
        <f>N!AC49+($J$7*(SUM(N!AB49,N!AC48,N!AD49,N!AC50)-(4*N!AC49)))+(Rstar!AC49*N!AC49*(1-(N!AC49/Kstar!AC49)))</f>
        <v>82.249298023186569</v>
      </c>
      <c r="AD49" s="83">
        <f>N!AD49+($J$7*(SUM(N!AC49,N!AD48,N!AE49,N!AD50)-(4*N!AD49)))+(Rstar!AD49*N!AD49*(1-(N!AD49/Kstar!AD49)))</f>
        <v>82.248665202154356</v>
      </c>
      <c r="AE49" s="83">
        <f>N!AE49+($J$7*(SUM(N!AD49,N!AE48,N!AF49,N!AE50)-(4*N!AE49)))+(Rstar!AE49*N!AE49*(1-(N!AE49/Kstar!AE49)))</f>
        <v>82.247245896278869</v>
      </c>
      <c r="AF49" s="83">
        <f>N!AF49+($J$7*(SUM(N!AE49,N!AF48,N!AG49,N!AF50)-(4*N!AF49)))+(Rstar!AF49*N!AF49*(1-(N!AF49/Kstar!AF49)))</f>
        <v>82.244073974082482</v>
      </c>
      <c r="AG49" s="83">
        <f>N!AG49+($J$7*(SUM(N!AF49,N!AG48,N!AH49,N!AG50)-(4*N!AG49)))+(Rstar!AG49*N!AG49*(1-(N!AG49/Kstar!AG49)))</f>
        <v>82.237004681086134</v>
      </c>
      <c r="AH49" s="83">
        <f>N!AH49+($J$7*(SUM(N!AG49,N!AH48,N!AI49,N!AH50)-(4*N!AH49)))+(Rstar!AH49*N!AH49*(1-(N!AH49/Kstar!AH49)))</f>
        <v>82.221285235368867</v>
      </c>
      <c r="AI49" s="83">
        <f>N!AI49+($J$7*(SUM(N!AH49,N!AI48,N!AJ49,N!AI50)-(4*N!AI49)))+(Rstar!AI49*N!AI49*(1-(N!AI49/Kstar!AI49)))</f>
        <v>82.18640411028143</v>
      </c>
      <c r="AJ49" s="83">
        <f>N!AJ49+($J$7*(SUM(N!AI49,N!AJ48,N!AK49,N!AJ50)-(4*N!AJ49)))+(Rstar!AJ49*N!AJ49*(1-(N!AJ49/Kstar!AJ49)))</f>
        <v>82.10916755169265</v>
      </c>
      <c r="AK49" s="83">
        <f>N!AK49+($J$7*(SUM(N!AJ49,N!AK48,N!AL49,N!AK50)-(4*N!AK49)))+(Rstar!AK49*N!AK49*(1-(N!AK49/Kstar!AK49)))</f>
        <v>81.938552424490894</v>
      </c>
      <c r="AL49" s="83">
        <f>N!AL49+($J$7*(SUM(N!AK49,N!AL48,N!AM49,N!AL50)-(4*N!AL49)))+(Rstar!AL49*N!AL49*(1-(N!AL49/Kstar!AL49)))</f>
        <v>81.562798255571195</v>
      </c>
      <c r="AM49" s="83">
        <f>N!AM49+($J$7*(SUM(N!AL49,N!AM48,N!AN49,N!AM50)-(4*N!AM49)))+(Rstar!AM49*N!AM49*(1-(N!AM49/Kstar!AM49)))</f>
        <v>80.738798251199213</v>
      </c>
      <c r="AN49" s="83">
        <f>N!AN49+($J$7*(SUM(N!AM49,N!AN48,N!AO49,N!AN50)-(4*N!AN49)))+(Rstar!AN49*N!AN49*(1-(N!AN49/Kstar!AN49)))</f>
        <v>78.944282187710783</v>
      </c>
      <c r="AO49" s="83">
        <f>N!AO49+($J$7*(SUM(N!AN49,N!AO48,N!AP49,N!AO50)-(4*N!AO49)))+(Rstar!AO49*N!AO49*(1-(N!AO49/Kstar!AO49)))</f>
        <v>75.084530349349706</v>
      </c>
      <c r="AP49" s="83">
        <f>N!AP49+($J$7*(SUM(N!AO49,N!AP48,N!AQ49,N!AP50)-(4*N!AP49)))+(Rstar!AP49*N!AP49*(1-(N!AP49/Kstar!AP49)))</f>
        <v>66.982866795619543</v>
      </c>
      <c r="AQ49" s="83">
        <f>N!AQ49+($J$7*(SUM(N!AP49,N!AQ48,N!AR49,N!AQ50)-(4*N!AQ49)))+(Rstar!AQ49*N!AQ49*(1-(N!AQ49/Kstar!AQ49)))</f>
        <v>50.817675192637338</v>
      </c>
      <c r="AR49" s="92">
        <f>N!AR49+($X$7*(SUM(N!AQ49,N!AR48,N!AS49,N!AR50)-(4*N!AR49)))+(Rstar!AR49*N!AR49*(1-(N!AR49/Kstar!AR49)))</f>
        <v>21.918368731333143</v>
      </c>
      <c r="AS49" s="86">
        <f>N!AS49+($X$7*(SUM(N!AR49,N!AS48,N!AT49,N!AS50)-(4*N!AS49)))+(Rstar!AS49*N!AS49*(1-(N!AS49/Kstar!AS49)))</f>
        <v>14.251703345551743</v>
      </c>
      <c r="AT49" s="86">
        <f>N!AT49+($X$7*(SUM(N!AS49,N!AT48,N!AU49,N!AT50)-(4*N!AT49)))+(Rstar!AT49*N!AT49*(1-(N!AT49/Kstar!AT49)))</f>
        <v>11.64373474749725</v>
      </c>
      <c r="AU49" s="86">
        <f>N!AU49+($X$7*(SUM(N!AT49,N!AU48,N!AV49,N!AU50)-(4*N!AU49)))+(Rstar!AU49*N!AU49*(1-(N!AU49/Kstar!AU49)))</f>
        <v>10.652091137883762</v>
      </c>
      <c r="AV49" s="86">
        <f>N!AV49+($X$7*(SUM(N!AU49,N!AV48,N!AW49,N!AV50)-(4*N!AV49)))+(Rstar!AV49*N!AV49*(1-(N!AV49/Kstar!AV49)))</f>
        <v>10.255149498726809</v>
      </c>
      <c r="AW49" s="86">
        <f>N!AW49+($X$7*(SUM(N!AV49,N!AW48,N!AX49,N!AW50)-(4*N!AW49)))+(Rstar!AW49*N!AW49*(1-(N!AW49/Kstar!AW49)))</f>
        <v>10.092328001222697</v>
      </c>
      <c r="AX49" s="86">
        <f>N!AX49+($X$7*(SUM(N!AW49,N!AX48,N!AY49,N!AX50)-(4*N!AX49)))+(Rstar!AX49*N!AX49*(1-(N!AX49/Kstar!AX49)))</f>
        <v>10.024914503934887</v>
      </c>
      <c r="AY49" s="87">
        <f>N!AY49+($X$7*(SUM(N!AX49,N!AY48,N!AZ49,N!AY50)-(4*N!AY49)))+(Rstar!AY49*N!AY49*(1-(N!AY49/Kstar!AY49)))</f>
        <v>9.997405014760087</v>
      </c>
      <c r="AZ49" s="72">
        <f>N!AZ49+($X$7*(SUM(N!AY49,N!AZ48,N!AZ50)-(3*N!AZ49)))+(Rstar!AZ49*N!AZ49*(1-(N!AZ49/Kstar!AZ49)))</f>
        <v>9.9875782916232119</v>
      </c>
      <c r="BA49" s="35">
        <v>31</v>
      </c>
    </row>
    <row r="50" spans="2:53" x14ac:dyDescent="0.2">
      <c r="B50" s="34">
        <v>32</v>
      </c>
      <c r="C50" s="72">
        <f>N!C50+($X$7*(SUM(N!C49,N!D50,N!C51)-(3*N!C50)))+(Rstar!C50*N!C50*(1-(N!C50/Kstar!C50)))</f>
        <v>55.233538181211941</v>
      </c>
      <c r="D50" s="74">
        <f>N!D50+($C$7*(SUM(N!C50,N!D49,N!E50,N!D51)-(4*N!D50)))+(Rstar!D50*N!D50*(1-(N!D50/Kstar!D50)))</f>
        <v>58.687578182204554</v>
      </c>
      <c r="E50" s="75">
        <f>N!E50+($C$7*(SUM(N!D50,N!E49,N!F50,N!E51)-(4*N!E50)))+(Rstar!E50*N!E50*(1-(N!E50/Kstar!E50)))</f>
        <v>60.636894631957219</v>
      </c>
      <c r="F50" s="75">
        <f>N!F50+($C$7*(SUM(N!E50,N!F49,N!G50,N!F51)-(4*N!F50)))+(Rstar!F50*N!F50*(1-(N!F50/Kstar!F50)))</f>
        <v>61.712197913564921</v>
      </c>
      <c r="G50" s="75">
        <f>N!G50+($C$7*(SUM(N!F50,N!G49,N!H50,N!G51)-(4*N!G50)))+(Rstar!G50*N!G50*(1-(N!G50/Kstar!G50)))</f>
        <v>61.731628748010792</v>
      </c>
      <c r="H50" s="75">
        <f>N!H50+($C$7*(SUM(N!G50,N!H49,N!I50,N!H51)-(4*N!H50)))+(Rstar!H50*N!H50*(1-(N!H50/Kstar!H50)))</f>
        <v>61.730152720737408</v>
      </c>
      <c r="I50" s="75">
        <f>N!I50+($C$7*(SUM(N!H50,N!I49,N!J50,N!I51)-(4*N!I50)))+(Rstar!I50*N!I50*(1-(N!I50/Kstar!I50)))</f>
        <v>61.729339029582604</v>
      </c>
      <c r="J50" s="75">
        <f>N!J50+($C$7*(SUM(N!I50,N!J49,N!K50,N!J51)-(4*N!J50)))+(Rstar!J50*N!J50*(1-(N!J50/Kstar!J50)))</f>
        <v>61.72900928931022</v>
      </c>
      <c r="K50" s="75">
        <f>N!K50+($C$7*(SUM(N!J50,N!K49,N!L50,N!K51)-(4*N!K50)))+(Rstar!K50*N!K50*(1-(N!K50/Kstar!K50)))</f>
        <v>61.734086800443926</v>
      </c>
      <c r="L50" s="109">
        <f>N!L50+($J$7*(SUM(N!K50,N!L49,N!M50,N!L51)-(4*N!L50)))+(Rstar!L50*N!L50*(1-(N!L50/Kstar!L50)))</f>
        <v>61.731628748010792</v>
      </c>
      <c r="M50" s="83">
        <f>N!M50+($J$7*(SUM(N!L50,N!M49,N!N50,N!M51)-(4*N!M50)))+(Rstar!M50*N!M50*(1-(N!M50/Kstar!M50)))</f>
        <v>61.730152720737408</v>
      </c>
      <c r="N50" s="83">
        <f>N!N50+($J$7*(SUM(N!M50,N!N49,N!O50,N!N51)-(4*N!N50)))+(Rstar!N50*N!N50*(1-(N!N50/Kstar!N50)))</f>
        <v>61.729339029582604</v>
      </c>
      <c r="O50" s="83">
        <f>N!O50+($J$7*(SUM(N!N50,N!O49,N!P50,N!O51)-(4*N!O50)))+(Rstar!O50*N!O50*(1-(N!O50/Kstar!O50)))</f>
        <v>61.728895623484021</v>
      </c>
      <c r="P50" s="83">
        <f>N!P50+($J$7*(SUM(N!O50,N!P49,N!Q50,N!P51)-(4*N!P50)))+(Rstar!P50*N!P50*(1-(N!P50/Kstar!P50)))</f>
        <v>61.728656721133767</v>
      </c>
      <c r="Q50" s="83">
        <f>N!Q50+($J$7*(SUM(N!P50,N!Q49,N!R50,N!Q51)-(4*N!Q50)))+(Rstar!Q50*N!Q50*(1-(N!Q50/Kstar!Q50)))</f>
        <v>61.728529260867276</v>
      </c>
      <c r="R50" s="83">
        <f>N!R50+($J$7*(SUM(N!Q50,N!R49,N!S50,N!R51)-(4*N!R50)))+(Rstar!R50*N!R50*(1-(N!R50/Kstar!R50)))</f>
        <v>61.728461851497968</v>
      </c>
      <c r="S50" s="83">
        <f>N!S50+($J$7*(SUM(N!R50,N!S49,N!T50,N!S51)-(4*N!S50)))+(Rstar!S50*N!S50*(1-(N!S50/Kstar!S50)))</f>
        <v>61.728426520801357</v>
      </c>
      <c r="T50" s="83">
        <f>N!T50+($J$7*(SUM(N!S50,N!T49,N!U50,N!T51)-(4*N!T50)))+(Rstar!T50*N!T50*(1-(N!T50/Kstar!T50)))</f>
        <v>61.728408216612046</v>
      </c>
      <c r="U50" s="83">
        <f>N!U50+($J$7*(SUM(N!T50,N!U49,N!V50,N!U51)-(4*N!U50)))+(Rstar!U50*N!U50*(1-(N!U50/Kstar!U50)))</f>
        <v>61.728398886750917</v>
      </c>
      <c r="V50" s="83">
        <f>N!V50+($J$7*(SUM(N!U50,N!V49,N!W50,N!V51)-(4*N!V50)))+(Rstar!V50*N!V50*(1-(N!V50/Kstar!V50)))</f>
        <v>61.728394157871797</v>
      </c>
      <c r="W50" s="83">
        <f>N!W50+($J$7*(SUM(N!V50,N!W49,N!X50,N!W51)-(4*N!W50)))+(Rstar!W50*N!W50*(1-(N!W50/Kstar!W50)))</f>
        <v>61.728391397602152</v>
      </c>
      <c r="X50" s="83">
        <f>N!X50+($J$7*(SUM(N!W50,N!X49,N!Y50,N!X51)-(4*N!X50)))+(Rstar!X50*N!X50*(1-(N!X50/Kstar!X50)))</f>
        <v>61.7283883708742</v>
      </c>
      <c r="Y50" s="83">
        <f>N!Y50+($J$7*(SUM(N!X50,N!Y49,N!Z50,N!Y51)-(4*N!Y50)))+(Rstar!Y50*N!Y50*(1-(N!Y50/Kstar!Y50)))</f>
        <v>61.728381842778383</v>
      </c>
      <c r="Z50" s="83">
        <f>N!Z50+($J$7*(SUM(N!Y50,N!Z49,N!AA50,N!Z51)-(4*N!Z50)))+(Rstar!Z50*N!Z50*(1-(N!Z50/Kstar!Z50)))</f>
        <v>61.728365309365429</v>
      </c>
      <c r="AA50" s="83">
        <f>N!AA50+($J$7*(SUM(N!Z50,N!AA49,N!AB50,N!AA51)-(4*N!AA50)))+(Rstar!AA50*N!AA50*(1-(N!AA50/Kstar!AA50)))</f>
        <v>61.728324377982915</v>
      </c>
      <c r="AB50" s="83">
        <f>N!AB50+($J$7*(SUM(N!AA50,N!AB49,N!AC50,N!AB51)-(4*N!AB50)))+(Rstar!AB50*N!AB50*(1-(N!AB50/Kstar!AB50)))</f>
        <v>61.728226700343136</v>
      </c>
      <c r="AC50" s="83">
        <f>N!AC50+($J$7*(SUM(N!AB50,N!AC49,N!AD50,N!AC51)-(4*N!AC50)))+(Rstar!AC50*N!AC50*(1-(N!AC50/Kstar!AC50)))</f>
        <v>61.727999698603227</v>
      </c>
      <c r="AD50" s="83">
        <f>N!AD50+($J$7*(SUM(N!AC50,N!AD49,N!AE50,N!AD51)-(4*N!AD50)))+(Rstar!AD50*N!AD50*(1-(N!AD50/Kstar!AD50)))</f>
        <v>61.727481199918472</v>
      </c>
      <c r="AE50" s="83">
        <f>N!AE50+($J$7*(SUM(N!AD50,N!AE49,N!AF50,N!AE51)-(4*N!AE50)))+(Rstar!AE50*N!AE50*(1-(N!AE50/Kstar!AE50)))</f>
        <v>61.726310198000391</v>
      </c>
      <c r="AF50" s="83">
        <f>N!AF50+($J$7*(SUM(N!AE50,N!AF49,N!AG50,N!AF51)-(4*N!AF50)))+(Rstar!AF50*N!AF50*(1-(N!AF50/Kstar!AF50)))</f>
        <v>61.723685707492109</v>
      </c>
      <c r="AG50" s="83">
        <f>N!AG50+($J$7*(SUM(N!AF50,N!AG49,N!AH50,N!AG51)-(4*N!AG50)))+(Rstar!AG50*N!AG50*(1-(N!AG50/Kstar!AG50)))</f>
        <v>61.717835960774494</v>
      </c>
      <c r="AH50" s="83">
        <f>N!AH50+($J$7*(SUM(N!AG50,N!AH49,N!AI50,N!AH51)-(4*N!AH50)))+(Rstar!AH50*N!AH50*(1-(N!AH50/Kstar!AH50)))</f>
        <v>61.704854036050214</v>
      </c>
      <c r="AI50" s="83">
        <f>N!AI50+($J$7*(SUM(N!AH50,N!AI49,N!AJ50,N!AI51)-(4*N!AI50)))+(Rstar!AI50*N!AI50*(1-(N!AI50/Kstar!AI50)))</f>
        <v>61.676154708352591</v>
      </c>
      <c r="AJ50" s="83">
        <f>N!AJ50+($J$7*(SUM(N!AI50,N!AJ49,N!AK50,N!AJ51)-(4*N!AJ50)))+(Rstar!AJ50*N!AJ50*(1-(N!AJ50/Kstar!AJ50)))</f>
        <v>61.612951779300744</v>
      </c>
      <c r="AK50" s="83">
        <f>N!AK50+($J$7*(SUM(N!AJ50,N!AK49,N!AL50,N!AK51)-(4*N!AK50)))+(Rstar!AK50*N!AK50*(1-(N!AK50/Kstar!AK50)))</f>
        <v>61.474363320880833</v>
      </c>
      <c r="AL50" s="83">
        <f>N!AL50+($J$7*(SUM(N!AK50,N!AL49,N!AM50,N!AL51)-(4*N!AL50)))+(Rstar!AL50*N!AL50*(1-(N!AL50/Kstar!AL50)))</f>
        <v>61.1721149280799</v>
      </c>
      <c r="AM50" s="83">
        <f>N!AM50+($J$7*(SUM(N!AL50,N!AM49,N!AN50,N!AM51)-(4*N!AM50)))+(Rstar!AM50*N!AM50*(1-(N!AM50/Kstar!AM50)))</f>
        <v>60.517865556991858</v>
      </c>
      <c r="AN50" s="83">
        <f>N!AN50+($J$7*(SUM(N!AM50,N!AN49,N!AO50,N!AN51)-(4*N!AN50)))+(Rstar!AN50*N!AN50*(1-(N!AN50/Kstar!AN50)))</f>
        <v>59.117654788743245</v>
      </c>
      <c r="AO50" s="83">
        <f>N!AO50+($J$7*(SUM(N!AN50,N!AO49,N!AP50,N!AO51)-(4*N!AO50)))+(Rstar!AO50*N!AO50*(1-(N!AO50/Kstar!AO50)))</f>
        <v>56.175988594843226</v>
      </c>
      <c r="AP50" s="83">
        <f>N!AP50+($J$7*(SUM(N!AO50,N!AP49,N!AQ50,N!AP51)-(4*N!AP50)))+(Rstar!AP50*N!AP50*(1-(N!AP50/Kstar!AP50)))</f>
        <v>50.191159868382819</v>
      </c>
      <c r="AQ50" s="83">
        <f>N!AQ50+($J$7*(SUM(N!AP50,N!AQ49,N!AR50,N!AQ51)-(4*N!AQ50)))+(Rstar!AQ50*N!AQ50*(1-(N!AQ50/Kstar!AQ50)))</f>
        <v>38.695880482129397</v>
      </c>
      <c r="AR50" s="92">
        <f>N!AR50+($X$7*(SUM(N!AQ50,N!AR49,N!AS50,N!AR51)-(4*N!AR50)))+(Rstar!AR50*N!AR50*(1-(N!AR50/Kstar!AR50)))</f>
        <v>18.768009019119258</v>
      </c>
      <c r="AS50" s="86">
        <f>N!AS50+($X$7*(SUM(N!AR50,N!AS49,N!AT50,N!AS51)-(4*N!AS50)))+(Rstar!AS50*N!AS50*(1-(N!AS50/Kstar!AS50)))</f>
        <v>13.186313368290175</v>
      </c>
      <c r="AT50" s="86">
        <f>N!AT50+($X$7*(SUM(N!AS50,N!AT49,N!AU50,N!AT51)-(4*N!AT50)))+(Rstar!AT50*N!AT50*(1-(N!AT50/Kstar!AT50)))</f>
        <v>11.244211229278999</v>
      </c>
      <c r="AU50" s="86">
        <f>N!AU50+($X$7*(SUM(N!AT50,N!AU49,N!AV50,N!AU51)-(4*N!AU50)))+(Rstar!AU50*N!AU50*(1-(N!AU50/Kstar!AU50)))</f>
        <v>10.495440005901003</v>
      </c>
      <c r="AV50" s="86">
        <f>N!AV50+($X$7*(SUM(N!AU50,N!AV49,N!AW50,N!AV51)-(4*N!AV50)))+(Rstar!AV50*N!AV50*(1-(N!AV50/Kstar!AV50)))</f>
        <v>10.192356194130255</v>
      </c>
      <c r="AW50" s="86">
        <f>N!AW50+($X$7*(SUM(N!AV50,N!AW49,N!AX50,N!AW51)-(4*N!AW50)))+(Rstar!AW50*N!AW50*(1-(N!AW50/Kstar!AW50)))</f>
        <v>10.066810039396332</v>
      </c>
      <c r="AX50" s="86">
        <f>N!AX50+($X$7*(SUM(N!AW50,N!AX49,N!AY50,N!AX51)-(4*N!AX50)))+(Rstar!AX50*N!AX50*(1-(N!AX50/Kstar!AX50)))</f>
        <v>10.014375765484042</v>
      </c>
      <c r="AY50" s="87">
        <f>N!AY50+($X$7*(SUM(N!AX50,N!AY49,N!AZ50,N!AY51)-(4*N!AY50)))+(Rstar!AY50*N!AY50*(1-(N!AY50/Kstar!AY50)))</f>
        <v>9.9928198979373466</v>
      </c>
      <c r="AZ50" s="72">
        <f>N!AZ50+($X$7*(SUM(N!AY50,N!AZ49,N!AZ51)-(3*N!AZ50)))+(Rstar!AZ50*N!AZ50*(1-(N!AZ50/Kstar!AZ50)))</f>
        <v>9.9850785250217307</v>
      </c>
      <c r="BA50" s="35">
        <v>32</v>
      </c>
    </row>
    <row r="51" spans="2:53" x14ac:dyDescent="0.2">
      <c r="B51" s="34">
        <v>33</v>
      </c>
      <c r="C51" s="72">
        <f>N!C51+($Q$7*(SUM(N!C50,N!D51,N!C52)-(3*N!C51)))+(Rstar!C51*N!C51*(1-(N!C51/Kstar!C51)))</f>
        <v>8.9013601016321857</v>
      </c>
      <c r="D51" s="95">
        <f>N!D51+($Q$7*(SUM(N!C51,N!D50,N!E51,N!D52)-(4*N!D51)))+(Rstar!D51*N!D51*(1-(N!D51/Kstar!D51)))</f>
        <v>20.113911718342468</v>
      </c>
      <c r="E51" s="96">
        <f>N!E51+($Q$7*(SUM(N!D51,N!E50,N!F51,N!E52)-(4*N!E51)))+(Rstar!E51*N!E51*(1-(N!E51/Kstar!E51)))</f>
        <v>22.755087228053164</v>
      </c>
      <c r="F51" s="96">
        <f>N!F51+($Q$7*(SUM(N!E51,N!F50,N!G51,N!F52)-(4*N!F51)))+(Rstar!F51*N!F51*(1-(N!F51/Kstar!F51)))</f>
        <v>23.619409520901545</v>
      </c>
      <c r="G51" s="96">
        <f>N!G51+($Q$7*(SUM(N!F51,N!G50,N!H51,N!G52)-(4*N!G51)))+(Rstar!G51*N!G51*(1-(N!G51/Kstar!G51)))</f>
        <v>23.63669463143242</v>
      </c>
      <c r="H51" s="96">
        <f>N!H51+($Q$7*(SUM(N!G51,N!H50,N!I51,N!H52)-(4*N!H51)))+(Rstar!H51*N!H51*(1-(N!H51/Kstar!H51)))</f>
        <v>23.636340794626442</v>
      </c>
      <c r="I51" s="96">
        <f>N!I51+($Q$7*(SUM(N!H51,N!I50,N!J51,N!I52)-(4*N!I51)))+(Rstar!I51*N!I51*(1-(N!I51/Kstar!I51)))</f>
        <v>23.636111728086348</v>
      </c>
      <c r="J51" s="96">
        <f>N!J51+($Q$7*(SUM(N!I51,N!J50,N!K51,N!J52)-(4*N!J51)))+(Rstar!J51*N!J51*(1-(N!J51/Kstar!J51)))</f>
        <v>23.636001686271314</v>
      </c>
      <c r="K51" s="96">
        <f>N!K51+($Q$7*(SUM(N!J51,N!K50,N!L51,N!K52)-(4*N!K51)))+(Rstar!K51*N!K51*(1-(N!K51/Kstar!K51)))</f>
        <v>23.63702699703753</v>
      </c>
      <c r="L51" s="96">
        <f>N!L51+($Q$7*(SUM(N!K51,N!L50,N!M51,N!L52)-(4*N!L51)))+(Rstar!L51*N!L51*(1-(N!L51/Kstar!L51)))</f>
        <v>23.63669463143242</v>
      </c>
      <c r="M51" s="96">
        <f>N!M51+($Q$7*(SUM(N!L51,N!M50,N!N51,N!M52)-(4*N!M51)))+(Rstar!M51*N!M51*(1-(N!M51/Kstar!M51)))</f>
        <v>23.636340794626442</v>
      </c>
      <c r="N51" s="96">
        <f>N!N51+($Q$7*(SUM(N!M51,N!N50,N!O51,N!N52)-(4*N!N51)))+(Rstar!N51*N!N51*(1-(N!N51/Kstar!N51)))</f>
        <v>23.636111728086348</v>
      </c>
      <c r="O51" s="96">
        <f>N!O51+($Q$7*(SUM(N!N51,N!O50,N!P51,N!O52)-(4*N!O51)))+(Rstar!O51*N!O51*(1-(N!O51/Kstar!O51)))</f>
        <v>23.635979145237755</v>
      </c>
      <c r="P51" s="96">
        <f>N!P51+($Q$7*(SUM(N!O51,N!P50,N!Q51,N!P52)-(4*N!P51)))+(Rstar!P51*N!P51*(1-(N!P51/Kstar!P51)))</f>
        <v>23.635905685750753</v>
      </c>
      <c r="Q51" s="96">
        <f>N!Q51+($Q$7*(SUM(N!P51,N!Q50,N!R51,N!Q52)-(4*N!Q51)))+(Rstar!Q51*N!Q51*(1-(N!Q51/Kstar!Q51)))</f>
        <v>23.635865980742352</v>
      </c>
      <c r="R51" s="96">
        <f>N!R51+($Q$7*(SUM(N!Q51,N!R50,N!S51,N!R52)-(4*N!R51)))+(Rstar!R51*N!R51*(1-(N!R51/Kstar!R51)))</f>
        <v>23.635844996781277</v>
      </c>
      <c r="S51" s="96">
        <f>N!S51+($Q$7*(SUM(N!R51,N!S50,N!T51,N!S52)-(4*N!S51)))+(Rstar!S51*N!S51*(1-(N!S51/Kstar!S51)))</f>
        <v>23.635834294730614</v>
      </c>
      <c r="T51" s="96">
        <f>N!T51+($Q$7*(SUM(N!S51,N!T50,N!U51,N!T52)-(4*N!T51)))+(Rstar!T51*N!T51*(1-(N!T51/Kstar!T51)))</f>
        <v>23.635829289983608</v>
      </c>
      <c r="U51" s="96">
        <f>N!U51+($Q$7*(SUM(N!T51,N!U50,N!V51,N!U52)-(4*N!U51)))+(Rstar!U51*N!U51*(1-(N!U51/Kstar!U51)))</f>
        <v>23.63582756703849</v>
      </c>
      <c r="V51" s="96">
        <f>N!V51+($Q$7*(SUM(N!U51,N!V50,N!W51,N!V52)-(4*N!V51)))+(Rstar!V51*N!V51*(1-(N!V51/Kstar!V51)))</f>
        <v>23.635827898711749</v>
      </c>
      <c r="W51" s="96">
        <f>N!W51+($Q$7*(SUM(N!V51,N!W50,N!X51,N!W52)-(4*N!W51)))+(Rstar!W51*N!W51*(1-(N!W51/Kstar!W51)))</f>
        <v>23.63582966859364</v>
      </c>
      <c r="X51" s="96">
        <f>N!X51+($Q$7*(SUM(N!W51,N!X50,N!Y51,N!X52)-(4*N!X51)))+(Rstar!X51*N!X51*(1-(N!X51/Kstar!X51)))</f>
        <v>23.635832475556416</v>
      </c>
      <c r="Y51" s="96">
        <f>N!Y51+($Q$7*(SUM(N!X51,N!Y50,N!Z51,N!Y52)-(4*N!Y51)))+(Rstar!Y51*N!Y51*(1-(N!Y51/Kstar!Y51)))</f>
        <v>23.635835727023512</v>
      </c>
      <c r="Z51" s="96">
        <f>N!Z51+($Q$7*(SUM(N!Y51,N!Z50,N!AA51,N!Z52)-(4*N!Z51)))+(Rstar!Z51*N!Z51*(1-(N!Z51/Kstar!Z51)))</f>
        <v>23.635837968641027</v>
      </c>
      <c r="AA51" s="96">
        <f>N!AA51+($Q$7*(SUM(N!Z51,N!AA50,N!AB51,N!AA52)-(4*N!AA51)))+(Rstar!AA51*N!AA51*(1-(N!AA51/Kstar!AA51)))</f>
        <v>23.635835488612464</v>
      </c>
      <c r="AB51" s="96">
        <f>N!AB51+($Q$7*(SUM(N!AA51,N!AB50,N!AC51,N!AB52)-(4*N!AB51)))+(Rstar!AB51*N!AB51*(1-(N!AB51/Kstar!AB51)))</f>
        <v>23.635819224912915</v>
      </c>
      <c r="AC51" s="96">
        <f>N!AC51+($Q$7*(SUM(N!AB51,N!AC50,N!AD51,N!AC52)-(4*N!AC51)))+(Rstar!AC51*N!AC51*(1-(N!AC51/Kstar!AC51)))</f>
        <v>23.635767851473666</v>
      </c>
      <c r="AD51" s="96">
        <f>N!AD51+($Q$7*(SUM(N!AC51,N!AD50,N!AE51,N!AD52)-(4*N!AD51)))+(Rstar!AD51*N!AD51*(1-(N!AD51/Kstar!AD51)))</f>
        <v>23.635632370942091</v>
      </c>
      <c r="AE51" s="96">
        <f>N!AE51+($Q$7*(SUM(N!AD51,N!AE50,N!AF51,N!AE52)-(4*N!AE51)))+(Rstar!AE51*N!AE51*(1-(N!AE51/Kstar!AE51)))</f>
        <v>23.635301951625433</v>
      </c>
      <c r="AF51" s="96">
        <f>N!AF51+($Q$7*(SUM(N!AE51,N!AF50,N!AG51,N!AF52)-(4*N!AF51)))+(Rstar!AF51*N!AF51*(1-(N!AF51/Kstar!AF51)))</f>
        <v>23.634528556761278</v>
      </c>
      <c r="AG51" s="96">
        <f>N!AG51+($Q$7*(SUM(N!AF51,N!AG50,N!AH51,N!AG52)-(4*N!AG51)))+(Rstar!AG51*N!AG51*(1-(N!AG51/Kstar!AG51)))</f>
        <v>23.632761496237514</v>
      </c>
      <c r="AH51" s="96">
        <f>N!AH51+($Q$7*(SUM(N!AG51,N!AH50,N!AI51,N!AH52)-(4*N!AH51)))+(Rstar!AH51*N!AH51*(1-(N!AH51/Kstar!AH51)))</f>
        <v>23.628786204401187</v>
      </c>
      <c r="AI51" s="96">
        <f>N!AI51+($Q$7*(SUM(N!AH51,N!AI50,N!AJ51,N!AI52)-(4*N!AI51)))+(Rstar!AI51*N!AI51*(1-(N!AI51/Kstar!AI51)))</f>
        <v>23.619940531540298</v>
      </c>
      <c r="AJ51" s="96">
        <f>N!AJ51+($Q$7*(SUM(N!AI51,N!AJ50,N!AK51,N!AJ52)-(4*N!AJ51)))+(Rstar!AJ51*N!AJ51*(1-(N!AJ51/Kstar!AJ51)))</f>
        <v>23.600427812612935</v>
      </c>
      <c r="AK51" s="96">
        <f>N!AK51+($Q$7*(SUM(N!AJ51,N!AK50,N!AL51,N!AK52)-(4*N!AK51)))+(Rstar!AK51*N!AK51*(1-(N!AK51/Kstar!AK51)))</f>
        <v>23.557724713259393</v>
      </c>
      <c r="AL51" s="96">
        <f>N!AL51+($Q$7*(SUM(N!AK51,N!AL50,N!AM51,N!AL52)-(4*N!AL51)))+(Rstar!AL51*N!AL51*(1-(N!AL51/Kstar!AL51)))</f>
        <v>23.465054563263536</v>
      </c>
      <c r="AM51" s="96">
        <f>N!AM51+($Q$7*(SUM(N!AL51,N!AM50,N!AN51,N!AM52)-(4*N!AM51)))+(Rstar!AM51*N!AM51*(1-(N!AM51/Kstar!AM51)))</f>
        <v>23.266039174341291</v>
      </c>
      <c r="AN51" s="96">
        <f>N!AN51+($Q$7*(SUM(N!AM51,N!AN50,N!AO51,N!AN52)-(4*N!AN51)))+(Rstar!AN51*N!AN51*(1-(N!AN51/Kstar!AN51)))</f>
        <v>22.845021474772203</v>
      </c>
      <c r="AO51" s="96">
        <f>N!AO51+($Q$7*(SUM(N!AN51,N!AO50,N!AP51,N!AO52)-(4*N!AO51)))+(Rstar!AO51*N!AO51*(1-(N!AO51/Kstar!AO51)))</f>
        <v>21.976597342425677</v>
      </c>
      <c r="AP51" s="96">
        <f>N!AP51+($Q$7*(SUM(N!AO51,N!AP50,N!AQ51,N!AP52)-(4*N!AP51)))+(Rstar!AP51*N!AP51*(1-(N!AP51/Kstar!AP51)))</f>
        <v>20.27236319308961</v>
      </c>
      <c r="AQ51" s="97">
        <f>N!AQ51+($Q$7*(SUM(N!AP51,N!AQ50,N!AR51,N!AQ52)-(4*N!AQ51)))+(Rstar!AQ51*N!AQ51*(1-(N!AQ51/Kstar!AQ51)))</f>
        <v>17.297120826041084</v>
      </c>
      <c r="AR51" s="92">
        <f>N!AR51+($X$7*(SUM(N!AQ51,N!AR50,N!AS51,N!AR52)-(4*N!AR51)))+(Rstar!AR51*N!AR51*(1-(N!AR51/Kstar!AR51)))</f>
        <v>13.680672593551813</v>
      </c>
      <c r="AS51" s="86">
        <f>N!AS51+($X$7*(SUM(N!AR51,N!AS50,N!AT51,N!AS52)-(4*N!AS51)))+(Rstar!AS51*N!AS51*(1-(N!AS51/Kstar!AS51)))</f>
        <v>11.665527724968946</v>
      </c>
      <c r="AT51" s="86">
        <f>N!AT51+($X$7*(SUM(N!AS51,N!AT50,N!AU51,N!AT52)-(4*N!AT51)))+(Rstar!AT51*N!AT51*(1-(N!AT51/Kstar!AT51)))</f>
        <v>10.72449410405582</v>
      </c>
      <c r="AU51" s="86">
        <f>N!AU51+($X$7*(SUM(N!AT51,N!AU50,N!AV51,N!AU52)-(4*N!AU51)))+(Rstar!AU51*N!AU51*(1-(N!AU51/Kstar!AU51)))</f>
        <v>10.303814699334366</v>
      </c>
      <c r="AV51" s="86">
        <f>N!AV51+($X$7*(SUM(N!AU51,N!AV50,N!AW51,N!AV52)-(4*N!AV51)))+(Rstar!AV51*N!AV51*(1-(N!AV51/Kstar!AV51)))</f>
        <v>10.118572541390659</v>
      </c>
      <c r="AW51" s="86">
        <f>N!AW51+($X$7*(SUM(N!AV51,N!AW50,N!AX51,N!AW52)-(4*N!AW51)))+(Rstar!AW51*N!AW51*(1-(N!AW51/Kstar!AW51)))</f>
        <v>10.037631153169075</v>
      </c>
      <c r="AX51" s="86">
        <f>N!AX51+($X$7*(SUM(N!AW51,N!AX50,N!AY51,N!AX52)-(4*N!AX51)))+(Rstar!AX51*N!AX51*(1-(N!AX51/Kstar!AX51)))</f>
        <v>10.002558155645335</v>
      </c>
      <c r="AY51" s="87">
        <f>N!AY51+($X$7*(SUM(N!AX51,N!AY50,N!AZ51,N!AY52)-(4*N!AY51)))+(Rstar!AY51*N!AY51*(1-(N!AY51/Kstar!AY51)))</f>
        <v>9.9877563481662719</v>
      </c>
      <c r="AZ51" s="72">
        <f>N!AZ51+($X$7*(SUM(N!AY51,N!AZ50,N!AZ52)-(3*N!AZ51)))+(Rstar!AZ51*N!AZ51*(1-(N!AZ51/Kstar!AZ51)))</f>
        <v>9.9823496784900545</v>
      </c>
      <c r="BA51" s="35">
        <v>33</v>
      </c>
    </row>
    <row r="52" spans="2:53" x14ac:dyDescent="0.2">
      <c r="B52" s="34">
        <v>34</v>
      </c>
      <c r="C52" s="72">
        <f>N!C52+($Q$7*(SUM(N!C51,N!D52,N!C53)-(3*N!C52)))+(Rstar!C52*N!C52*(1-(N!C52/Kstar!C52)))</f>
        <v>3.9683653090745601</v>
      </c>
      <c r="D52" s="77">
        <f>N!D52+($Q$7*(SUM(N!C52,N!D51,N!E52,N!D53)-(4*N!D52)))+(Rstar!D52*N!D52*(1-(N!D52/Kstar!D52)))</f>
        <v>9.1882541238209683</v>
      </c>
      <c r="E52" s="78">
        <f>N!E52+($Q$7*(SUM(N!D52,N!E51,N!F52,N!E53)-(4*N!E52)))+(Rstar!E52*N!E52*(1-(N!E52/Kstar!E52)))</f>
        <v>11.23382342064072</v>
      </c>
      <c r="F52" s="78">
        <f>N!F52+($Q$7*(SUM(N!E52,N!F51,N!G52,N!F53)-(4*N!F52)))+(Rstar!F52*N!F52*(1-(N!F52/Kstar!F52)))</f>
        <v>12.12404111794174</v>
      </c>
      <c r="G52" s="78">
        <f>N!G52+($Q$7*(SUM(N!F52,N!G51,N!H52,N!G53)-(4*N!G52)))+(Rstar!G52*N!G52*(1-(N!G52/Kstar!G52)))</f>
        <v>12.142172359427382</v>
      </c>
      <c r="H52" s="78">
        <f>N!H52+($Q$7*(SUM(N!G52,N!H51,N!I52,N!H53)-(4*N!H52)))+(Rstar!H52*N!H52*(1-(N!H52/Kstar!H52)))</f>
        <v>12.142069917539793</v>
      </c>
      <c r="I52" s="78">
        <f>N!I52+($Q$7*(SUM(N!H52,N!I51,N!J52,N!I53)-(4*N!I52)))+(Rstar!I52*N!I52*(1-(N!I52/Kstar!I52)))</f>
        <v>12.141983345532379</v>
      </c>
      <c r="J52" s="78">
        <f>N!J52+($Q$7*(SUM(N!I52,N!J51,N!K52,N!J53)-(4*N!J52)))+(Rstar!J52*N!J52*(1-(N!J52/Kstar!J52)))</f>
        <v>12.14193232719407</v>
      </c>
      <c r="K52" s="78">
        <f>N!K52+($Q$7*(SUM(N!J52,N!K51,N!L52,N!K53)-(4*N!K52)))+(Rstar!K52*N!K52*(1-(N!K52/Kstar!K52)))</f>
        <v>12.142203041922725</v>
      </c>
      <c r="L52" s="78">
        <f>N!L52+($Q$7*(SUM(N!K52,N!L51,N!M52,N!L53)-(4*N!L52)))+(Rstar!L52*N!L52*(1-(N!L52/Kstar!L52)))</f>
        <v>12.142172359427382</v>
      </c>
      <c r="M52" s="78">
        <f>N!M52+($Q$7*(SUM(N!L52,N!M51,N!N52,N!M53)-(4*N!M52)))+(Rstar!M52*N!M52*(1-(N!M52/Kstar!M52)))</f>
        <v>12.142069917539793</v>
      </c>
      <c r="N52" s="78">
        <f>N!N52+($Q$7*(SUM(N!M52,N!N51,N!O52,N!N53)-(4*N!N52)))+(Rstar!N52*N!N52*(1-(N!N52/Kstar!N52)))</f>
        <v>12.141983345532379</v>
      </c>
      <c r="O52" s="78">
        <f>N!O52+($Q$7*(SUM(N!N52,N!O51,N!P52,N!O53)-(4*N!O52)))+(Rstar!O52*N!O52*(1-(N!O52/Kstar!O52)))</f>
        <v>12.141926074016194</v>
      </c>
      <c r="P52" s="78">
        <f>N!P52+($Q$7*(SUM(N!O52,N!P51,N!Q52,N!P53)-(4*N!P52)))+(Rstar!P52*N!P52*(1-(N!P52/Kstar!P52)))</f>
        <v>12.141891963978296</v>
      </c>
      <c r="Q52" s="78">
        <f>N!Q52+($Q$7*(SUM(N!P52,N!Q51,N!R52,N!Q53)-(4*N!Q52)))+(Rstar!Q52*N!Q52*(1-(N!Q52/Kstar!Q52)))</f>
        <v>12.141873082758957</v>
      </c>
      <c r="R52" s="78">
        <f>N!R52+($Q$7*(SUM(N!Q52,N!R51,N!S52,N!R53)-(4*N!R52)))+(Rstar!R52*N!R52*(1-(N!R52/Kstar!R52)))</f>
        <v>12.141863653338191</v>
      </c>
      <c r="S52" s="78">
        <f>N!S52+($Q$7*(SUM(N!R52,N!S51,N!T52,N!S53)-(4*N!S52)))+(Rstar!S52*N!S52*(1-(N!S52/Kstar!S52)))</f>
        <v>12.141860164161079</v>
      </c>
      <c r="T52" s="78">
        <f>N!T52+($Q$7*(SUM(N!S52,N!T51,N!U52,N!T53)-(4*N!T52)))+(Rstar!T52*N!T52*(1-(N!T52/Kstar!T52)))</f>
        <v>12.141860752596211</v>
      </c>
      <c r="U52" s="78">
        <f>N!U52+($Q$7*(SUM(N!T52,N!U51,N!V52,N!U53)-(4*N!U52)))+(Rstar!U52*N!U52*(1-(N!U52/Kstar!U52)))</f>
        <v>12.141864656205351</v>
      </c>
      <c r="V52" s="78">
        <f>N!V52+($Q$7*(SUM(N!U52,N!V51,N!W52,N!V53)-(4*N!V52)))+(Rstar!V52*N!V52*(1-(N!V52/Kstar!V52)))</f>
        <v>12.141871859206137</v>
      </c>
      <c r="W52" s="78">
        <f>N!W52+($Q$7*(SUM(N!V52,N!W51,N!X52,N!W53)-(4*N!W52)))+(Rstar!W52*N!W52*(1-(N!W52/Kstar!W52)))</f>
        <v>12.141882899833575</v>
      </c>
      <c r="X52" s="78">
        <f>N!X52+($Q$7*(SUM(N!W52,N!X51,N!Y52,N!X53)-(4*N!X52)))+(Rstar!X52*N!X52*(1-(N!X52/Kstar!X52)))</f>
        <v>12.141898777206325</v>
      </c>
      <c r="Y52" s="78">
        <f>N!Y52+($Q$7*(SUM(N!X52,N!Y51,N!Z52,N!Y53)-(4*N!Y52)))+(Rstar!Y52*N!Y52*(1-(N!Y52/Kstar!Y52)))</f>
        <v>12.141920888679682</v>
      </c>
      <c r="Z52" s="78">
        <f>N!Z52+($Q$7*(SUM(N!Y52,N!Z51,N!AA52,N!Z53)-(4*N!Z52)))+(Rstar!Z52*N!Z52*(1-(N!Z52/Kstar!Z52)))</f>
        <v>12.141950895969567</v>
      </c>
      <c r="AA52" s="78">
        <f>N!AA52+($Q$7*(SUM(N!Z52,N!AA51,N!AB52,N!AA53)-(4*N!AA52)))+(Rstar!AA52*N!AA52*(1-(N!AA52/Kstar!AA52)))</f>
        <v>12.141990319940467</v>
      </c>
      <c r="AB52" s="78">
        <f>N!AB52+($Q$7*(SUM(N!AA52,N!AB51,N!AC52,N!AB53)-(4*N!AB52)))+(Rstar!AB52*N!AB52*(1-(N!AB52/Kstar!AB52)))</f>
        <v>12.142039424003515</v>
      </c>
      <c r="AC52" s="78">
        <f>N!AC52+($Q$7*(SUM(N!AB52,N!AC51,N!AD52,N!AC53)-(4*N!AC52)))+(Rstar!AC52*N!AC52*(1-(N!AC52/Kstar!AC52)))</f>
        <v>12.142094401051663</v>
      </c>
      <c r="AD52" s="78">
        <f>N!AD52+($Q$7*(SUM(N!AC52,N!AD51,N!AE52,N!AD53)-(4*N!AD52)))+(Rstar!AD52*N!AD52*(1-(N!AD52/Kstar!AD52)))</f>
        <v>12.142140676204065</v>
      </c>
      <c r="AE52" s="78">
        <f>N!AE52+($Q$7*(SUM(N!AD52,N!AE51,N!AF52,N!AE53)-(4*N!AE52)))+(Rstar!AE52*N!AE52*(1-(N!AE52/Kstar!AE52)))</f>
        <v>12.142137528160518</v>
      </c>
      <c r="AF52" s="78">
        <f>N!AF52+($Q$7*(SUM(N!AE52,N!AF51,N!AG52,N!AF53)-(4*N!AF52)))+(Rstar!AF52*N!AF52*(1-(N!AF52/Kstar!AF52)))</f>
        <v>12.141983650085848</v>
      </c>
      <c r="AG52" s="78">
        <f>N!AG52+($Q$7*(SUM(N!AF52,N!AG51,N!AH52,N!AG53)-(4*N!AG52)))+(Rstar!AG52*N!AG52*(1-(N!AG52/Kstar!AG52)))</f>
        <v>12.141441513549154</v>
      </c>
      <c r="AH52" s="78">
        <f>N!AH52+($Q$7*(SUM(N!AG52,N!AH51,N!AI52,N!AH53)-(4*N!AH52)))+(Rstar!AH52*N!AH52*(1-(N!AH52/Kstar!AH52)))</f>
        <v>12.139974110612149</v>
      </c>
      <c r="AI52" s="78">
        <f>N!AI52+($Q$7*(SUM(N!AH52,N!AI51,N!AJ52,N!AI53)-(4*N!AI52)))+(Rstar!AI52*N!AI52*(1-(N!AI52/Kstar!AI52)))</f>
        <v>12.136398835610173</v>
      </c>
      <c r="AJ52" s="78">
        <f>N!AJ52+($Q$7*(SUM(N!AI52,N!AJ51,N!AK52,N!AJ53)-(4*N!AJ52)))+(Rstar!AJ52*N!AJ52*(1-(N!AJ52/Kstar!AJ52)))</f>
        <v>12.128169362404309</v>
      </c>
      <c r="AK52" s="78">
        <f>N!AK52+($Q$7*(SUM(N!AJ52,N!AK51,N!AL52,N!AK53)-(4*N!AK52)))+(Rstar!AK52*N!AK52*(1-(N!AK52/Kstar!AK52)))</f>
        <v>12.109929680458871</v>
      </c>
      <c r="AL52" s="78">
        <f>N!AL52+($Q$7*(SUM(N!AK52,N!AL51,N!AM52,N!AL53)-(4*N!AL52)))+(Rstar!AL52*N!AL52*(1-(N!AL52/Kstar!AL52)))</f>
        <v>12.070739041188132</v>
      </c>
      <c r="AM52" s="78">
        <f>N!AM52+($Q$7*(SUM(N!AL52,N!AM51,N!AN52,N!AM53)-(4*N!AM52)))+(Rstar!AM52*N!AM52*(1-(N!AM52/Kstar!AM52)))</f>
        <v>11.989208138987856</v>
      </c>
      <c r="AN52" s="78">
        <f>N!AN52+($Q$7*(SUM(N!AM52,N!AN51,N!AO52,N!AN53)-(4*N!AN52)))+(Rstar!AN52*N!AN52*(1-(N!AN52/Kstar!AN52)))</f>
        <v>11.82667096049572</v>
      </c>
      <c r="AO52" s="78">
        <f>N!AO52+($Q$7*(SUM(N!AN52,N!AO51,N!AP52,N!AO53)-(4*N!AO52)))+(Rstar!AO52*N!AO52*(1-(N!AO52/Kstar!AO52)))</f>
        <v>11.52443047940735</v>
      </c>
      <c r="AP52" s="78">
        <f>N!AP52+($Q$7*(SUM(N!AO52,N!AP51,N!AQ52,N!AP53)-(4*N!AP52)))+(Rstar!AP52*N!AP52*(1-(N!AP52/Kstar!AP52)))</f>
        <v>11.035905754371422</v>
      </c>
      <c r="AQ52" s="79">
        <f>N!AQ52+($Q$7*(SUM(N!AP52,N!AQ51,N!AR52,N!AQ53)-(4*N!AQ52)))+(Rstar!AQ52*N!AQ52*(1-(N!AQ52/Kstar!AQ52)))</f>
        <v>10.504862883929382</v>
      </c>
      <c r="AR52" s="92">
        <f>N!AR52+($X$7*(SUM(N!AQ52,N!AR51,N!AS52,N!AR53)-(4*N!AR52)))+(Rstar!AR52*N!AR52*(1-(N!AR52/Kstar!AR52)))</f>
        <v>10.847400504008109</v>
      </c>
      <c r="AS52" s="86">
        <f>N!AS52+($X$7*(SUM(N!AR52,N!AS51,N!AT52,N!AS53)-(4*N!AS52)))+(Rstar!AS52*N!AS52*(1-(N!AS52/Kstar!AS52)))</f>
        <v>10.553613536648077</v>
      </c>
      <c r="AT52" s="86">
        <f>N!AT52+($X$7*(SUM(N!AS52,N!AT51,N!AU52,N!AT53)-(4*N!AT52)))+(Rstar!AT52*N!AT52*(1-(N!AT52/Kstar!AT52)))</f>
        <v>10.288847277235977</v>
      </c>
      <c r="AU52" s="86">
        <f>N!AU52+($X$7*(SUM(N!AT52,N!AU51,N!AV52,N!AU53)-(4*N!AU52)))+(Rstar!AU52*N!AU52*(1-(N!AU52/Kstar!AU52)))</f>
        <v>10.131494891541029</v>
      </c>
      <c r="AV52" s="86">
        <f>N!AV52+($X$7*(SUM(N!AU52,N!AV51,N!AW52,N!AV53)-(4*N!AV52)))+(Rstar!AV52*N!AV52*(1-(N!AV52/Kstar!AV52)))</f>
        <v>10.049688976756757</v>
      </c>
      <c r="AW52" s="86">
        <f>N!AW52+($X$7*(SUM(N!AV52,N!AW51,N!AX52,N!AW53)-(4*N!AW52)))+(Rstar!AW52*N!AW52*(1-(N!AW52/Kstar!AW52)))</f>
        <v>10.009809053587379</v>
      </c>
      <c r="AX52" s="86">
        <f>N!AX52+($X$7*(SUM(N!AW52,N!AX51,N!AY52,N!AX53)-(4*N!AX52)))+(Rstar!AX52*N!AX52*(1-(N!AX52/Kstar!AX52)))</f>
        <v>9.9911449499857827</v>
      </c>
      <c r="AY52" s="87">
        <f>N!AY52+($X$7*(SUM(N!AX52,N!AY51,N!AZ52,N!AY53)-(4*N!AY52)))+(Rstar!AY52*N!AY52*(1-(N!AY52/Kstar!AY52)))</f>
        <v>9.9828238071232125</v>
      </c>
      <c r="AZ52" s="72">
        <f>N!AZ52+($X$7*(SUM(N!AY52,N!AZ51,N!AZ53)-(3*N!AZ52)))+(Rstar!AZ52*N!AZ52*(1-(N!AZ52/Kstar!AZ52)))</f>
        <v>9.9796758732662525</v>
      </c>
      <c r="BA52" s="35">
        <v>34</v>
      </c>
    </row>
    <row r="53" spans="2:53" x14ac:dyDescent="0.2">
      <c r="B53" s="34">
        <v>35</v>
      </c>
      <c r="C53" s="72">
        <f>N!C53+($Q$7*(SUM(N!C52,N!D53,N!C54)-(3*N!C53)))+(Rstar!C53*N!C53*(1-(N!C53/Kstar!C53)))</f>
        <v>2.6502003783505232</v>
      </c>
      <c r="D53" s="77">
        <f>N!D53+($Q$7*(SUM(N!C53,N!D52,N!E53,N!D54)-(4*N!D53)))+(Rstar!D53*N!D53*(1-(N!D53/Kstar!D53)))</f>
        <v>5.1989525486201504</v>
      </c>
      <c r="E53" s="78">
        <f>N!E53+($Q$7*(SUM(N!D53,N!E52,N!F53,N!E54)-(4*N!E53)))+(Rstar!E53*N!E53*(1-(N!E53/Kstar!E53)))</f>
        <v>6.5984301567709194</v>
      </c>
      <c r="F53" s="78">
        <f>N!F53+($Q$7*(SUM(N!E53,N!F52,N!G53,N!F54)-(4*N!F53)))+(Rstar!F53*N!F53*(1-(N!F53/Kstar!F53)))</f>
        <v>7.396627135819978</v>
      </c>
      <c r="G53" s="78">
        <f>N!G53+($Q$7*(SUM(N!F53,N!G52,N!H53,N!G54)-(4*N!G53)))+(Rstar!G53*N!G53*(1-(N!G53/Kstar!G53)))</f>
        <v>7.41292272484419</v>
      </c>
      <c r="H53" s="78">
        <f>N!H53+($Q$7*(SUM(N!G53,N!H52,N!I53,N!H54)-(4*N!H53)))+(Rstar!H53*N!H53*(1-(N!H53/Kstar!H53)))</f>
        <v>7.4128908167257874</v>
      </c>
      <c r="I53" s="78">
        <f>N!I53+($Q$7*(SUM(N!H53,N!I52,N!J53,N!I54)-(4*N!I53)))+(Rstar!I53*N!I53*(1-(N!I53/Kstar!I53)))</f>
        <v>7.4128541774575289</v>
      </c>
      <c r="J53" s="78">
        <f>N!J53+($Q$7*(SUM(N!I53,N!J52,N!K53,N!J54)-(4*N!J53)))+(Rstar!J53*N!J53*(1-(N!J53/Kstar!J53)))</f>
        <v>7.4128280243526836</v>
      </c>
      <c r="K53" s="78">
        <f>N!K53+($Q$7*(SUM(N!J53,N!K52,N!L53,N!K54)-(4*N!K53)))+(Rstar!K53*N!K53*(1-(N!K53/Kstar!K53)))</f>
        <v>7.4129149874428686</v>
      </c>
      <c r="L53" s="78">
        <f>N!L53+($Q$7*(SUM(N!K53,N!L52,N!M53,N!L54)-(4*N!L53)))+(Rstar!L53*N!L53*(1-(N!L53/Kstar!L53)))</f>
        <v>7.41292272484419</v>
      </c>
      <c r="M53" s="78">
        <f>N!M53+($Q$7*(SUM(N!L53,N!M52,N!N53,N!M54)-(4*N!M53)))+(Rstar!M53*N!M53*(1-(N!M53/Kstar!M53)))</f>
        <v>7.4128908167257874</v>
      </c>
      <c r="N53" s="78">
        <f>N!N53+($Q$7*(SUM(N!M53,N!N52,N!O53,N!N54)-(4*N!N53)))+(Rstar!N53*N!N53*(1-(N!N53/Kstar!N53)))</f>
        <v>7.4128541774575289</v>
      </c>
      <c r="O53" s="78">
        <f>N!O53+($Q$7*(SUM(N!N53,N!O52,N!P53,N!O54)-(4*N!O53)))+(Rstar!O53*N!O53*(1-(N!O53/Kstar!O53)))</f>
        <v>7.412825869391245</v>
      </c>
      <c r="P53" s="78">
        <f>N!P53+($Q$7*(SUM(N!O53,N!P52,N!Q53,N!P54)-(4*N!P53)))+(Rstar!P53*N!P53*(1-(N!P53/Kstar!P53)))</f>
        <v>7.4128077938642702</v>
      </c>
      <c r="Q53" s="78">
        <f>N!Q53+($Q$7*(SUM(N!P53,N!Q52,N!R53,N!Q54)-(4*N!Q53)))+(Rstar!Q53*N!Q53*(1-(N!Q53/Kstar!Q53)))</f>
        <v>7.4127983648339271</v>
      </c>
      <c r="R53" s="78">
        <f>N!R53+($Q$7*(SUM(N!Q53,N!R52,N!S53,N!R54)-(4*N!R53)))+(Rstar!R53*N!R53*(1-(N!R53/Kstar!R53)))</f>
        <v>7.4127957341651198</v>
      </c>
      <c r="S53" s="78">
        <f>N!S53+($Q$7*(SUM(N!R53,N!S52,N!T53,N!S54)-(4*N!S53)))+(Rstar!S53*N!S53*(1-(N!S53/Kstar!S53)))</f>
        <v>7.4127987807927385</v>
      </c>
      <c r="T53" s="78">
        <f>N!T53+($Q$7*(SUM(N!S53,N!T52,N!U53,N!T54)-(4*N!T53)))+(Rstar!T53*N!T53*(1-(N!T53/Kstar!T53)))</f>
        <v>7.4128072848389115</v>
      </c>
      <c r="U53" s="78">
        <f>N!U53+($Q$7*(SUM(N!T53,N!U52,N!V53,N!U54)-(4*N!U53)))+(Rstar!U53*N!U53*(1-(N!U53/Kstar!U53)))</f>
        <v>7.4128219024661668</v>
      </c>
      <c r="V53" s="78">
        <f>N!V53+($Q$7*(SUM(N!U53,N!V52,N!W53,N!V54)-(4*N!V53)))+(Rstar!V53*N!V53*(1-(N!V53/Kstar!V53)))</f>
        <v>7.4128441632518927</v>
      </c>
      <c r="W53" s="78">
        <f>N!W53+($Q$7*(SUM(N!V53,N!W52,N!X53,N!W54)-(4*N!W53)))+(Rstar!W53*N!W53*(1-(N!W53/Kstar!W53)))</f>
        <v>7.4128765598921049</v>
      </c>
      <c r="X53" s="78">
        <f>N!X53+($Q$7*(SUM(N!W53,N!X52,N!Y53,N!X54)-(4*N!X53)))+(Rstar!X53*N!X53*(1-(N!X53/Kstar!X53)))</f>
        <v>7.412922752354012</v>
      </c>
      <c r="Y53" s="78">
        <f>N!Y53+($Q$7*(SUM(N!X53,N!Y52,N!Z53,N!Y54)-(4*N!Y53)))+(Rstar!Y53*N!Y53*(1-(N!Y53/Kstar!Y53)))</f>
        <v>7.4129878972684624</v>
      </c>
      <c r="Z53" s="78">
        <f>N!Z53+($Q$7*(SUM(N!Y53,N!Z52,N!AA53,N!Z54)-(4*N!Z53)))+(Rstar!Z53*N!Z53*(1-(N!Z53/Kstar!Z53)))</f>
        <v>7.4130791056605387</v>
      </c>
      <c r="AA53" s="78">
        <f>N!AA53+($Q$7*(SUM(N!Z53,N!AA52,N!AB53,N!AA54)-(4*N!AA53)))+(Rstar!AA53*N!AA53*(1-(N!AA53/Kstar!AA53)))</f>
        <v>7.4132060033229941</v>
      </c>
      <c r="AB53" s="78">
        <f>N!AB53+($Q$7*(SUM(N!AA53,N!AB52,N!AC53,N!AB54)-(4*N!AB53)))+(Rstar!AB53*N!AB53*(1-(N!AB53/Kstar!AB53)))</f>
        <v>7.4133812808546882</v>
      </c>
      <c r="AC53" s="78">
        <f>N!AC53+($Q$7*(SUM(N!AB53,N!AC52,N!AD53,N!AC54)-(4*N!AC53)))+(Rstar!AC53*N!AC53*(1-(N!AC53/Kstar!AC53)))</f>
        <v>7.4136208996680901</v>
      </c>
      <c r="AD53" s="78">
        <f>N!AD53+($Q$7*(SUM(N!AC53,N!AD52,N!AE53,N!AD54)-(4*N!AD53)))+(Rstar!AD53*N!AD53*(1-(N!AD53/Kstar!AD53)))</f>
        <v>7.413943112144902</v>
      </c>
      <c r="AE53" s="78">
        <f>N!AE53+($Q$7*(SUM(N!AD53,N!AE52,N!AF53,N!AE54)-(4*N!AE53)))+(Rstar!AE53*N!AE53*(1-(N!AE53/Kstar!AE53)))</f>
        <v>7.4143643529842702</v>
      </c>
      <c r="AF53" s="78">
        <f>N!AF53+($Q$7*(SUM(N!AE53,N!AF52,N!AG53,N!AF54)-(4*N!AF53)))+(Rstar!AF53*N!AF53*(1-(N!AF53/Kstar!AF53)))</f>
        <v>7.4148877912441691</v>
      </c>
      <c r="AG53" s="78">
        <f>N!AG53+($Q$7*(SUM(N!AF53,N!AG52,N!AH53,N!AG54)-(4*N!AG53)))+(Rstar!AG53*N!AG53*(1-(N!AG53/Kstar!AG53)))</f>
        <v>7.4154759164016166</v>
      </c>
      <c r="AH53" s="78">
        <f>N!AH53+($Q$7*(SUM(N!AG53,N!AH52,N!AI53,N!AH54)-(4*N!AH53)))+(Rstar!AH53*N!AH53*(1-(N!AH53/Kstar!AH53)))</f>
        <v>7.4159905722363471</v>
      </c>
      <c r="AI53" s="78">
        <f>N!AI53+($Q$7*(SUM(N!AH53,N!AI52,N!AJ53,N!AI54)-(4*N!AI53)))+(Rstar!AI53*N!AI53*(1-(N!AI53/Kstar!AI53)))</f>
        <v>7.4160713599697736</v>
      </c>
      <c r="AJ53" s="78">
        <f>N!AJ53+($Q$7*(SUM(N!AI53,N!AJ52,N!AK53,N!AJ54)-(4*N!AJ53)))+(Rstar!AJ53*N!AJ53*(1-(N!AJ53/Kstar!AJ53)))</f>
        <v>7.4149097572365479</v>
      </c>
      <c r="AK53" s="78">
        <f>N!AK53+($Q$7*(SUM(N!AJ53,N!AK52,N!AL53,N!AK54)-(4*N!AK53)))+(Rstar!AK53*N!AK53*(1-(N!AK53/Kstar!AK53)))</f>
        <v>7.4108844541451715</v>
      </c>
      <c r="AL53" s="78">
        <f>N!AL53+($Q$7*(SUM(N!AK53,N!AL52,N!AM53,N!AL54)-(4*N!AL53)))+(Rstar!AL53*N!AL53*(1-(N!AL53/Kstar!AL53)))</f>
        <v>7.401144299215626</v>
      </c>
      <c r="AM53" s="78">
        <f>N!AM53+($Q$7*(SUM(N!AL53,N!AM52,N!AN53,N!AM54)-(4*N!AM53)))+(Rstar!AM53*N!AM53*(1-(N!AM53/Kstar!AM53)))</f>
        <v>7.3817649566019679</v>
      </c>
      <c r="AN53" s="78">
        <f>N!AN53+($Q$7*(SUM(N!AM53,N!AN52,N!AO53,N!AN54)-(4*N!AN53)))+(Rstar!AN53*N!AN53*(1-(N!AN53/Kstar!AN53)))</f>
        <v>7.3509863409225389</v>
      </c>
      <c r="AO53" s="78">
        <f>N!AO53+($Q$7*(SUM(N!AN53,N!AO52,N!AP53,N!AO54)-(4*N!AO53)))+(Rstar!AO53*N!AO53*(1-(N!AO53/Kstar!AO53)))</f>
        <v>7.3237256134672153</v>
      </c>
      <c r="AP53" s="78">
        <f>N!AP53+($Q$7*(SUM(N!AO53,N!AP52,N!AQ53,N!AP54)-(4*N!AP53)))+(Rstar!AP53*N!AP53*(1-(N!AP53/Kstar!AP53)))</f>
        <v>7.38044558937115</v>
      </c>
      <c r="AQ53" s="79">
        <f>N!AQ53+($Q$7*(SUM(N!AP53,N!AQ52,N!AR53,N!AQ54)-(4*N!AQ53)))+(Rstar!AQ53*N!AQ53*(1-(N!AQ53/Kstar!AQ53)))</f>
        <v>7.8048491150294659</v>
      </c>
      <c r="AR53" s="92">
        <f>N!AR53+($X$7*(SUM(N!AQ53,N!AR52,N!AS53,N!AR54)-(4*N!AR53)))+(Rstar!AR53*N!AR53*(1-(N!AR53/Kstar!AR53)))</f>
        <v>9.3884259788425499</v>
      </c>
      <c r="AS53" s="86">
        <f>N!AS53+($X$7*(SUM(N!AR53,N!AS52,N!AT53,N!AS54)-(4*N!AS53)))+(Rstar!AS53*N!AS53*(1-(N!AS53/Kstar!AS53)))</f>
        <v>9.8719245280288597</v>
      </c>
      <c r="AT53" s="86">
        <f>N!AT53+($X$7*(SUM(N!AS53,N!AT52,N!AU53,N!AT54)-(4*N!AT53)))+(Rstar!AT53*N!AT53*(1-(N!AT53/Kstar!AT53)))</f>
        <v>9.9886079734241875</v>
      </c>
      <c r="AU53" s="86">
        <f>N!AU53+($X$7*(SUM(N!AT53,N!AU52,N!AV53,N!AU54)-(4*N!AU53)))+(Rstar!AU53*N!AU53*(1-(N!AU53/Kstar!AU53)))</f>
        <v>10.002827865879672</v>
      </c>
      <c r="AV53" s="86">
        <f>N!AV53+($X$7*(SUM(N!AU53,N!AV52,N!AW53,N!AV54)-(4*N!AV53)))+(Rstar!AV53*N!AV53*(1-(N!AV53/Kstar!AV53)))</f>
        <v>9.9952803682654245</v>
      </c>
      <c r="AW53" s="86">
        <f>N!AW53+($X$7*(SUM(N!AV53,N!AW52,N!AX53,N!AW54)-(4*N!AW53)))+(Rstar!AW53*N!AW53*(1-(N!AW53/Kstar!AW53)))</f>
        <v>9.9869228884058483</v>
      </c>
      <c r="AX53" s="86">
        <f>N!AX53+($X$7*(SUM(N!AW53,N!AX52,N!AY53,N!AX54)-(4*N!AX53)))+(Rstar!AX53*N!AX53*(1-(N!AX53/Kstar!AX53)))</f>
        <v>9.9814656000322444</v>
      </c>
      <c r="AY53" s="87">
        <f>N!AY53+($X$7*(SUM(N!AX53,N!AY52,N!AZ53,N!AY54)-(4*N!AY53)))+(Rstar!AY53*N!AY53*(1-(N!AY53/Kstar!AY53)))</f>
        <v>9.9785365001982438</v>
      </c>
      <c r="AZ53" s="72">
        <f>N!AZ53+($X$7*(SUM(N!AY53,N!AZ52,N!AZ54)-(3*N!AZ53)))+(Rstar!AZ53*N!AZ53*(1-(N!AZ53/Kstar!AZ53)))</f>
        <v>9.9773076712105286</v>
      </c>
      <c r="BA53" s="35">
        <v>35</v>
      </c>
    </row>
    <row r="54" spans="2:53" x14ac:dyDescent="0.2">
      <c r="B54" s="34">
        <v>36</v>
      </c>
      <c r="C54" s="72">
        <f>N!C54+($Q$7*(SUM(N!C53,N!D54,N!C55)-(3*N!C54)))+(Rstar!C54*N!C54*(1-(N!C54/Kstar!C54)))</f>
        <v>2.0633524189700356</v>
      </c>
      <c r="D54" s="77">
        <f>N!D54+($Q$7*(SUM(N!C54,N!D53,N!E54,N!D55)-(4*N!D54)))+(Rstar!D54*N!D54*(1-(N!D54/Kstar!D54)))</f>
        <v>3.4506134025949837</v>
      </c>
      <c r="E54" s="78">
        <f>N!E54+($Q$7*(SUM(N!D54,N!E53,N!F54,N!E55)-(4*N!E54)))+(Rstar!E54*N!E54*(1-(N!E54/Kstar!E54)))</f>
        <v>4.39537136381478</v>
      </c>
      <c r="F54" s="78">
        <f>N!F54+($Q$7*(SUM(N!E54,N!F53,N!G54,N!F55)-(4*N!F54)))+(Rstar!F54*N!F54*(1-(N!F54/Kstar!F54)))</f>
        <v>5.0477473340929269</v>
      </c>
      <c r="G54" s="78">
        <f>N!G54+($Q$7*(SUM(N!F54,N!G53,N!H54,N!G55)-(4*N!G54)))+(Rstar!G54*N!G54*(1-(N!G54/Kstar!G54)))</f>
        <v>5.0610683165056427</v>
      </c>
      <c r="H54" s="78">
        <f>N!H54+($Q$7*(SUM(N!G54,N!H53,N!I54,N!H55)-(4*N!H54)))+(Rstar!H54*N!H54*(1-(N!H54/Kstar!H54)))</f>
        <v>5.0610580234255016</v>
      </c>
      <c r="I54" s="78">
        <f>N!I54+($Q$7*(SUM(N!H54,N!I53,N!J54,N!I55)-(4*N!I54)))+(Rstar!I54*N!I54*(1-(N!I54/Kstar!I54)))</f>
        <v>5.0610421525903844</v>
      </c>
      <c r="J54" s="78">
        <f>N!J54+($Q$7*(SUM(N!I54,N!J53,N!K54,N!J55)-(4*N!J54)))+(Rstar!J54*N!J54*(1-(N!J54/Kstar!J54)))</f>
        <v>5.0610293964864761</v>
      </c>
      <c r="K54" s="78">
        <f>N!K54+($Q$7*(SUM(N!J54,N!K53,N!L54,N!K55)-(4*N!K54)))+(Rstar!K54*N!K54*(1-(N!K54/Kstar!K54)))</f>
        <v>5.0610604360394253</v>
      </c>
      <c r="L54" s="78">
        <f>N!L54+($Q$7*(SUM(N!K54,N!L53,N!M54,N!L55)-(4*N!L54)))+(Rstar!L54*N!L54*(1-(N!L54/Kstar!L54)))</f>
        <v>5.0610683165056427</v>
      </c>
      <c r="M54" s="78">
        <f>N!M54+($Q$7*(SUM(N!L54,N!M53,N!N54,N!M55)-(4*N!M54)))+(Rstar!M54*N!M54*(1-(N!M54/Kstar!M54)))</f>
        <v>5.0610580234255016</v>
      </c>
      <c r="N54" s="78">
        <f>N!N54+($Q$7*(SUM(N!M54,N!N53,N!O54,N!N55)-(4*N!N54)))+(Rstar!N54*N!N54*(1-(N!N54/Kstar!N54)))</f>
        <v>5.0610421525903844</v>
      </c>
      <c r="O54" s="78">
        <f>N!O54+($Q$7*(SUM(N!N54,N!O53,N!P54,N!O55)-(4*N!O54)))+(Rstar!O54*N!O54*(1-(N!O54/Kstar!O54)))</f>
        <v>5.0610285949459328</v>
      </c>
      <c r="P54" s="78">
        <f>N!P54+($Q$7*(SUM(N!O54,N!P53,N!Q54,N!P55)-(4*N!P54)))+(Rstar!P54*N!P54*(1-(N!P54/Kstar!P54)))</f>
        <v>5.0610205997667608</v>
      </c>
      <c r="Q54" s="78">
        <f>N!Q54+($Q$7*(SUM(N!P54,N!Q53,N!R54,N!Q55)-(4*N!Q54)))+(Rstar!Q54*N!Q54*(1-(N!Q54/Kstar!Q54)))</f>
        <v>5.0610191345259707</v>
      </c>
      <c r="R54" s="78">
        <f>N!R54+($Q$7*(SUM(N!Q54,N!R53,N!S54,N!R55)-(4*N!R54)))+(Rstar!R54*N!R54*(1-(N!R54/Kstar!R54)))</f>
        <v>5.0610246163952484</v>
      </c>
      <c r="S54" s="78">
        <f>N!S54+($Q$7*(SUM(N!R54,N!S53,N!T54,N!S55)-(4*N!S54)))+(Rstar!S54*N!S54*(1-(N!S54/Kstar!S54)))</f>
        <v>5.0610378246831171</v>
      </c>
      <c r="T54" s="78">
        <f>N!T54+($Q$7*(SUM(N!S54,N!T53,N!U54,N!T55)-(4*N!T54)))+(Rstar!T54*N!T54*(1-(N!T54/Kstar!T54)))</f>
        <v>5.0610603553022582</v>
      </c>
      <c r="U54" s="78">
        <f>N!U54+($Q$7*(SUM(N!T54,N!U53,N!V54,N!U55)-(4*N!U54)))+(Rstar!U54*N!U54*(1-(N!U54/Kstar!U54)))</f>
        <v>5.0610949170399913</v>
      </c>
      <c r="V54" s="78">
        <f>N!V54+($Q$7*(SUM(N!U54,N!V53,N!W54,N!V55)-(4*N!V54)))+(Rstar!V54*N!V54*(1-(N!V54/Kstar!V54)))</f>
        <v>5.0611456465910942</v>
      </c>
      <c r="W54" s="78">
        <f>N!W54+($Q$7*(SUM(N!V54,N!W53,N!X54,N!W55)-(4*N!W54)))+(Rstar!W54*N!W54*(1-(N!W54/Kstar!W54)))</f>
        <v>5.0612185483762655</v>
      </c>
      <c r="X54" s="78">
        <f>N!X54+($Q$7*(SUM(N!W54,N!X53,N!Y54,N!X55)-(4*N!X54)))+(Rstar!X54*N!X54*(1-(N!X54/Kstar!X54)))</f>
        <v>5.0613221441316467</v>
      </c>
      <c r="Y54" s="78">
        <f>N!Y54+($Q$7*(SUM(N!X54,N!Y53,N!Z54,N!Y55)-(4*N!Y54)))+(Rstar!Y54*N!Y54*(1-(N!Y54/Kstar!Y54)))</f>
        <v>5.0614684298986647</v>
      </c>
      <c r="Z54" s="78">
        <f>N!Z54+($Q$7*(SUM(N!Y54,N!Z53,N!AA54,N!Z55)-(4*N!Z54)))+(Rstar!Z54*N!Z54*(1-(N!Z54/Kstar!Z54)))</f>
        <v>5.0616742746636092</v>
      </c>
      <c r="AA54" s="78">
        <f>N!AA54+($Q$7*(SUM(N!Z54,N!AA53,N!AB54,N!AA55)-(4*N!AA54)))+(Rstar!AA54*N!AA54*(1-(N!AA54/Kstar!AA54)))</f>
        <v>5.0619634524668227</v>
      </c>
      <c r="AB54" s="78">
        <f>N!AB54+($Q$7*(SUM(N!AA54,N!AB53,N!AC54,N!AB55)-(4*N!AB54)))+(Rstar!AB54*N!AB54*(1-(N!AB54/Kstar!AB54)))</f>
        <v>5.0623695791314738</v>
      </c>
      <c r="AC54" s="78">
        <f>N!AC54+($Q$7*(SUM(N!AB54,N!AC53,N!AD54,N!AC55)-(4*N!AC54)))+(Rstar!AC54*N!AC54*(1-(N!AC54/Kstar!AC54)))</f>
        <v>5.0629403292393773</v>
      </c>
      <c r="AD54" s="78">
        <f>N!AD54+($Q$7*(SUM(N!AC54,N!AD53,N!AE54,N!AD55)-(4*N!AD54)))+(Rstar!AD54*N!AD54*(1-(N!AD54/Kstar!AD54)))</f>
        <v>5.0637434492773288</v>
      </c>
      <c r="AE54" s="78">
        <f>N!AE54+($Q$7*(SUM(N!AD54,N!AE53,N!AF54,N!AE55)-(4*N!AE54)))+(Rstar!AE54*N!AE54*(1-(N!AE54/Kstar!AE54)))</f>
        <v>5.0648753015124104</v>
      </c>
      <c r="AF54" s="78">
        <f>N!AF54+($Q$7*(SUM(N!AE54,N!AF53,N!AG54,N!AF55)-(4*N!AF54)))+(Rstar!AF54*N!AF54*(1-(N!AF54/Kstar!AF54)))</f>
        <v>5.0664731326319519</v>
      </c>
      <c r="AG54" s="78">
        <f>N!AG54+($Q$7*(SUM(N!AF54,N!AG53,N!AH54,N!AG55)-(4*N!AG54)))+(Rstar!AG54*N!AG54*(1-(N!AG54/Kstar!AG54)))</f>
        <v>5.0687335229801036</v>
      </c>
      <c r="AH54" s="78">
        <f>N!AH54+($Q$7*(SUM(N!AG54,N!AH53,N!AI54,N!AH55)-(4*N!AH54)))+(Rstar!AH54*N!AH54*(1-(N!AH54/Kstar!AH54)))</f>
        <v>5.071943319435217</v>
      </c>
      <c r="AI54" s="78">
        <f>N!AI54+($Q$7*(SUM(N!AH54,N!AI53,N!AJ54,N!AI55)-(4*N!AI54)))+(Rstar!AI54*N!AI54*(1-(N!AI54/Kstar!AI54)))</f>
        <v>5.0765410983771933</v>
      </c>
      <c r="AJ54" s="78">
        <f>N!AJ54+($Q$7*(SUM(N!AI54,N!AJ53,N!AK54,N!AJ55)-(4*N!AJ54)))+(Rstar!AJ54*N!AJ54*(1-(N!AJ54/Kstar!AJ54)))</f>
        <v>5.0832618771716946</v>
      </c>
      <c r="AK54" s="78">
        <f>N!AK54+($Q$7*(SUM(N!AJ54,N!AK53,N!AL54,N!AK55)-(4*N!AK54)))+(Rstar!AK54*N!AK54*(1-(N!AK54/Kstar!AK54)))</f>
        <v>5.0935160731038476</v>
      </c>
      <c r="AL54" s="78">
        <f>N!AL54+($Q$7*(SUM(N!AK54,N!AL53,N!AM54,N!AL55)-(4*N!AL54)))+(Rstar!AL54*N!AL54*(1-(N!AL54/Kstar!AL54)))</f>
        <v>5.1104207007324609</v>
      </c>
      <c r="AM54" s="78">
        <f>N!AM54+($Q$7*(SUM(N!AL54,N!AM53,N!AN54,N!AM55)-(4*N!AM54)))+(Rstar!AM54*N!AM54*(1-(N!AM54/Kstar!AM54)))</f>
        <v>5.1415930607504849</v>
      </c>
      <c r="AN54" s="78">
        <f>N!AN54+($Q$7*(SUM(N!AM54,N!AN53,N!AO54,N!AN55)-(4*N!AN54)))+(Rstar!AN54*N!AN54*(1-(N!AN54/Kstar!AN54)))</f>
        <v>5.2065126449784298</v>
      </c>
      <c r="AO54" s="78">
        <f>N!AO54+($Q$7*(SUM(N!AN54,N!AO53,N!AP54,N!AO55)-(4*N!AO54)))+(Rstar!AO54*N!AO54*(1-(N!AO54/Kstar!AO54)))</f>
        <v>5.3551082223619826</v>
      </c>
      <c r="AP54" s="78">
        <f>N!AP54+($Q$7*(SUM(N!AO54,N!AP53,N!AQ54,N!AP55)-(4*N!AP54)))+(Rstar!AP54*N!AP54*(1-(N!AP54/Kstar!AP54)))</f>
        <v>5.7121896525572167</v>
      </c>
      <c r="AQ54" s="79">
        <f>N!AQ54+($Q$7*(SUM(N!AP54,N!AQ53,N!AR54,N!AQ55)-(4*N!AQ54)))+(Rstar!AQ54*N!AQ54*(1-(N!AQ54/Kstar!AQ54)))</f>
        <v>6.578027191479217</v>
      </c>
      <c r="AR54" s="92">
        <f>N!AR54+($X$7*(SUM(N!AQ54,N!AR53,N!AS54,N!AR55)-(4*N!AR54)))+(Rstar!AR54*N!AR54*(1-(N!AR54/Kstar!AR54)))</f>
        <v>8.6350597144318719</v>
      </c>
      <c r="AS54" s="86">
        <f>N!AS54+($X$7*(SUM(N!AR54,N!AS53,N!AT54,N!AS55)-(4*N!AS54)))+(Rstar!AS54*N!AS54*(1-(N!AS54/Kstar!AS54)))</f>
        <v>9.4805959358842848</v>
      </c>
      <c r="AT54" s="86">
        <f>N!AT54+($X$7*(SUM(N!AS54,N!AT53,N!AU54,N!AT55)-(4*N!AT54)))+(Rstar!AT54*N!AT54*(1-(N!AT54/Kstar!AT54)))</f>
        <v>9.8010542038151929</v>
      </c>
      <c r="AU54" s="86">
        <f>N!AU54+($X$7*(SUM(N!AT54,N!AU53,N!AV54,N!AU55)-(4*N!AU54)))+(Rstar!AU54*N!AU54*(1-(N!AU54/Kstar!AU54)))</f>
        <v>9.9168312123916671</v>
      </c>
      <c r="AV54" s="86">
        <f>N!AV54+($X$7*(SUM(N!AU54,N!AV53,N!AW54,N!AV55)-(4*N!AV54)))+(Rstar!AV54*N!AV54*(1-(N!AV54/Kstar!AV54)))</f>
        <v>9.9568818204001754</v>
      </c>
      <c r="AW54" s="86">
        <f>N!AW54+($X$7*(SUM(N!AV54,N!AW53,N!AX54,N!AW55)-(4*N!AW54)))+(Rstar!AW54*N!AW54*(1-(N!AW54/Kstar!AW54)))</f>
        <v>9.9700405201870321</v>
      </c>
      <c r="AX54" s="86">
        <f>N!AX54+($X$7*(SUM(N!AW54,N!AX53,N!AY54,N!AX55)-(4*N!AX54)))+(Rstar!AX54*N!AX54*(1-(N!AX54/Kstar!AX54)))</f>
        <v>9.9740576341356029</v>
      </c>
      <c r="AY54" s="87">
        <f>N!AY54+($X$7*(SUM(N!AX54,N!AY53,N!AZ54,N!AY55)-(4*N!AY54)))+(Rstar!AY54*N!AY54*(1-(N!AY54/Kstar!AY54)))</f>
        <v>9.9751475907989384</v>
      </c>
      <c r="AZ54" s="72">
        <f>N!AZ54+($X$7*(SUM(N!AY54,N!AZ53,N!AZ55)-(3*N!AZ54)))+(Rstar!AZ54*N!AZ54*(1-(N!AZ54/Kstar!AZ54)))</f>
        <v>9.9753863940147944</v>
      </c>
      <c r="BA54" s="35">
        <v>36</v>
      </c>
    </row>
    <row r="55" spans="2:53" x14ac:dyDescent="0.2">
      <c r="B55" s="34">
        <v>37</v>
      </c>
      <c r="C55" s="72">
        <f>N!C55+($Q$7*(SUM(N!C54,N!D55,N!C56)-(3*N!C55)))+(Rstar!C55*N!C55*(1-(N!C55/Kstar!C55)))</f>
        <v>1.7348552479396884</v>
      </c>
      <c r="D55" s="77">
        <f>N!D55+($Q$7*(SUM(N!C55,N!D54,N!E55,N!D56)-(4*N!D55)))+(Rstar!D55*N!D55*(1-(N!D55/Kstar!D55)))</f>
        <v>2.5677579327608582</v>
      </c>
      <c r="E55" s="78">
        <f>N!E55+($Q$7*(SUM(N!D55,N!E54,N!F55,N!E56)-(4*N!E55)))+(Rstar!E55*N!E55*(1-(N!E55/Kstar!E55)))</f>
        <v>3.2178525042009047</v>
      </c>
      <c r="F55" s="78">
        <f>N!F55+($Q$7*(SUM(N!E55,N!F54,N!G55,N!F56)-(4*N!F55)))+(Rstar!F55*N!F55*(1-(N!F55/Kstar!F55)))</f>
        <v>3.7268781619052054</v>
      </c>
      <c r="G55" s="78">
        <f>N!G55+($Q$7*(SUM(N!F55,N!G54,N!H55,N!G56)-(4*N!G55)))+(Rstar!G55*N!G55*(1-(N!G55/Kstar!G55)))</f>
        <v>3.7372697677897699</v>
      </c>
      <c r="H55" s="78">
        <f>N!H55+($Q$7*(SUM(N!G55,N!H54,N!I55,N!H56)-(4*N!H55)))+(Rstar!H55*N!H55*(1-(N!H55/Kstar!H55)))</f>
        <v>3.7372663772240897</v>
      </c>
      <c r="I55" s="78">
        <f>N!I55+($Q$7*(SUM(N!H55,N!I54,N!J55,N!I56)-(4*N!I55)))+(Rstar!I55*N!I55*(1-(N!I55/Kstar!I55)))</f>
        <v>3.7372604146732091</v>
      </c>
      <c r="J55" s="78">
        <f>N!J55+($Q$7*(SUM(N!I55,N!J54,N!K55,N!J56)-(4*N!J55)))+(Rstar!J55*N!J55*(1-(N!J55/Kstar!J55)))</f>
        <v>3.7372564621331335</v>
      </c>
      <c r="K55" s="78">
        <f>N!K55+($Q$7*(SUM(N!J55,N!K54,N!L55,N!K56)-(4*N!K55)))+(Rstar!K55*N!K55*(1-(N!K55/Kstar!K55)))</f>
        <v>3.7372661967389145</v>
      </c>
      <c r="L55" s="78">
        <f>N!L55+($Q$7*(SUM(N!K55,N!L54,N!M55,N!L56)-(4*N!L55)))+(Rstar!L55*N!L55*(1-(N!L55/Kstar!L55)))</f>
        <v>3.7372697677897699</v>
      </c>
      <c r="M55" s="78">
        <f>N!M55+($Q$7*(SUM(N!L55,N!M54,N!N55,N!M56)-(4*N!M55)))+(Rstar!M55*N!M55*(1-(N!M55/Kstar!M55)))</f>
        <v>3.7372663772240897</v>
      </c>
      <c r="N55" s="78">
        <f>N!N55+($Q$7*(SUM(N!M55,N!N54,N!O55,N!N56)-(4*N!N55)))+(Rstar!N55*N!N55*(1-(N!N55/Kstar!N55)))</f>
        <v>3.7372604146732091</v>
      </c>
      <c r="O55" s="78">
        <f>N!O55+($Q$7*(SUM(N!N55,N!O54,N!P55,N!O56)-(4*N!O55)))+(Rstar!O55*N!O55*(1-(N!O55/Kstar!O55)))</f>
        <v>3.7372562764581594</v>
      </c>
      <c r="P55" s="78">
        <f>N!P55+($Q$7*(SUM(N!O55,N!P54,N!Q55,N!P56)-(4*N!P55)))+(Rstar!P55*N!P55*(1-(N!P55/Kstar!P55)))</f>
        <v>3.7372570442229298</v>
      </c>
      <c r="Q55" s="78">
        <f>N!Q55+($Q$7*(SUM(N!P55,N!Q54,N!R55,N!Q56)-(4*N!Q55)))+(Rstar!Q55*N!Q55*(1-(N!Q55/Kstar!Q55)))</f>
        <v>3.7372649334794965</v>
      </c>
      <c r="R55" s="78">
        <f>N!R55+($Q$7*(SUM(N!Q55,N!R54,N!S55,N!R56)-(4*N!R55)))+(Rstar!R55*N!R55*(1-(N!R55/Kstar!R55)))</f>
        <v>3.7372820990389157</v>
      </c>
      <c r="S55" s="78">
        <f>N!S55+($Q$7*(SUM(N!R55,N!S54,N!T55,N!S56)-(4*N!S55)))+(Rstar!S55*N!S55*(1-(N!S55/Kstar!S55)))</f>
        <v>3.7373113331770744</v>
      </c>
      <c r="T55" s="78">
        <f>N!T55+($Q$7*(SUM(N!S55,N!T54,N!U55,N!T56)-(4*N!T55)))+(Rstar!T55*N!T55*(1-(N!T55/Kstar!T55)))</f>
        <v>3.7373566411759405</v>
      </c>
      <c r="U55" s="78">
        <f>N!U55+($Q$7*(SUM(N!T55,N!U54,N!V55,N!U56)-(4*N!U55)))+(Rstar!U55*N!U55*(1-(N!U55/Kstar!U55)))</f>
        <v>3.7374238045455508</v>
      </c>
      <c r="V55" s="78">
        <f>N!V55+($Q$7*(SUM(N!U55,N!V54,N!W55,N!V56)-(4*N!V55)))+(Rstar!V55*N!V55*(1-(N!V55/Kstar!V55)))</f>
        <v>3.737521056434959</v>
      </c>
      <c r="W55" s="78">
        <f>N!W55+($Q$7*(SUM(N!V55,N!W54,N!X55,N!W56)-(4*N!W55)))+(Rstar!W55*N!W55*(1-(N!W55/Kstar!W55)))</f>
        <v>3.737659995216033</v>
      </c>
      <c r="X55" s="78">
        <f>N!X55+($Q$7*(SUM(N!W55,N!X54,N!Y55,N!X56)-(4*N!X55)))+(Rstar!X55*N!X55*(1-(N!X55/Kstar!X55)))</f>
        <v>3.7378568848627562</v>
      </c>
      <c r="Y55" s="78">
        <f>N!Y55+($Q$7*(SUM(N!X55,N!Y54,N!Z55,N!Y56)-(4*N!Y55)))+(Rstar!Y55*N!Y55*(1-(N!Y55/Kstar!Y55)))</f>
        <v>3.7381345470939276</v>
      </c>
      <c r="Z55" s="78">
        <f>N!Z55+($Q$7*(SUM(N!Y55,N!Z54,N!AA55,N!Z56)-(4*N!Z55)))+(Rstar!Z55*N!Z55*(1-(N!Z55/Kstar!Z55)))</f>
        <v>3.7385251523867402</v>
      </c>
      <c r="AA55" s="78">
        <f>N!AA55+($Q$7*(SUM(N!Z55,N!AA54,N!AB55,N!AA56)-(4*N!AA55)))+(Rstar!AA55*N!AA55*(1-(N!AA55/Kstar!AA55)))</f>
        <v>3.7390743867542486</v>
      </c>
      <c r="AB55" s="78">
        <f>N!AB55+($Q$7*(SUM(N!AA55,N!AB54,N!AC55,N!AB56)-(4*N!AB55)))+(Rstar!AB55*N!AB55*(1-(N!AB55/Kstar!AB55)))</f>
        <v>3.7398477500311369</v>
      </c>
      <c r="AC55" s="78">
        <f>N!AC55+($Q$7*(SUM(N!AB55,N!AC54,N!AD55,N!AC56)-(4*N!AC55)))+(Rstar!AC55*N!AC55*(1-(N!AC55/Kstar!AC55)))</f>
        <v>3.7409402083332632</v>
      </c>
      <c r="AD55" s="78">
        <f>N!AD55+($Q$7*(SUM(N!AC55,N!AD54,N!AE55,N!AD56)-(4*N!AD55)))+(Rstar!AD55*N!AD55*(1-(N!AD55/Kstar!AD55)))</f>
        <v>3.7424912343993979</v>
      </c>
      <c r="AE55" s="78">
        <f>N!AE55+($Q$7*(SUM(N!AD55,N!AE54,N!AF55,N!AE56)-(4*N!AE55)))+(Rstar!AE55*N!AE55*(1-(N!AE55/Kstar!AE55)))</f>
        <v>3.7447087473306171</v>
      </c>
      <c r="AF55" s="78">
        <f>N!AF55+($Q$7*(SUM(N!AE55,N!AF54,N!AG55,N!AF56)-(4*N!AF55)))+(Rstar!AF55*N!AF55*(1-(N!AF55/Kstar!AF55)))</f>
        <v>3.7479083028466977</v>
      </c>
      <c r="AG55" s="78">
        <f>N!AG55+($Q$7*(SUM(N!AF55,N!AG54,N!AH55,N!AG56)-(4*N!AG55)))+(Rstar!AG55*N!AG55*(1-(N!AG55/Kstar!AG55)))</f>
        <v>3.7525796287353455</v>
      </c>
      <c r="AH55" s="78">
        <f>N!AH55+($Q$7*(SUM(N!AG55,N!AH54,N!AI55,N!AH56)-(4*N!AH55)))+(Rstar!AH55*N!AH55*(1-(N!AH55/Kstar!AH55)))</f>
        <v>3.7595047260530685</v>
      </c>
      <c r="AI55" s="78">
        <f>N!AI55+($Q$7*(SUM(N!AH55,N!AI54,N!AJ55,N!AI56)-(4*N!AI55)))+(Rstar!AI55*N!AI55*(1-(N!AI55/Kstar!AI55)))</f>
        <v>3.7699781403537944</v>
      </c>
      <c r="AJ55" s="78">
        <f>N!AJ55+($Q$7*(SUM(N!AI55,N!AJ54,N!AK55,N!AJ56)-(4*N!AJ55)))+(Rstar!AJ55*N!AJ55*(1-(N!AJ55/Kstar!AJ55)))</f>
        <v>3.7862383371449893</v>
      </c>
      <c r="AK55" s="78">
        <f>N!AK55+($Q$7*(SUM(N!AJ55,N!AK54,N!AL55,N!AK56)-(4*N!AK55)))+(Rstar!AK55*N!AK55*(1-(N!AK55/Kstar!AK55)))</f>
        <v>3.8123483330089512</v>
      </c>
      <c r="AL55" s="78">
        <f>N!AL55+($Q$7*(SUM(N!AK55,N!AL54,N!AM55,N!AL56)-(4*N!AL55)))+(Rstar!AL55*N!AL55*(1-(N!AL55/Kstar!AL55)))</f>
        <v>3.85604677840761</v>
      </c>
      <c r="AM55" s="78">
        <f>N!AM55+($Q$7*(SUM(N!AL55,N!AM54,N!AN55,N!AM56)-(4*N!AM55)))+(Rstar!AM55*N!AM55*(1-(N!AM55/Kstar!AM55)))</f>
        <v>3.9326961861448968</v>
      </c>
      <c r="AN55" s="78">
        <f>N!AN55+($Q$7*(SUM(N!AM55,N!AN54,N!AO55,N!AN56)-(4*N!AN55)))+(Rstar!AN55*N!AN55*(1-(N!AN55/Kstar!AN55)))</f>
        <v>4.0737088788377127</v>
      </c>
      <c r="AO55" s="78">
        <f>N!AO55+($Q$7*(SUM(N!AN55,N!AO54,N!AP55,N!AO56)-(4*N!AO55)))+(Rstar!AO55*N!AO55*(1-(N!AO55/Kstar!AO55)))</f>
        <v>4.344363410004024</v>
      </c>
      <c r="AP55" s="78">
        <f>N!AP55+($Q$7*(SUM(N!AO55,N!AP54,N!AQ55,N!AP56)-(4*N!AP55)))+(Rstar!AP55*N!AP55*(1-(N!AP55/Kstar!AP55)))</f>
        <v>4.8812381076561309</v>
      </c>
      <c r="AQ55" s="79">
        <f>N!AQ55+($Q$7*(SUM(N!AP55,N!AQ54,N!AR55,N!AQ56)-(4*N!AQ55)))+(Rstar!AQ55*N!AQ55*(1-(N!AQ55/Kstar!AQ55)))</f>
        <v>5.9732179482139909</v>
      </c>
      <c r="AR55" s="92">
        <f>N!AR55+($X$7*(SUM(N!AQ55,N!AR54,N!AS55,N!AR56)-(4*N!AR55)))+(Rstar!AR55*N!AR55*(1-(N!AR55/Kstar!AR55)))</f>
        <v>8.2396961200477818</v>
      </c>
      <c r="AS55" s="86">
        <f>N!AS55+($X$7*(SUM(N!AR55,N!AS54,N!AT55,N!AS56)-(4*N!AS55)))+(Rstar!AS55*N!AS55*(1-(N!AS55/Kstar!AS55)))</f>
        <v>9.2619378435904434</v>
      </c>
      <c r="AT55" s="86">
        <f>N!AT55+($X$7*(SUM(N!AS55,N!AT54,N!AU55,N!AT56)-(4*N!AT55)))+(Rstar!AT55*N!AT55*(1-(N!AT55/Kstar!AT55)))</f>
        <v>9.6899808814295998</v>
      </c>
      <c r="AU55" s="86">
        <f>N!AU55+($X$7*(SUM(N!AT55,N!AU54,N!AV55,N!AU56)-(4*N!AU55)))+(Rstar!AU55*N!AU55*(1-(N!AU55/Kstar!AU55)))</f>
        <v>9.8631534093268183</v>
      </c>
      <c r="AV55" s="86">
        <f>N!AV55+($X$7*(SUM(N!AU55,N!AV54,N!AW55,N!AV56)-(4*N!AV55)))+(Rstar!AV55*N!AV55*(1-(N!AV55/Kstar!AV55)))</f>
        <v>9.9317655977789538</v>
      </c>
      <c r="AW55" s="86">
        <f>N!AW55+($X$7*(SUM(N!AV55,N!AW54,N!AX55,N!AW56)-(4*N!AW55)))+(Rstar!AW55*N!AW55*(1-(N!AW55/Kstar!AW55)))</f>
        <v>9.9585309313931401</v>
      </c>
      <c r="AX55" s="86">
        <f>N!AX55+($X$7*(SUM(N!AW55,N!AX54,N!AY55,N!AX56)-(4*N!AX55)))+(Rstar!AX55*N!AX55*(1-(N!AX55/Kstar!AX55)))</f>
        <v>9.968816289203728</v>
      </c>
      <c r="AY55" s="87">
        <f>N!AY55+($X$7*(SUM(N!AX55,N!AY54,N!AZ55,N!AY56)-(4*N!AY55)))+(Rstar!AY55*N!AY55*(1-(N!AY55/Kstar!AY55)))</f>
        <v>9.9726653416254845</v>
      </c>
      <c r="AZ55" s="72">
        <f>N!AZ55+($X$7*(SUM(N!AY55,N!AZ54,N!AZ56)-(3*N!AZ55)))+(Rstar!AZ55*N!AZ55*(1-(N!AZ55/Kstar!AZ55)))</f>
        <v>9.9739379873185001</v>
      </c>
      <c r="BA55" s="35">
        <v>37</v>
      </c>
    </row>
    <row r="56" spans="2:53" x14ac:dyDescent="0.2">
      <c r="B56" s="34">
        <v>38</v>
      </c>
      <c r="C56" s="72">
        <f>N!C56+($Q$7*(SUM(N!C55,N!D56,N!C57)-(3*N!C56)))+(Rstar!C56*N!C56*(1-(N!C56/Kstar!C56)))</f>
        <v>1.529687138039141</v>
      </c>
      <c r="D56" s="77">
        <f>N!D56+($Q$7*(SUM(N!C56,N!D55,N!E56,N!D57)-(4*N!D56)))+(Rstar!D56*N!D56*(1-(N!D56/Kstar!D56)))</f>
        <v>2.0691978297608773</v>
      </c>
      <c r="E56" s="78">
        <f>N!E56+($Q$7*(SUM(N!D56,N!E55,N!F56,N!E57)-(4*N!E56)))+(Rstar!E56*N!E56*(1-(N!E56/Kstar!E56)))</f>
        <v>2.5281633914025248</v>
      </c>
      <c r="F56" s="78">
        <f>N!F56+($Q$7*(SUM(N!E56,N!F55,N!G56,N!F57)-(4*N!F56)))+(Rstar!F56*N!F56*(1-(N!F56/Kstar!F56)))</f>
        <v>2.9174384690561936</v>
      </c>
      <c r="G56" s="78">
        <f>N!G56+($Q$7*(SUM(N!F56,N!G55,N!H56,N!G57)-(4*N!G56)))+(Rstar!G56*N!G56*(1-(N!G56/Kstar!G56)))</f>
        <v>2.925382269975823</v>
      </c>
      <c r="H56" s="78">
        <f>N!H56+($Q$7*(SUM(N!G56,N!H55,N!I56,N!H57)-(4*N!H56)))+(Rstar!H56*N!H56*(1-(N!H56/Kstar!H56)))</f>
        <v>2.9253811368824492</v>
      </c>
      <c r="I56" s="78">
        <f>N!I56+($Q$7*(SUM(N!H56,N!I55,N!J56,N!I57)-(4*N!I56)))+(Rstar!I56*N!I56*(1-(N!I56/Kstar!I56)))</f>
        <v>2.9253809537250008</v>
      </c>
      <c r="J56" s="78">
        <f>N!J56+($Q$7*(SUM(N!I56,N!J55,N!K56,N!J57)-(4*N!J56)))+(Rstar!J56*N!J56*(1-(N!J56/Kstar!J56)))</f>
        <v>2.9253841827087865</v>
      </c>
      <c r="K56" s="78">
        <f>N!K56+($Q$7*(SUM(N!J56,N!K55,N!L56,N!K57)-(4*N!K56)))+(Rstar!K56*N!K56*(1-(N!K56/Kstar!K56)))</f>
        <v>2.9253828417145149</v>
      </c>
      <c r="L56" s="78">
        <f>N!L56+($Q$7*(SUM(N!K56,N!L55,N!M56,N!L57)-(4*N!L56)))+(Rstar!L56*N!L56*(1-(N!L56/Kstar!L56)))</f>
        <v>2.925382269975823</v>
      </c>
      <c r="M56" s="78">
        <f>N!M56+($Q$7*(SUM(N!L56,N!M55,N!N56,N!M57)-(4*N!M56)))+(Rstar!M56*N!M56*(1-(N!M56/Kstar!M56)))</f>
        <v>2.9253811368824492</v>
      </c>
      <c r="N56" s="78">
        <f>N!N56+($Q$7*(SUM(N!M56,N!N55,N!O56,N!N57)-(4*N!N56)))+(Rstar!N56*N!N56*(1-(N!N56/Kstar!N56)))</f>
        <v>2.9253809537250008</v>
      </c>
      <c r="O56" s="78">
        <f>N!O56+($Q$7*(SUM(N!N56,N!O55,N!P56,N!O57)-(4*N!O56)))+(Rstar!O56*N!O56*(1-(N!O56/Kstar!O56)))</f>
        <v>2.9253844135266651</v>
      </c>
      <c r="P56" s="78">
        <f>N!P56+($Q$7*(SUM(N!O56,N!P55,N!Q56,N!P57)-(4*N!P56)))+(Rstar!P56*N!P56*(1-(N!P56/Kstar!P56)))</f>
        <v>2.9253944754966108</v>
      </c>
      <c r="Q56" s="78">
        <f>N!Q56+($Q$7*(SUM(N!P56,N!Q55,N!R56,N!Q57)-(4*N!Q56)))+(Rstar!Q56*N!Q56*(1-(N!Q56/Kstar!Q56)))</f>
        <v>2.9254143562536705</v>
      </c>
      <c r="R56" s="78">
        <f>N!R56+($Q$7*(SUM(N!Q56,N!R55,N!S56,N!R57)-(4*N!R56)))+(Rstar!R56*N!R56*(1-(N!R56/Kstar!R56)))</f>
        <v>2.9254479659267925</v>
      </c>
      <c r="S56" s="78">
        <f>N!S56+($Q$7*(SUM(N!R56,N!S55,N!T56,N!S57)-(4*N!S56)))+(Rstar!S56*N!S56*(1-(N!S56/Kstar!S56)))</f>
        <v>2.9255005145634065</v>
      </c>
      <c r="T56" s="78">
        <f>N!T56+($Q$7*(SUM(N!S56,N!T55,N!U56,N!T57)-(4*N!T56)))+(Rstar!T56*N!T56*(1-(N!T56/Kstar!T56)))</f>
        <v>2.9255792204894582</v>
      </c>
      <c r="U56" s="78">
        <f>N!U56+($Q$7*(SUM(N!T56,N!U55,N!V56,N!U57)-(4*N!U56)))+(Rstar!U56*N!U56*(1-(N!U56/Kstar!U56)))</f>
        <v>2.9256941684186595</v>
      </c>
      <c r="V56" s="78">
        <f>N!V56+($Q$7*(SUM(N!U56,N!V55,N!W56,N!V57)-(4*N!V56)))+(Rstar!V56*N!V56*(1-(N!V56/Kstar!V56)))</f>
        <v>2.9258594250373369</v>
      </c>
      <c r="W56" s="78">
        <f>N!W56+($Q$7*(SUM(N!V56,N!W55,N!X56,N!W57)-(4*N!W56)))+(Rstar!W56*N!W56*(1-(N!W56/Kstar!W56)))</f>
        <v>2.9260945679006438</v>
      </c>
      <c r="X56" s="78">
        <f>N!X56+($Q$7*(SUM(N!W56,N!X55,N!Y56,N!X57)-(4*N!X56)))+(Rstar!X56*N!X56*(1-(N!X56/Kstar!X56)))</f>
        <v>2.9264268504223057</v>
      </c>
      <c r="Y56" s="78">
        <f>N!Y56+($Q$7*(SUM(N!X56,N!Y55,N!Z56,N!Y57)-(4*N!Y56)))+(Rstar!Y56*N!Y56*(1-(N!Y56/Kstar!Y56)))</f>
        <v>2.9268943354177726</v>
      </c>
      <c r="Z56" s="78">
        <f>N!Z56+($Q$7*(SUM(N!Y56,N!Z55,N!AA56,N!Z57)-(4*N!Z56)))+(Rstar!Z56*N!Z56*(1-(N!Z56/Kstar!Z56)))</f>
        <v>2.9275505104532904</v>
      </c>
      <c r="AA56" s="78">
        <f>N!AA56+($Q$7*(SUM(N!Z56,N!AA55,N!AB56,N!AA57)-(4*N!AA56)))+(Rstar!AA56*N!AA56*(1-(N!AA56/Kstar!AA56)))</f>
        <v>2.9284711950154434</v>
      </c>
      <c r="AB56" s="78">
        <f>N!AB56+($Q$7*(SUM(N!AA56,N!AB55,N!AC56,N!AB57)-(4*N!AB56)))+(Rstar!AB56*N!AB56*(1-(N!AB56/Kstar!AB56)))</f>
        <v>2.9297650404758007</v>
      </c>
      <c r="AC56" s="78">
        <f>N!AC56+($Q$7*(SUM(N!AB56,N!AC55,N!AD56,N!AC57)-(4*N!AC56)))+(Rstar!AC56*N!AC56*(1-(N!AC56/Kstar!AC56)))</f>
        <v>2.9315897508249189</v>
      </c>
      <c r="AD56" s="78">
        <f>N!AD56+($Q$7*(SUM(N!AC56,N!AD55,N!AE56,N!AD57)-(4*N!AD56)))+(Rstar!AD56*N!AD56*(1-(N!AD56/Kstar!AD56)))</f>
        <v>2.9341775798192233</v>
      </c>
      <c r="AE56" s="78">
        <f>N!AE56+($Q$7*(SUM(N!AD56,N!AE55,N!AF56,N!AE57)-(4*N!AE56)))+(Rstar!AE56*N!AE56*(1-(N!AE56/Kstar!AE56)))</f>
        <v>2.9378761950931729</v>
      </c>
      <c r="AF56" s="78">
        <f>N!AF56+($Q$7*(SUM(N!AE56,N!AF55,N!AG56,N!AF57)-(4*N!AF56)))+(Rstar!AF56*N!AF56*(1-(N!AF56/Kstar!AF56)))</f>
        <v>2.943215632652493</v>
      </c>
      <c r="AG56" s="78">
        <f>N!AG56+($Q$7*(SUM(N!AF56,N!AG55,N!AH56,N!AG57)-(4*N!AG56)))+(Rstar!AG56*N!AG56*(1-(N!AG56/Kstar!AG56)))</f>
        <v>2.9510207631693794</v>
      </c>
      <c r="AH56" s="78">
        <f>N!AH56+($Q$7*(SUM(N!AG56,N!AH55,N!AI56,N!AH57)-(4*N!AH56)))+(Rstar!AH56*N!AH56*(1-(N!AH56/Kstar!AH56)))</f>
        <v>2.9626053904848995</v>
      </c>
      <c r="AI56" s="78">
        <f>N!AI56+($Q$7*(SUM(N!AH56,N!AI55,N!AJ56,N!AI57)-(4*N!AI56)))+(Rstar!AI56*N!AI56*(1-(N!AI56/Kstar!AI56)))</f>
        <v>2.9801166717922287</v>
      </c>
      <c r="AJ56" s="78">
        <f>N!AJ56+($Q$7*(SUM(N!AI56,N!AJ55,N!AK56,N!AJ57)-(4*N!AJ56)))+(Rstar!AJ56*N!AJ56*(1-(N!AJ56/Kstar!AJ56)))</f>
        <v>3.0071625799340174</v>
      </c>
      <c r="AK56" s="78">
        <f>N!AK56+($Q$7*(SUM(N!AJ56,N!AK55,N!AL56,N!AK57)-(4*N!AK56)))+(Rstar!AK56*N!AK56*(1-(N!AK56/Kstar!AK56)))</f>
        <v>3.049981028245031</v>
      </c>
      <c r="AL56" s="78">
        <f>N!AL56+($Q$7*(SUM(N!AK56,N!AL55,N!AM56,N!AL57)-(4*N!AL56)))+(Rstar!AL56*N!AL56*(1-(N!AL56/Kstar!AL56)))</f>
        <v>3.1196553686278246</v>
      </c>
      <c r="AM56" s="78">
        <f>N!AM56+($Q$7*(SUM(N!AL56,N!AM55,N!AN56,N!AM57)-(4*N!AM56)))+(Rstar!AM56*N!AM56*(1-(N!AM56/Kstar!AM56)))</f>
        <v>3.2363593122611949</v>
      </c>
      <c r="AN56" s="78">
        <f>N!AN56+($Q$7*(SUM(N!AM56,N!AN55,N!AO56,N!AN57)-(4*N!AN56)))+(Rstar!AN56*N!AN56*(1-(N!AN56/Kstar!AN56)))</f>
        <v>3.4375550446823757</v>
      </c>
      <c r="AO56" s="78">
        <f>N!AO56+($Q$7*(SUM(N!AN56,N!AO55,N!AP56,N!AO57)-(4*N!AO56)))+(Rstar!AO56*N!AO56*(1-(N!AO56/Kstar!AO56)))</f>
        <v>3.7940416189625319</v>
      </c>
      <c r="AP56" s="78">
        <f>N!AP56+($Q$7*(SUM(N!AO56,N!AP55,N!AQ56,N!AP57)-(4*N!AP56)))+(Rstar!AP56*N!AP56*(1-(N!AP56/Kstar!AP56)))</f>
        <v>4.4425909405758208</v>
      </c>
      <c r="AQ56" s="79">
        <f>N!AQ56+($Q$7*(SUM(N!AP56,N!AQ55,N!AR56,N!AQ57)-(4*N!AQ56)))+(Rstar!AQ56*N!AQ56*(1-(N!AQ56/Kstar!AQ56)))</f>
        <v>5.658734683249695</v>
      </c>
      <c r="AR56" s="92">
        <f>N!AR56+($X$7*(SUM(N!AQ56,N!AR55,N!AS56,N!AR57)-(4*N!AR56)))+(Rstar!AR56*N!AR56*(1-(N!AR56/Kstar!AR56)))</f>
        <v>8.0284262835991811</v>
      </c>
      <c r="AS56" s="86">
        <f>N!AS56+($X$7*(SUM(N!AR56,N!AS55,N!AT56,N!AS57)-(4*N!AS56)))+(Rstar!AS56*N!AS56*(1-(N!AS56/Kstar!AS56)))</f>
        <v>9.1409077366843512</v>
      </c>
      <c r="AT56" s="86">
        <f>N!AT56+($X$7*(SUM(N!AS56,N!AT55,N!AU56,N!AT57)-(4*N!AT56)))+(Rstar!AT56*N!AT56*(1-(N!AT56/Kstar!AT56)))</f>
        <v>9.6260936710430371</v>
      </c>
      <c r="AU56" s="86">
        <f>N!AU56+($X$7*(SUM(N!AT56,N!AU55,N!AV56,N!AU57)-(4*N!AU56)))+(Rstar!AU56*N!AU56*(1-(N!AU56/Kstar!AU56)))</f>
        <v>9.8310500808550216</v>
      </c>
      <c r="AV56" s="86">
        <f>N!AV56+($X$7*(SUM(N!AU56,N!AV55,N!AW56,N!AV57)-(4*N!AV56)))+(Rstar!AV56*N!AV56*(1-(N!AV56/Kstar!AV56)))</f>
        <v>9.9161621869213139</v>
      </c>
      <c r="AW56" s="86">
        <f>N!AW56+($X$7*(SUM(N!AV56,N!AW55,N!AX56,N!AW57)-(4*N!AW56)))+(Rstar!AW56*N!AW56*(1-(N!AW56/Kstar!AW56)))</f>
        <v>9.9511172717471066</v>
      </c>
      <c r="AX56" s="86">
        <f>N!AX56+($X$7*(SUM(N!AW56,N!AX55,N!AY56,N!AX57)-(4*N!AX56)))+(Rstar!AX56*N!AX56*(1-(N!AX56/Kstar!AX56)))</f>
        <v>9.9653217099863465</v>
      </c>
      <c r="AY56" s="87">
        <f>N!AY56+($X$7*(SUM(N!AX56,N!AY55,N!AZ56,N!AY57)-(4*N!AY56)))+(Rstar!AY56*N!AY56*(1-(N!AY56/Kstar!AY56)))</f>
        <v>9.9709533025578789</v>
      </c>
      <c r="AZ56" s="72">
        <f>N!AZ56+($X$7*(SUM(N!AY56,N!AZ55,N!AZ57)-(3*N!AZ56)))+(Rstar!AZ56*N!AZ56*(1-(N!AZ56/Kstar!AZ56)))</f>
        <v>9.9729097884010915</v>
      </c>
      <c r="BA56" s="35">
        <v>38</v>
      </c>
    </row>
    <row r="57" spans="2:53" x14ac:dyDescent="0.2">
      <c r="B57" s="34">
        <v>39</v>
      </c>
      <c r="C57" s="72">
        <f>N!C57+($Q$7*(SUM(N!C56,N!D57,N!C58)-(3*N!C57)))+(Rstar!C57*N!C57*(1-(N!C57/Kstar!C57)))</f>
        <v>1.3928167146928983</v>
      </c>
      <c r="D57" s="77">
        <f>N!D57+($Q$7*(SUM(N!C57,N!D56,N!E57,N!D58)-(4*N!D57)))+(Rstar!D57*N!D57*(1-(N!D57/Kstar!D57)))</f>
        <v>1.7620689353500159</v>
      </c>
      <c r="E57" s="78">
        <f>N!E57+($Q$7*(SUM(N!D57,N!E56,N!F57,N!E58)-(4*N!E57)))+(Rstar!E57*N!E57*(1-(N!E57/Kstar!E57)))</f>
        <v>2.0937891925126837</v>
      </c>
      <c r="F57" s="78">
        <f>N!F57+($Q$7*(SUM(N!E57,N!F56,N!G57,N!F58)-(4*N!F57)))+(Rstar!F57*N!F57*(1-(N!F57/Kstar!F57)))</f>
        <v>2.3895986809603889</v>
      </c>
      <c r="G57" s="78">
        <f>N!G57+($Q$7*(SUM(N!F57,N!G56,N!H57,N!G58)-(4*N!G57)))+(Rstar!G57*N!G57*(1-(N!G57/Kstar!G57)))</f>
        <v>2.3956313070768216</v>
      </c>
      <c r="H57" s="78">
        <f>N!H57+($Q$7*(SUM(N!G57,N!H56,N!I57,N!H58)-(4*N!H57)))+(Rstar!H57*N!H57*(1-(N!H57/Kstar!H57)))</f>
        <v>2.3956309243830947</v>
      </c>
      <c r="I57" s="78">
        <f>N!I57+($Q$7*(SUM(N!H57,N!I56,N!J57,N!I58)-(4*N!I57)))+(Rstar!I57*N!I57*(1-(N!I57/Kstar!I57)))</f>
        <v>2.3956351271332204</v>
      </c>
      <c r="J57" s="78">
        <f>N!J57+($Q$7*(SUM(N!I57,N!J56,N!K57,N!J58)-(4*N!J57)))+(Rstar!J57*N!J57*(1-(N!J57/Kstar!J57)))</f>
        <v>2.395645390030968</v>
      </c>
      <c r="K57" s="78">
        <f>N!K57+($Q$7*(SUM(N!J57,N!K56,N!L57,N!K58)-(4*N!K57)))+(Rstar!K57*N!K57*(1-(N!K57/Kstar!K57)))</f>
        <v>2.3956357565171138</v>
      </c>
      <c r="L57" s="78">
        <f>N!L57+($Q$7*(SUM(N!K57,N!L56,N!M57,N!L58)-(4*N!L57)))+(Rstar!L57*N!L57*(1-(N!L57/Kstar!L57)))</f>
        <v>2.3956313070768216</v>
      </c>
      <c r="M57" s="78">
        <f>N!M57+($Q$7*(SUM(N!L57,N!M56,N!N57,N!M58)-(4*N!M57)))+(Rstar!M57*N!M57*(1-(N!M57/Kstar!M57)))</f>
        <v>2.3956309243830947</v>
      </c>
      <c r="N57" s="78">
        <f>N!N57+($Q$7*(SUM(N!M57,N!N56,N!O57,N!N58)-(4*N!N57)))+(Rstar!N57*N!N57*(1-(N!N57/Kstar!N57)))</f>
        <v>2.3956351271332204</v>
      </c>
      <c r="O57" s="78">
        <f>N!O57+($Q$7*(SUM(N!N57,N!O56,N!P57,N!O58)-(4*N!O57)))+(Rstar!O57*N!O57*(1-(N!O57/Kstar!O57)))</f>
        <v>2.395646009381482</v>
      </c>
      <c r="P57" s="78">
        <f>N!P57+($Q$7*(SUM(N!O57,N!P56,N!Q57,N!P58)-(4*N!P57)))+(Rstar!P57*N!P57*(1-(N!P57/Kstar!P57)))</f>
        <v>2.3956668087197013</v>
      </c>
      <c r="Q57" s="78">
        <f>N!Q57+($Q$7*(SUM(N!P57,N!Q56,N!R57,N!Q58)-(4*N!Q57)))+(Rstar!Q57*N!Q57*(1-(N!Q57/Kstar!Q57)))</f>
        <v>2.3957019285353165</v>
      </c>
      <c r="R57" s="78">
        <f>N!R57+($Q$7*(SUM(N!Q57,N!R56,N!S57,N!R58)-(4*N!R57)))+(Rstar!R57*N!R57*(1-(N!R57/Kstar!R57)))</f>
        <v>2.3957573315748402</v>
      </c>
      <c r="S57" s="78">
        <f>N!S57+($Q$7*(SUM(N!R57,N!S56,N!T57,N!S58)-(4*N!S57)))+(Rstar!S57*N!S57*(1-(N!S57/Kstar!S57)))</f>
        <v>2.3958412065078507</v>
      </c>
      <c r="T57" s="78">
        <f>N!T57+($Q$7*(SUM(N!S57,N!T56,N!U57,N!T58)-(4*N!T57)))+(Rstar!T57*N!T57*(1-(N!T57/Kstar!T57)))</f>
        <v>2.3959648837136998</v>
      </c>
      <c r="U57" s="78">
        <f>N!U57+($Q$7*(SUM(N!T57,N!U56,N!V57,N!U58)-(4*N!U57)))+(Rstar!U57*N!U57*(1-(N!U57/Kstar!U57)))</f>
        <v>2.3961440548552679</v>
      </c>
      <c r="V57" s="78">
        <f>N!V57+($Q$7*(SUM(N!U57,N!V56,N!W57,N!V58)-(4*N!V57)))+(Rstar!V57*N!V57*(1-(N!V57/Kstar!V57)))</f>
        <v>2.3964004205801803</v>
      </c>
      <c r="W57" s="78">
        <f>N!W57+($Q$7*(SUM(N!V57,N!W56,N!X57,N!W58)-(4*N!W57)))+(Rstar!W57*N!W57*(1-(N!W57/Kstar!W57)))</f>
        <v>2.3967639672490226</v>
      </c>
      <c r="X57" s="78">
        <f>N!X57+($Q$7*(SUM(N!W57,N!X56,N!Y57,N!X58)-(4*N!X57)))+(Rstar!X57*N!X57*(1-(N!X57/Kstar!X57)))</f>
        <v>2.3972761797188347</v>
      </c>
      <c r="Y57" s="78">
        <f>N!Y57+($Q$7*(SUM(N!X57,N!Y56,N!Z57,N!Y58)-(4*N!Y57)))+(Rstar!Y57*N!Y57*(1-(N!Y57/Kstar!Y57)))</f>
        <v>2.3979946609057774</v>
      </c>
      <c r="Z57" s="78">
        <f>N!Z57+($Q$7*(SUM(N!Y57,N!Z56,N!AA57,N!Z58)-(4*N!Z57)))+(Rstar!Z57*N!Z57*(1-(N!Z57/Kstar!Z57)))</f>
        <v>2.398999889453918</v>
      </c>
      <c r="AA57" s="78">
        <f>N!AA57+($Q$7*(SUM(N!Z57,N!AA56,N!AB57,N!AA58)-(4*N!AA57)))+(Rstar!AA57*N!AA57*(1-(N!AA57/Kstar!AA57)))</f>
        <v>2.4004052666723679</v>
      </c>
      <c r="AB57" s="78">
        <f>N!AB57+($Q$7*(SUM(N!AA57,N!AB56,N!AC57,N!AB58)-(4*N!AB57)))+(Rstar!AB57*N!AB57*(1-(N!AB57/Kstar!AB57)))</f>
        <v>2.4023722879486979</v>
      </c>
      <c r="AC57" s="78">
        <f>N!AC57+($Q$7*(SUM(N!AB57,N!AC56,N!AD57,N!AC58)-(4*N!AC57)))+(Rstar!AC57*N!AC57*(1-(N!AC57/Kstar!AC57)))</f>
        <v>2.4051338046676696</v>
      </c>
      <c r="AD57" s="78">
        <f>N!AD57+($Q$7*(SUM(N!AC57,N!AD56,N!AE57,N!AD58)-(4*N!AD57)))+(Rstar!AD57*N!AD57*(1-(N!AD57/Kstar!AD57)))</f>
        <v>2.4090302446350234</v>
      </c>
      <c r="AE57" s="78">
        <f>N!AE57+($Q$7*(SUM(N!AD57,N!AE56,N!AF57,N!AE58)-(4*N!AE57)))+(Rstar!AE57*N!AE57*(1-(N!AE57/Kstar!AE57)))</f>
        <v>2.4145669180110017</v>
      </c>
      <c r="AF57" s="78">
        <f>N!AF57+($Q$7*(SUM(N!AE57,N!AF56,N!AG57,N!AF58)-(4*N!AF57)))+(Rstar!AF57*N!AF57*(1-(N!AF57/Kstar!AF57)))</f>
        <v>2.4225062228876704</v>
      </c>
      <c r="AG57" s="78">
        <f>N!AG57+($Q$7*(SUM(N!AF57,N!AG56,N!AH57,N!AG58)-(4*N!AG57)))+(Rstar!AG57*N!AG57*(1-(N!AG57/Kstar!AG57)))</f>
        <v>2.4340186525779188</v>
      </c>
      <c r="AH57" s="78">
        <f>N!AH57+($Q$7*(SUM(N!AG57,N!AH56,N!AI57,N!AH58)-(4*N!AH57)))+(Rstar!AH57*N!AH57*(1-(N!AH57/Kstar!AH57)))</f>
        <v>2.450934638365398</v>
      </c>
      <c r="AI57" s="78">
        <f>N!AI57+($Q$7*(SUM(N!AH57,N!AI56,N!AJ57,N!AI58)-(4*N!AI57)))+(Rstar!AI57*N!AI57*(1-(N!AI57/Kstar!AI57)))</f>
        <v>2.4761721575040996</v>
      </c>
      <c r="AJ57" s="78">
        <f>N!AJ57+($Q$7*(SUM(N!AI57,N!AJ56,N!AK57,N!AJ58)-(4*N!AJ57)))+(Rstar!AJ57*N!AJ57*(1-(N!AJ57/Kstar!AJ57)))</f>
        <v>2.5144750793120618</v>
      </c>
      <c r="AK57" s="78">
        <f>N!AK57+($Q$7*(SUM(N!AJ57,N!AK56,N!AL57,N!AK58)-(4*N!AK57)))+(Rstar!AK57*N!AK57*(1-(N!AK57/Kstar!AK57)))</f>
        <v>2.5737073895761773</v>
      </c>
      <c r="AL57" s="78">
        <f>N!AL57+($Q$7*(SUM(N!AK57,N!AL56,N!AM57,N!AL58)-(4*N!AL57)))+(Rstar!AL57*N!AL57*(1-(N!AL57/Kstar!AL57)))</f>
        <v>2.6671528072179225</v>
      </c>
      <c r="AM57" s="78">
        <f>N!AM57+($Q$7*(SUM(N!AL57,N!AM56,N!AN57,N!AM58)-(4*N!AM57)))+(Rstar!AM57*N!AM57*(1-(N!AM57/Kstar!AM57)))</f>
        <v>2.8176600348182022</v>
      </c>
      <c r="AN57" s="78">
        <f>N!AN57+($Q$7*(SUM(N!AM57,N!AN56,N!AO57,N!AN58)-(4*N!AN57)))+(Rstar!AN57*N!AN57*(1-(N!AN57/Kstar!AN57)))</f>
        <v>3.065274510196887</v>
      </c>
      <c r="AO57" s="78">
        <f>N!AO57+($Q$7*(SUM(N!AN57,N!AO56,N!AP57,N!AO58)-(4*N!AO57)))+(Rstar!AO57*N!AO57*(1-(N!AO57/Kstar!AO57)))</f>
        <v>3.481851437967808</v>
      </c>
      <c r="AP57" s="78">
        <f>N!AP57+($Q$7*(SUM(N!AO57,N!AP56,N!AQ57,N!AP58)-(4*N!AP57)))+(Rstar!AP57*N!AP57*(1-(N!AP57/Kstar!AP57)))</f>
        <v>4.2011671928373264</v>
      </c>
      <c r="AQ57" s="79">
        <f>N!AQ57+($Q$7*(SUM(N!AP57,N!AQ56,N!AR57,N!AQ58)-(4*N!AQ57)))+(Rstar!AQ57*N!AQ57*(1-(N!AQ57/Kstar!AQ57)))</f>
        <v>5.4888502441878488</v>
      </c>
      <c r="AR57" s="92">
        <f>N!AR57+($X$7*(SUM(N!AQ57,N!AR56,N!AS57,N!AR58)-(4*N!AR57)))+(Rstar!AR57*N!AR57*(1-(N!AR57/Kstar!AR57)))</f>
        <v>7.9134556277170702</v>
      </c>
      <c r="AS57" s="86">
        <f>N!AS57+($X$7*(SUM(N!AR57,N!AS56,N!AT57,N!AS58)-(4*N!AS57)))+(Rstar!AS57*N!AS57*(1-(N!AS57/Kstar!AS57)))</f>
        <v>9.0738972395757589</v>
      </c>
      <c r="AT57" s="86">
        <f>N!AT57+($X$7*(SUM(N!AS57,N!AT56,N!AU57,N!AT58)-(4*N!AT57)))+(Rstar!AT57*N!AT57*(1-(N!AT57/Kstar!AT57)))</f>
        <v>9.5898743958133288</v>
      </c>
      <c r="AU57" s="86">
        <f>N!AU57+($X$7*(SUM(N!AT57,N!AU56,N!AV57,N!AU58)-(4*N!AU57)))+(Rstar!AU57*N!AU57*(1-(N!AU57/Kstar!AU57)))</f>
        <v>9.8123413027085622</v>
      </c>
      <c r="AV57" s="86">
        <f>N!AV57+($X$7*(SUM(N!AU57,N!AV56,N!AW57,N!AV58)-(4*N!AV57)))+(Rstar!AV57*N!AV57*(1-(N!AV57/Kstar!AV57)))</f>
        <v>9.9067968853128843</v>
      </c>
      <c r="AW57" s="86">
        <f>N!AW57+($X$7*(SUM(N!AV57,N!AW56,N!AX57,N!AW58)-(4*N!AW57)))+(Rstar!AW57*N!AW57*(1-(N!AW57/Kstar!AW57)))</f>
        <v>9.9465313762998218</v>
      </c>
      <c r="AX57" s="86">
        <f>N!AX57+($X$7*(SUM(N!AW57,N!AX56,N!AY57,N!AX58)-(4*N!AX57)))+(Rstar!AX57*N!AX57*(1-(N!AX57/Kstar!AX57)))</f>
        <v>9.9630931027904239</v>
      </c>
      <c r="AY57" s="87">
        <f>N!AY57+($X$7*(SUM(N!AX57,N!AY56,N!AZ57,N!AY58)-(4*N!AY57)))+(Rstar!AY57*N!AY57*(1-(N!AY57/Kstar!AY57)))</f>
        <v>9.9698266548375436</v>
      </c>
      <c r="AZ57" s="72">
        <f>N!AZ57+($X$7*(SUM(N!AY57,N!AZ56,N!AZ58)-(3*N!AZ57)))+(Rstar!AZ57*N!AZ57*(1-(N!AZ57/Kstar!AZ57)))</f>
        <v>9.9722145258580053</v>
      </c>
      <c r="BA57" s="35">
        <v>39</v>
      </c>
    </row>
    <row r="58" spans="2:53" x14ac:dyDescent="0.2">
      <c r="B58" s="34">
        <v>40</v>
      </c>
      <c r="C58" s="72">
        <f>N!C58+($Q$7*(SUM(N!C57,N!D58,N!C59)-(3*N!C58)))+(Rstar!C58*N!C58*(1-(N!C58/Kstar!C58)))</f>
        <v>1.2972015868602933</v>
      </c>
      <c r="D58" s="77">
        <f>N!D58+($Q$7*(SUM(N!C58,N!D57,N!E58,N!D59)-(4*N!D58)))+(Rstar!D58*N!D58*(1-(N!D58/Kstar!D58)))</f>
        <v>1.5599668284124912</v>
      </c>
      <c r="E58" s="78">
        <f>N!E58+($Q$7*(SUM(N!D58,N!E57,N!F58,N!E59)-(4*N!E58)))+(Rstar!E58*N!E58*(1-(N!E58/Kstar!E58)))</f>
        <v>1.8043153523539484</v>
      </c>
      <c r="F58" s="78">
        <f>N!F58+($Q$7*(SUM(N!E58,N!F57,N!G58,N!F59)-(4*N!F58)))+(Rstar!F58*N!F58*(1-(N!F58/Kstar!F58)))</f>
        <v>2.0291342736079376</v>
      </c>
      <c r="G58" s="78">
        <f>N!G58+($Q$7*(SUM(N!F58,N!G57,N!H58,N!G59)-(4*N!G58)))+(Rstar!G58*N!G58*(1-(N!G58/Kstar!G58)))</f>
        <v>2.0337143026094493</v>
      </c>
      <c r="H58" s="78">
        <f>N!H58+($Q$7*(SUM(N!G58,N!H57,N!I58,N!H59)-(4*N!H58)))+(Rstar!H58*N!H58*(1-(N!H58/Kstar!H58)))</f>
        <v>2.0337141725020769</v>
      </c>
      <c r="I58" s="78">
        <f>N!I58+($Q$7*(SUM(N!H58,N!I57,N!J58,N!I59)-(4*N!I58)))+(Rstar!I58*N!I58*(1-(N!I58/Kstar!I58)))</f>
        <v>2.0337225046613407</v>
      </c>
      <c r="J58" s="78">
        <f>N!J58+($Q$7*(SUM(N!I58,N!J57,N!K58,N!J59)-(4*N!J58)))+(Rstar!J58*N!J58*(1-(N!J58/Kstar!J58)))</f>
        <v>2.0337403620690471</v>
      </c>
      <c r="K58" s="78">
        <f>N!K58+($Q$7*(SUM(N!J58,N!K57,N!L58,N!K59)-(4*N!K58)))+(Rstar!K58*N!K58*(1-(N!K58/Kstar!K58)))</f>
        <v>2.0337227170861301</v>
      </c>
      <c r="L58" s="78">
        <f>N!L58+($Q$7*(SUM(N!K58,N!L57,N!M58,N!L59)-(4*N!L58)))+(Rstar!L58*N!L58*(1-(N!L58/Kstar!L58)))</f>
        <v>2.0337143026094493</v>
      </c>
      <c r="M58" s="78">
        <f>N!M58+($Q$7*(SUM(N!L58,N!M57,N!N58,N!M59)-(4*N!M58)))+(Rstar!M58*N!M58*(1-(N!M58/Kstar!M58)))</f>
        <v>2.0337141725020769</v>
      </c>
      <c r="N58" s="78">
        <f>N!N58+($Q$7*(SUM(N!M58,N!N57,N!O58,N!N59)-(4*N!N58)))+(Rstar!N58*N!N58*(1-(N!N58/Kstar!N58)))</f>
        <v>2.0337225046613407</v>
      </c>
      <c r="O58" s="78">
        <f>N!O58+($Q$7*(SUM(N!N58,N!O57,N!P58,N!O59)-(4*N!O58)))+(Rstar!O58*N!O58*(1-(N!O58/Kstar!O58)))</f>
        <v>2.0337414014850625</v>
      </c>
      <c r="P58" s="78">
        <f>N!P58+($Q$7*(SUM(N!O58,N!P57,N!Q58,N!P59)-(4*N!P58)))+(Rstar!P58*N!P58*(1-(N!P58/Kstar!P58)))</f>
        <v>2.0337747798612886</v>
      </c>
      <c r="Q58" s="78">
        <f>N!Q58+($Q$7*(SUM(N!P58,N!Q57,N!R58,N!Q59)-(4*N!Q58)))+(Rstar!Q58*N!Q58*(1-(N!Q58/Kstar!Q58)))</f>
        <v>2.0338285543252255</v>
      </c>
      <c r="R58" s="78">
        <f>N!R58+($Q$7*(SUM(N!Q58,N!R57,N!S58,N!R59)-(4*N!R58)))+(Rstar!R58*N!R58*(1-(N!R58/Kstar!R58)))</f>
        <v>2.0339111487404349</v>
      </c>
      <c r="S58" s="78">
        <f>N!S58+($Q$7*(SUM(N!R58,N!S57,N!T58,N!S59)-(4*N!S58)))+(Rstar!S58*N!S58*(1-(N!S58/Kstar!S58)))</f>
        <v>2.0340343385335973</v>
      </c>
      <c r="T58" s="78">
        <f>N!T58+($Q$7*(SUM(N!S58,N!T57,N!U58,N!T59)-(4*N!T58)))+(Rstar!T58*N!T58*(1-(N!T58/Kstar!T58)))</f>
        <v>2.0342144546306709</v>
      </c>
      <c r="U58" s="78">
        <f>N!U58+($Q$7*(SUM(N!T58,N!U57,N!V58,N!U59)-(4*N!U58)))+(Rstar!U58*N!U58*(1-(N!U58/Kstar!U58)))</f>
        <v>2.0344740364368956</v>
      </c>
      <c r="V58" s="78">
        <f>N!V58+($Q$7*(SUM(N!U58,N!V57,N!W58,N!V59)-(4*N!V58)))+(Rstar!V58*N!V58*(1-(N!V58/Kstar!V58)))</f>
        <v>2.0348440934293688</v>
      </c>
      <c r="W58" s="78">
        <f>N!W58+($Q$7*(SUM(N!V58,N!W57,N!X58,N!W59)-(4*N!W58)))+(Rstar!W58*N!W58*(1-(N!W58/Kstar!W58)))</f>
        <v>2.0353672307566599</v>
      </c>
      <c r="X58" s="78">
        <f>N!X58+($Q$7*(SUM(N!W58,N!X57,N!Y58,N!X59)-(4*N!X58)))+(Rstar!X58*N!X58*(1-(N!X58/Kstar!X58)))</f>
        <v>2.0361020329189796</v>
      </c>
      <c r="Y58" s="78">
        <f>N!Y58+($Q$7*(SUM(N!X58,N!Y57,N!Z58,N!Y59)-(4*N!Y58)))+(Rstar!Y58*N!Y58*(1-(N!Y58/Kstar!Y58)))</f>
        <v>2.0371293112012365</v>
      </c>
      <c r="Z58" s="78">
        <f>N!Z58+($Q$7*(SUM(N!Y58,N!Z57,N!AA58,N!Z59)-(4*N!Z58)))+(Rstar!Z58*N!Z58*(1-(N!Z58/Kstar!Z58)))</f>
        <v>2.0385611509440782</v>
      </c>
      <c r="AA58" s="78">
        <f>N!AA58+($Q$7*(SUM(N!Z58,N!AA57,N!AB58,N!AA59)-(4*N!AA58)))+(Rstar!AA58*N!AA58*(1-(N!AA58/Kstar!AA58)))</f>
        <v>2.0405542166679758</v>
      </c>
      <c r="AB58" s="78">
        <f>N!AB58+($Q$7*(SUM(N!AA58,N!AB57,N!AC58,N!AB59)-(4*N!AB58)))+(Rstar!AB58*N!AB58*(1-(N!AB58/Kstar!AB58)))</f>
        <v>2.0433296054852357</v>
      </c>
      <c r="AC58" s="78">
        <f>N!AC58+($Q$7*(SUM(N!AB58,N!AC57,N!AD58,N!AC59)-(4*N!AC58)))+(Rstar!AC58*N!AC58*(1-(N!AC58/Kstar!AC58)))</f>
        <v>2.0472028812411316</v>
      </c>
      <c r="AD58" s="78">
        <f>N!AD58+($Q$7*(SUM(N!AC58,N!AD57,N!AE58,N!AD59)-(4*N!AD58)))+(Rstar!AD58*N!AD58*(1-(N!AD58/Kstar!AD58)))</f>
        <v>2.0526301119451826</v>
      </c>
      <c r="AE58" s="78">
        <f>N!AE58+($Q$7*(SUM(N!AD58,N!AE57,N!AF58,N!AE59)-(4*N!AE58)))+(Rstar!AE58*N!AE58*(1-(N!AE58/Kstar!AE58)))</f>
        <v>2.0602793536306487</v>
      </c>
      <c r="AF58" s="78">
        <f>N!AF58+($Q$7*(SUM(N!AE58,N!AF57,N!AG58,N!AF59)-(4*N!AF58)))+(Rstar!AF58*N!AF58*(1-(N!AF58/Kstar!AF58)))</f>
        <v>2.0711430850342176</v>
      </c>
      <c r="AG58" s="78">
        <f>N!AG58+($Q$7*(SUM(N!AF58,N!AG57,N!AH58,N!AG59)-(4*N!AG58)))+(Rstar!AG58*N!AG58*(1-(N!AG58/Kstar!AG58)))</f>
        <v>2.0867173628739542</v>
      </c>
      <c r="AH58" s="78">
        <f>N!AH58+($Q$7*(SUM(N!AG58,N!AH57,N!AI58,N!AH59)-(4*N!AH58)))+(Rstar!AH58*N!AH58*(1-(N!AH58/Kstar!AH58)))</f>
        <v>2.1092910346389675</v>
      </c>
      <c r="AI58" s="78">
        <f>N!AI58+($Q$7*(SUM(N!AH58,N!AI57,N!AJ58,N!AI59)-(4*N!AI58)))+(Rstar!AI58*N!AI58*(1-(N!AI58/Kstar!AI58)))</f>
        <v>2.1424187146296472</v>
      </c>
      <c r="AJ58" s="78">
        <f>N!AJ58+($Q$7*(SUM(N!AI58,N!AJ57,N!AK58,N!AJ59)-(4*N!AJ58)))+(Rstar!AJ58*N!AJ58*(1-(N!AJ58/Kstar!AJ58)))</f>
        <v>2.1917043973202723</v>
      </c>
      <c r="AK58" s="78">
        <f>N!AK58+($Q$7*(SUM(N!AJ58,N!AK57,N!AL58,N!AK59)-(4*N!AK58)))+(Rstar!AK58*N!AK58*(1-(N!AK58/Kstar!AK58)))</f>
        <v>2.2661176301676651</v>
      </c>
      <c r="AL58" s="78">
        <f>N!AL58+($Q$7*(SUM(N!AK58,N!AL57,N!AM58,N!AL59)-(4*N!AL58)))+(Rstar!AL58*N!AL58*(1-(N!AL58/Kstar!AL58)))</f>
        <v>2.3802407274651225</v>
      </c>
      <c r="AM58" s="78">
        <f>N!AM58+($Q$7*(SUM(N!AL58,N!AM57,N!AN58,N!AM59)-(4*N!AM58)))+(Rstar!AM58*N!AM58*(1-(N!AM58/Kstar!AM58)))</f>
        <v>2.5581960402825286</v>
      </c>
      <c r="AN58" s="78">
        <f>N!AN58+($Q$7*(SUM(N!AM58,N!AN57,N!AO58,N!AN59)-(4*N!AN58)))+(Rstar!AN58*N!AN58*(1-(N!AN58/Kstar!AN58)))</f>
        <v>2.8407703137657263</v>
      </c>
      <c r="AO58" s="78">
        <f>N!AO58+($Q$7*(SUM(N!AN58,N!AO57,N!AP58,N!AO59)-(4*N!AO58)))+(Rstar!AO58*N!AO58*(1-(N!AO58/Kstar!AO58)))</f>
        <v>3.2991473634534896</v>
      </c>
      <c r="AP58" s="78">
        <f>N!AP58+($Q$7*(SUM(N!AO58,N!AP57,N!AQ58,N!AP59)-(4*N!AP58)))+(Rstar!AP58*N!AP58*(1-(N!AP58/Kstar!AP58)))</f>
        <v>4.063913654628343</v>
      </c>
      <c r="AQ58" s="79">
        <f>N!AQ58+($Q$7*(SUM(N!AP58,N!AQ57,N!AR58,N!AQ59)-(4*N!AQ58)))+(Rstar!AQ58*N!AQ58*(1-(N!AQ58/Kstar!AQ58)))</f>
        <v>5.3942698278868217</v>
      </c>
      <c r="AR58" s="92">
        <f>N!AR58+($X$7*(SUM(N!AQ58,N!AR57,N!AS58,N!AR59)-(4*N!AR58)))+(Rstar!AR58*N!AR58*(1-(N!AR58/Kstar!AR58)))</f>
        <v>7.8497252300358289</v>
      </c>
      <c r="AS58" s="86">
        <f>N!AS58+($X$7*(SUM(N!AR58,N!AS57,N!AT58,N!AS59)-(4*N!AS58)))+(Rstar!AS58*N!AS58*(1-(N!AS58/Kstar!AS58)))</f>
        <v>9.0365538486451982</v>
      </c>
      <c r="AT58" s="86">
        <f>N!AT58+($X$7*(SUM(N!AS58,N!AT57,N!AU58,N!AT59)-(4*N!AT58)))+(Rstar!AT58*N!AT58*(1-(N!AT58/Kstar!AT58)))</f>
        <v>9.5694344534313505</v>
      </c>
      <c r="AU58" s="86">
        <f>N!AU58+($X$7*(SUM(N!AT58,N!AU57,N!AV58,N!AU59)-(4*N!AU58)))+(Rstar!AU58*N!AU58*(1-(N!AU58/Kstar!AU58)))</f>
        <v>9.8015915666692468</v>
      </c>
      <c r="AV58" s="86">
        <f>N!AV58+($X$7*(SUM(N!AU58,N!AV57,N!AW58,N!AV59)-(4*N!AV58)))+(Rstar!AV58*N!AV58*(1-(N!AV58/Kstar!AV58)))</f>
        <v>9.901297980739848</v>
      </c>
      <c r="AW58" s="86">
        <f>N!AW58+($X$7*(SUM(N!AV58,N!AW57,N!AX58,N!AW59)-(4*N!AW58)))+(Rstar!AW58*N!AW58*(1-(N!AW58/Kstar!AW58)))</f>
        <v>9.9437733002222206</v>
      </c>
      <c r="AX58" s="86">
        <f>N!AX58+($X$7*(SUM(N!AW58,N!AX57,N!AY58,N!AX59)-(4*N!AX58)))+(Rstar!AX58*N!AX58*(1-(N!AX58/Kstar!AX58)))</f>
        <v>9.9617175815077275</v>
      </c>
      <c r="AY58" s="87">
        <f>N!AY58+($X$7*(SUM(N!AX58,N!AY57,N!AZ58,N!AY59)-(4*N!AY58)))+(Rstar!AY58*N!AY58*(1-(N!AY58/Kstar!AY58)))</f>
        <v>9.9691115540181379</v>
      </c>
      <c r="AZ58" s="72">
        <f>N!AZ58+($X$7*(SUM(N!AY58,N!AZ57,N!AZ59)-(3*N!AZ58)))+(Rstar!AZ58*N!AZ58*(1-(N!AZ58/Kstar!AZ58)))</f>
        <v>9.971762246867014</v>
      </c>
      <c r="BA58" s="35">
        <v>40</v>
      </c>
    </row>
    <row r="59" spans="2:53" x14ac:dyDescent="0.2">
      <c r="B59" s="34">
        <v>41</v>
      </c>
      <c r="C59" s="72">
        <f>N!C59+($Q$7*(SUM(N!C58,N!D59,N!C60)-(3*N!C59)))+(Rstar!C59*N!C59*(1-(N!C59/Kstar!C59)))</f>
        <v>1.2281989540656884</v>
      </c>
      <c r="D59" s="77">
        <f>N!D59+($Q$7*(SUM(N!C59,N!D58,N!E59,N!D60)-(4*N!D59)))+(Rstar!D59*N!D59*(1-(N!D59/Kstar!D59)))</f>
        <v>1.4204219288835016</v>
      </c>
      <c r="E59" s="78">
        <f>N!E59+($Q$7*(SUM(N!D59,N!E58,N!F59,N!E60)-(4*N!E59)))+(Rstar!E59*N!E59*(1-(N!E59/Kstar!E59)))</f>
        <v>1.6030168223720307</v>
      </c>
      <c r="F59" s="78">
        <f>N!F59+($Q$7*(SUM(N!E59,N!F58,N!G59,N!F60)-(4*N!F59)))+(Rstar!F59*N!F59*(1-(N!F59/Kstar!F59)))</f>
        <v>1.7742825748247304</v>
      </c>
      <c r="G59" s="78">
        <f>N!G59+($Q$7*(SUM(N!F59,N!G58,N!H59,N!G60)-(4*N!G59)))+(Rstar!G59*N!G59*(1-(N!G59/Kstar!G59)))</f>
        <v>1.7777655897406905</v>
      </c>
      <c r="H59" s="78">
        <f>N!H59+($Q$7*(SUM(N!G59,N!H58,N!I59,N!H60)-(4*N!H59)))+(Rstar!H59*N!H59*(1-(N!H59/Kstar!H59)))</f>
        <v>1.7777655459191166</v>
      </c>
      <c r="I59" s="78">
        <f>N!I59+($Q$7*(SUM(N!H59,N!I58,N!J59,N!I60)-(4*N!I59)))+(Rstar!I59*N!I59*(1-(N!I59/Kstar!I59)))</f>
        <v>1.7777781905182717</v>
      </c>
      <c r="J59" s="78">
        <f>N!J59+($Q$7*(SUM(N!I59,N!J58,N!K59,N!J60)-(4*N!J59)))+(Rstar!J59*N!J59*(1-(N!J59/Kstar!J59)))</f>
        <v>1.7778044567341624</v>
      </c>
      <c r="K59" s="78">
        <f>N!K59+($Q$7*(SUM(N!J59,N!K58,N!L59,N!K60)-(4*N!K59)))+(Rstar!K59*N!K59*(1-(N!K59/Kstar!K59)))</f>
        <v>1.7777782617759275</v>
      </c>
      <c r="L59" s="78">
        <f>N!L59+($Q$7*(SUM(N!K59,N!L58,N!M59,N!L60)-(4*N!L59)))+(Rstar!L59*N!L59*(1-(N!L59/Kstar!L59)))</f>
        <v>1.7777655897406905</v>
      </c>
      <c r="M59" s="78">
        <f>N!M59+($Q$7*(SUM(N!L59,N!M58,N!N59,N!M60)-(4*N!M59)))+(Rstar!M59*N!M59*(1-(N!M59/Kstar!M59)))</f>
        <v>1.7777655459191166</v>
      </c>
      <c r="N59" s="78">
        <f>N!N59+($Q$7*(SUM(N!M59,N!N58,N!O59,N!N60)-(4*N!N59)))+(Rstar!N59*N!N59*(1-(N!N59/Kstar!N59)))</f>
        <v>1.7777781905182717</v>
      </c>
      <c r="O59" s="78">
        <f>N!O59+($Q$7*(SUM(N!N59,N!O58,N!P59,N!O60)-(4*N!O59)))+(Rstar!O59*N!O59*(1-(N!O59/Kstar!O59)))</f>
        <v>1.7778059649883913</v>
      </c>
      <c r="P59" s="78">
        <f>N!P59+($Q$7*(SUM(N!O59,N!P58,N!Q59,N!P60)-(4*N!P59)))+(Rstar!P59*N!P59*(1-(N!P59/Kstar!P59)))</f>
        <v>1.7778537831537029</v>
      </c>
      <c r="Q59" s="78">
        <f>N!Q59+($Q$7*(SUM(N!P59,N!Q58,N!R59,N!Q60)-(4*N!Q59)))+(Rstar!Q59*N!Q59*(1-(N!Q59/Kstar!Q59)))</f>
        <v>1.7779293963450531</v>
      </c>
      <c r="R59" s="78">
        <f>N!R59+($Q$7*(SUM(N!Q59,N!R58,N!S59,N!R60)-(4*N!R59)))+(Rstar!R59*N!R59*(1-(N!R59/Kstar!R59)))</f>
        <v>1.7780440957029013</v>
      </c>
      <c r="S59" s="78">
        <f>N!S59+($Q$7*(SUM(N!R59,N!S58,N!T59,N!S60)-(4*N!S59)))+(Rstar!S59*N!S59*(1-(N!S59/Kstar!S59)))</f>
        <v>1.7782138035044186</v>
      </c>
      <c r="T59" s="78">
        <f>N!T59+($Q$7*(SUM(N!S59,N!T58,N!U59,N!T60)-(4*N!T59)))+(Rstar!T59*N!T59*(1-(N!T59/Kstar!T59)))</f>
        <v>1.7784606279626647</v>
      </c>
      <c r="U59" s="78">
        <f>N!U59+($Q$7*(SUM(N!T59,N!U58,N!V59,N!U60)-(4*N!U59)))+(Rstar!U59*N!U59*(1-(N!U59/Kstar!U59)))</f>
        <v>1.7788150058491328</v>
      </c>
      <c r="V59" s="78">
        <f>N!V59+($Q$7*(SUM(N!U59,N!V58,N!W59,N!V60)-(4*N!V59)))+(Rstar!V59*N!V59*(1-(N!V59/Kstar!V59)))</f>
        <v>1.7793186330966366</v>
      </c>
      <c r="W59" s="78">
        <f>N!W59+($Q$7*(SUM(N!V59,N!W58,N!X59,N!W60)-(4*N!W59)))+(Rstar!W59*N!W59*(1-(N!W59/Kstar!W59)))</f>
        <v>1.7800284938585662</v>
      </c>
      <c r="X59" s="78">
        <f>N!X59+($Q$7*(SUM(N!W59,N!X58,N!Y59,N!X60)-(4*N!X59)))+(Rstar!X59*N!X59*(1-(N!X59/Kstar!X59)))</f>
        <v>1.7810224624532951</v>
      </c>
      <c r="Y59" s="78">
        <f>N!Y59+($Q$7*(SUM(N!X59,N!Y58,N!Z59,N!Y60)-(4*N!Y59)))+(Rstar!Y59*N!Y59*(1-(N!Y59/Kstar!Y59)))</f>
        <v>1.7824072015868524</v>
      </c>
      <c r="Z59" s="78">
        <f>N!Z59+($Q$7*(SUM(N!Y59,N!Z58,N!AA59,N!Z60)-(4*N!Z59)))+(Rstar!Z59*N!Z59*(1-(N!Z59/Kstar!Z59)))</f>
        <v>1.7843294630302238</v>
      </c>
      <c r="AA59" s="78">
        <f>N!AA59+($Q$7*(SUM(N!Z59,N!AA58,N!AB59,N!AA60)-(4*N!AA59)))+(Rstar!AA59*N!AA59*(1-(N!AA59/Kstar!AA59)))</f>
        <v>1.7869924898573342</v>
      </c>
      <c r="AB59" s="78">
        <f>N!AB59+($Q$7*(SUM(N!AA59,N!AB58,N!AC59,N!AB60)-(4*N!AB59)))+(Rstar!AB59*N!AB59*(1-(N!AB59/Kstar!AB59)))</f>
        <v>1.7906801438208393</v>
      </c>
      <c r="AC59" s="78">
        <f>N!AC59+($Q$7*(SUM(N!AB59,N!AC58,N!AD59,N!AC60)-(4*N!AC59)))+(Rstar!AC59*N!AC59*(1-(N!AC59/Kstar!AC59)))</f>
        <v>1.7957928336738287</v>
      </c>
      <c r="AD59" s="78">
        <f>N!AD59+($Q$7*(SUM(N!AC59,N!AD58,N!AE59,N!AD60)-(4*N!AD59)))+(Rstar!AD59*N!AD59*(1-(N!AD59/Kstar!AD59)))</f>
        <v>1.8029016217019844</v>
      </c>
      <c r="AE59" s="78">
        <f>N!AE59+($Q$7*(SUM(N!AD59,N!AE58,N!AF59,N!AE60)-(4*N!AE59)))+(Rstar!AE59*N!AE59*(1-(N!AE59/Kstar!AE59)))</f>
        <v>1.8128305690972994</v>
      </c>
      <c r="AF59" s="78">
        <f>N!AF59+($Q$7*(SUM(N!AE59,N!AF58,N!AG59,N!AF60)-(4*N!AF59)))+(Rstar!AF59*N!AF59*(1-(N!AF59/Kstar!AF59)))</f>
        <v>1.8267833384027636</v>
      </c>
      <c r="AG59" s="78">
        <f>N!AG59+($Q$7*(SUM(N!AF59,N!AG58,N!AH59,N!AG60)-(4*N!AG59)))+(Rstar!AG59*N!AG59*(1-(N!AG59/Kstar!AG59)))</f>
        <v>1.8465398176102019</v>
      </c>
      <c r="AH59" s="78">
        <f>N!AH59+($Q$7*(SUM(N!AG59,N!AH58,N!AI59,N!AH60)-(4*N!AH59)))+(Rstar!AH59*N!AH59*(1-(N!AH59/Kstar!AH59)))</f>
        <v>1.8747646880175488</v>
      </c>
      <c r="AI59" s="78">
        <f>N!AI59+($Q$7*(SUM(N!AH59,N!AI58,N!AJ59,N!AI60)-(4*N!AI59)))+(Rstar!AI59*N!AI59*(1-(N!AI59/Kstar!AI59)))</f>
        <v>1.9154971212082643</v>
      </c>
      <c r="AJ59" s="78">
        <f>N!AJ59+($Q$7*(SUM(N!AI59,N!AJ58,N!AK59,N!AJ60)-(4*N!AJ59)))+(Rstar!AJ59*N!AJ59*(1-(N!AJ59/Kstar!AJ59)))</f>
        <v>1.9749380260017499</v>
      </c>
      <c r="AK59" s="78">
        <f>N!AK59+($Q$7*(SUM(N!AJ59,N!AK58,N!AL59,N!AK60)-(4*N!AK59)))+(Rstar!AK59*N!AK59*(1-(N!AK59/Kstar!AK59)))</f>
        <v>2.062736548471487</v>
      </c>
      <c r="AL59" s="78">
        <f>N!AL59+($Q$7*(SUM(N!AK59,N!AL58,N!AM59,N!AL60)-(4*N!AL59)))+(Rstar!AL59*N!AL59*(1-(N!AL59/Kstar!AL59)))</f>
        <v>2.1941412344848898</v>
      </c>
      <c r="AM59" s="78">
        <f>N!AM59+($Q$7*(SUM(N!AL59,N!AM58,N!AN59,N!AM60)-(4*N!AM59)))+(Rstar!AM59*N!AM59*(1-(N!AM59/Kstar!AM59)))</f>
        <v>2.3937221763290468</v>
      </c>
      <c r="AN59" s="78">
        <f>N!AN59+($Q$7*(SUM(N!AM59,N!AN58,N!AO59,N!AN60)-(4*N!AN59)))+(Rstar!AN59*N!AN59*(1-(N!AN59/Kstar!AN59)))</f>
        <v>2.7021499523242412</v>
      </c>
      <c r="AO59" s="78">
        <f>N!AO59+($Q$7*(SUM(N!AN59,N!AO58,N!AP59,N!AO60)-(4*N!AO59)))+(Rstar!AO59*N!AO59*(1-(N!AO59/Kstar!AO59)))</f>
        <v>3.18947560570667</v>
      </c>
      <c r="AP59" s="78">
        <f>N!AP59+($Q$7*(SUM(N!AO59,N!AP58,N!AQ59,N!AP60)-(4*N!AP59)))+(Rstar!AP59*N!AP59*(1-(N!AP59/Kstar!AP59)))</f>
        <v>3.9837497464012808</v>
      </c>
      <c r="AQ59" s="79">
        <f>N!AQ59+($Q$7*(SUM(N!AP59,N!AQ58,N!AR59,N!AQ60)-(4*N!AQ59)))+(Rstar!AQ59*N!AQ59*(1-(N!AQ59/Kstar!AQ59)))</f>
        <v>5.3402349962039395</v>
      </c>
      <c r="AR59" s="92">
        <f>N!AR59+($X$7*(SUM(N!AQ59,N!AR58,N!AS59,N!AR60)-(4*N!AR59)))+(Rstar!AR59*N!AR59*(1-(N!AR59/Kstar!AR59)))</f>
        <v>7.813723414576768</v>
      </c>
      <c r="AS59" s="86">
        <f>N!AS59+($X$7*(SUM(N!AR59,N!AS58,N!AT59,N!AS60)-(4*N!AS59)))+(Rstar!AS59*N!AS59*(1-(N!AS59/Kstar!AS59)))</f>
        <v>9.0155158548380339</v>
      </c>
      <c r="AT59" s="86">
        <f>N!AT59+($X$7*(SUM(N!AS59,N!AT58,N!AU59,N!AT60)-(4*N!AT59)))+(Rstar!AT59*N!AT59*(1-(N!AT59/Kstar!AT59)))</f>
        <v>9.5578703859536507</v>
      </c>
      <c r="AU59" s="86">
        <f>N!AU59+($X$7*(SUM(N!AT59,N!AU58,N!AV59,N!AU60)-(4*N!AU59)))+(Rstar!AU59*N!AU59*(1-(N!AU59/Kstar!AU59)))</f>
        <v>9.7954483681858253</v>
      </c>
      <c r="AV59" s="86">
        <f>N!AV59+($X$7*(SUM(N!AU59,N!AV58,N!AW59,N!AV60)-(4*N!AV59)))+(Rstar!AV59*N!AV59*(1-(N!AV59/Kstar!AV59)))</f>
        <v>9.8981092507375994</v>
      </c>
      <c r="AW59" s="86">
        <f>N!AW59+($X$7*(SUM(N!AV59,N!AW58,N!AX59,N!AW60)-(4*N!AW59)))+(Rstar!AW59*N!AW59*(1-(N!AW59/Kstar!AW59)))</f>
        <v>9.942144726629536</v>
      </c>
      <c r="AX59" s="86">
        <f>N!AX59+($X$7*(SUM(N!AW59,N!AX58,N!AY59,N!AX60)-(4*N!AX59)))+(Rstar!AX59*N!AX59*(1-(N!AX59/Kstar!AX59)))</f>
        <v>9.9608880102136244</v>
      </c>
      <c r="AY59" s="87">
        <f>N!AY59+($X$7*(SUM(N!AX59,N!AY58,N!AZ59,N!AY60)-(4*N!AY59)))+(Rstar!AY59*N!AY59*(1-(N!AY59/Kstar!AY59)))</f>
        <v>9.9686697290885178</v>
      </c>
      <c r="AZ59" s="72">
        <f>N!AZ59+($X$7*(SUM(N!AY59,N!AZ58,N!AZ60)-(3*N!AZ59)))+(Rstar!AZ59*N!AZ59*(1-(N!AZ59/Kstar!AZ59)))</f>
        <v>9.9714766711989515</v>
      </c>
      <c r="BA59" s="35">
        <v>41</v>
      </c>
    </row>
    <row r="60" spans="2:53" x14ac:dyDescent="0.2">
      <c r="B60" s="34">
        <v>42</v>
      </c>
      <c r="C60" s="72">
        <f>N!C60+($Q$7*(SUM(N!C59,N!D60,N!C61)-(3*N!C60)))+(Rstar!C60*N!C60*(1-(N!C60/Kstar!C60)))</f>
        <v>1.1774863042761932</v>
      </c>
      <c r="D60" s="77">
        <f>N!D60+($Q$7*(SUM(N!C60,N!D59,N!E60,N!D61)-(4*N!D60)))+(Rstar!D60*N!D60*(1-(N!D60/Kstar!D60)))</f>
        <v>1.320958432860122</v>
      </c>
      <c r="E60" s="78">
        <f>N!E60+($Q$7*(SUM(N!D60,N!E59,N!F60,N!E61)-(4*N!E60)))+(Rstar!E60*N!E60*(1-(N!E60/Kstar!E60)))</f>
        <v>1.4587350694668306</v>
      </c>
      <c r="F60" s="78">
        <f>N!F60+($Q$7*(SUM(N!E60,N!F59,N!G60,N!F61)-(4*N!F60)))+(Rstar!F60*N!F60*(1-(N!F60/Kstar!F60)))</f>
        <v>1.5893758720722893</v>
      </c>
      <c r="G60" s="78">
        <f>N!G60+($Q$7*(SUM(N!F60,N!G59,N!H60,N!G61)-(4*N!G60)))+(Rstar!G60*N!G60*(1-(N!G60/Kstar!G60)))</f>
        <v>1.5920254009327466</v>
      </c>
      <c r="H60" s="78">
        <f>N!H60+($Q$7*(SUM(N!G60,N!H59,N!I60,N!H61)-(4*N!H60)))+(Rstar!H60*N!H60*(1-(N!H60/Kstar!H60)))</f>
        <v>1.592025388364207</v>
      </c>
      <c r="I60" s="78">
        <f>N!I60+($Q$7*(SUM(N!H60,N!I59,N!J60,N!I61)-(4*N!I60)))+(Rstar!I60*N!I60*(1-(N!I60/Kstar!I60)))</f>
        <v>1.5920426392225915</v>
      </c>
      <c r="J60" s="78">
        <f>N!J60+($Q$7*(SUM(N!I60,N!J59,N!K60,N!J61)-(4*N!J60)))+(Rstar!J60*N!J60*(1-(N!J60/Kstar!J60)))</f>
        <v>1.5920780917462503</v>
      </c>
      <c r="K60" s="78">
        <f>N!K60+($Q$7*(SUM(N!J60,N!K59,N!L60,N!K61)-(4*N!K60)))+(Rstar!K60*N!K60*(1-(N!K60/Kstar!K60)))</f>
        <v>1.5920426595896224</v>
      </c>
      <c r="L60" s="78">
        <f>N!L60+($Q$7*(SUM(N!K60,N!L59,N!M60,N!L61)-(4*N!L60)))+(Rstar!L60*N!L60*(1-(N!L60/Kstar!L60)))</f>
        <v>1.5920254009327466</v>
      </c>
      <c r="M60" s="78">
        <f>N!M60+($Q$7*(SUM(N!L60,N!M59,N!N60,N!M61)-(4*N!M60)))+(Rstar!M60*N!M60*(1-(N!M60/Kstar!M60)))</f>
        <v>1.592025388364207</v>
      </c>
      <c r="N60" s="78">
        <f>N!N60+($Q$7*(SUM(N!M60,N!N59,N!O60,N!N61)-(4*N!N60)))+(Rstar!N60*N!N60*(1-(N!N60/Kstar!N60)))</f>
        <v>1.5920426392225915</v>
      </c>
      <c r="O60" s="78">
        <f>N!O60+($Q$7*(SUM(N!N60,N!O59,N!P60,N!O61)-(4*N!O60)))+(Rstar!O60*N!O60*(1-(N!O60/Kstar!O60)))</f>
        <v>1.5920801149154351</v>
      </c>
      <c r="P60" s="78">
        <f>N!P60+($Q$7*(SUM(N!O60,N!P59,N!Q60,N!P61)-(4*N!P60)))+(Rstar!P60*N!P60*(1-(N!P60/Kstar!P60)))</f>
        <v>1.5921439496233645</v>
      </c>
      <c r="Q60" s="78">
        <f>N!Q60+($Q$7*(SUM(N!P60,N!Q59,N!R60,N!Q61)-(4*N!Q60)))+(Rstar!Q60*N!Q60*(1-(N!Q60/Kstar!Q60)))</f>
        <v>1.5922439924793537</v>
      </c>
      <c r="R60" s="78">
        <f>N!R60+($Q$7*(SUM(N!Q60,N!R59,N!S60,N!R61)-(4*N!R60)))+(Rstar!R60*N!R60*(1-(N!R60/Kstar!R60)))</f>
        <v>1.5923947300783095</v>
      </c>
      <c r="S60" s="78">
        <f>N!S60+($Q$7*(SUM(N!R60,N!S59,N!T60,N!S61)-(4*N!S60)))+(Rstar!S60*N!S60*(1-(N!S60/Kstar!S60)))</f>
        <v>1.5926166664411645</v>
      </c>
      <c r="T60" s="78">
        <f>N!T60+($Q$7*(SUM(N!S60,N!T59,N!U60,N!T61)-(4*N!T60)))+(Rstar!T60*N!T60*(1-(N!T60/Kstar!T60)))</f>
        <v>1.5929382657639835</v>
      </c>
      <c r="U60" s="78">
        <f>N!U60+($Q$7*(SUM(N!T60,N!U59,N!V60,N!U61)-(4*N!U60)))+(Rstar!U60*N!U60*(1-(N!U60/Kstar!U60)))</f>
        <v>1.593398614828571</v>
      </c>
      <c r="V60" s="78">
        <f>N!V60+($Q$7*(SUM(N!U60,N!V59,N!W60,N!V61)-(4*N!V60)))+(Rstar!V60*N!V60*(1-(N!V60/Kstar!V60)))</f>
        <v>1.5940510425785237</v>
      </c>
      <c r="W60" s="78">
        <f>N!W60+($Q$7*(SUM(N!V60,N!W59,N!X60,N!W61)-(4*N!W60)))+(Rstar!W60*N!W60*(1-(N!W60/Kstar!W60)))</f>
        <v>1.5949680554381069</v>
      </c>
      <c r="X60" s="78">
        <f>N!X60+($Q$7*(SUM(N!W60,N!X59,N!Y60,N!X61)-(4*N!X60)))+(Rstar!X60*N!X60*(1-(N!X60/Kstar!X60)))</f>
        <v>1.5962481284860566</v>
      </c>
      <c r="Y60" s="78">
        <f>N!Y60+($Q$7*(SUM(N!X60,N!Y59,N!Z60,N!Y61)-(4*N!Y60)))+(Rstar!Y60*N!Y60*(1-(N!Y60/Kstar!Y60)))</f>
        <v>1.5980251664267526</v>
      </c>
      <c r="Z60" s="78">
        <f>N!Z60+($Q$7*(SUM(N!Y60,N!Z59,N!AA60,N!Z61)-(4*N!Z60)))+(Rstar!Z60*N!Z60*(1-(N!Z60/Kstar!Z60)))</f>
        <v>1.6004818632835416</v>
      </c>
      <c r="AA60" s="78">
        <f>N!AA60+($Q$7*(SUM(N!Z60,N!AA59,N!AB60,N!AA61)-(4*N!AA60)))+(Rstar!AA60*N!AA60*(1-(N!AA60/Kstar!AA60)))</f>
        <v>1.6038688207042291</v>
      </c>
      <c r="AB60" s="78">
        <f>N!AB60+($Q$7*(SUM(N!AA60,N!AB59,N!AC60,N!AB61)-(4*N!AB60)))+(Rstar!AB60*N!AB60*(1-(N!AB60/Kstar!AB60)))</f>
        <v>1.6085322475816184</v>
      </c>
      <c r="AC60" s="78">
        <f>N!AC60+($Q$7*(SUM(N!AB60,N!AC59,N!AD60,N!AC61)-(4*N!AC60)))+(Rstar!AC60*N!AC60*(1-(N!AC60/Kstar!AC60)))</f>
        <v>1.6149545403795291</v>
      </c>
      <c r="AD60" s="78">
        <f>N!AD60+($Q$7*(SUM(N!AC60,N!AD59,N!AE60,N!AD61)-(4*N!AD60)))+(Rstar!AD60*N!AD60*(1-(N!AD60/Kstar!AD60)))</f>
        <v>1.6238143245182337</v>
      </c>
      <c r="AE60" s="78">
        <f>N!AE60+($Q$7*(SUM(N!AD60,N!AE59,N!AF60,N!AE61)-(4*N!AE60)))+(Rstar!AE60*N!AE60*(1-(N!AE60/Kstar!AE60)))</f>
        <v>1.63607609341759</v>
      </c>
      <c r="AF60" s="78">
        <f>N!AF60+($Q$7*(SUM(N!AE60,N!AF59,N!AG60,N!AF61)-(4*N!AF60)))+(Rstar!AF60*N!AF60*(1-(N!AF60/Kstar!AF60)))</f>
        <v>1.6531251925647303</v>
      </c>
      <c r="AG60" s="78">
        <f>N!AG60+($Q$7*(SUM(N!AF60,N!AG59,N!AH60,N!AG61)-(4*N!AG60)))+(Rstar!AG60*N!AG60*(1-(N!AG60/Kstar!AG60)))</f>
        <v>1.6769728856076518</v>
      </c>
      <c r="AH60" s="78">
        <f>N!AH60+($Q$7*(SUM(N!AG60,N!AH59,N!AI60,N!AH61)-(4*N!AH60)))+(Rstar!AH60*N!AH60*(1-(N!AH60/Kstar!AH60)))</f>
        <v>1.7105709466033794</v>
      </c>
      <c r="AI60" s="78">
        <f>N!AI60+($Q$7*(SUM(N!AH60,N!AI59,N!AJ60,N!AI61)-(4*N!AI60)))+(Rstar!AI60*N!AI60*(1-(N!AI60/Kstar!AI60)))</f>
        <v>1.7583000009665166</v>
      </c>
      <c r="AJ60" s="78">
        <f>N!AJ60+($Q$7*(SUM(N!AI60,N!AJ59,N!AK60,N!AJ61)-(4*N!AJ60)))+(Rstar!AJ60*N!AJ60*(1-(N!AJ60/Kstar!AJ60)))</f>
        <v>1.826739348926427</v>
      </c>
      <c r="AK60" s="78">
        <f>N!AK60+($Q$7*(SUM(N!AJ60,N!AK59,N!AL60,N!AK61)-(4*N!AK60)))+(Rstar!AK60*N!AK60*(1-(N!AK60/Kstar!AK60)))</f>
        <v>1.9259067906853979</v>
      </c>
      <c r="AL60" s="78">
        <f>N!AL60+($Q$7*(SUM(N!AK60,N!AL59,N!AM60,N!AL61)-(4*N!AL60)))+(Rstar!AL60*N!AL60*(1-(N!AL60/Kstar!AL60)))</f>
        <v>2.0713176424718025</v>
      </c>
      <c r="AM60" s="78">
        <f>N!AM60+($Q$7*(SUM(N!AL60,N!AM59,N!AN60,N!AM61)-(4*N!AM60)))+(Rstar!AM60*N!AM60*(1-(N!AM60/Kstar!AM60)))</f>
        <v>2.2875570256853663</v>
      </c>
      <c r="AN60" s="78">
        <f>N!AN60+($Q$7*(SUM(N!AM60,N!AN59,N!AO60,N!AN61)-(4*N!AN60)))+(Rstar!AN60*N!AN60*(1-(N!AN60/Kstar!AN60)))</f>
        <v>2.6148595143737854</v>
      </c>
      <c r="AO60" s="78">
        <f>N!AO60+($Q$7*(SUM(N!AN60,N!AO59,N!AP60,N!AO61)-(4*N!AO60)))+(Rstar!AO60*N!AO60*(1-(N!AO60/Kstar!AO60)))</f>
        <v>3.1221945869261494</v>
      </c>
      <c r="AP60" s="78">
        <f>N!AP60+($Q$7*(SUM(N!AO60,N!AP59,N!AQ60,N!AP61)-(4*N!AP60)))+(Rstar!AP60*N!AP60*(1-(N!AP60/Kstar!AP60)))</f>
        <v>3.9358121276234677</v>
      </c>
      <c r="AQ60" s="79">
        <f>N!AQ60+($Q$7*(SUM(N!AP60,N!AQ59,N!AR60,N!AQ61)-(4*N!AQ60)))+(Rstar!AQ60*N!AQ60*(1-(N!AQ60/Kstar!AQ60)))</f>
        <v>5.3086331848466362</v>
      </c>
      <c r="AR60" s="92">
        <f>N!AR60+($X$7*(SUM(N!AQ60,N!AR59,N!AS60,N!AR61)-(4*N!AR60)))+(Rstar!AR60*N!AR60*(1-(N!AR60/Kstar!AR60)))</f>
        <v>7.7929864836018288</v>
      </c>
      <c r="AS60" s="86">
        <f>N!AS60+($X$7*(SUM(N!AR60,N!AS59,N!AT60,N!AS61)-(4*N!AS60)))+(Rstar!AS60*N!AS60*(1-(N!AS60/Kstar!AS60)))</f>
        <v>9.0034960711967909</v>
      </c>
      <c r="AT60" s="86">
        <f>N!AT60+($X$7*(SUM(N!AS60,N!AT59,N!AU60,N!AT61)-(4*N!AT60)))+(Rstar!AT60*N!AT60*(1-(N!AT60/Kstar!AT60)))</f>
        <v>9.5512767842791</v>
      </c>
      <c r="AU60" s="86">
        <f>N!AU60+($X$7*(SUM(N!AT60,N!AU59,N!AV60,N!AU61)-(4*N!AU60)))+(Rstar!AU60*N!AU60*(1-(N!AU60/Kstar!AU60)))</f>
        <v>9.7919331916325394</v>
      </c>
      <c r="AV60" s="86">
        <f>N!AV60+($X$7*(SUM(N!AU60,N!AV59,N!AW60,N!AV61)-(4*N!AV60)))+(Rstar!AV60*N!AV60*(1-(N!AV60/Kstar!AV60)))</f>
        <v>9.8962692026221806</v>
      </c>
      <c r="AW60" s="86">
        <f>N!AW60+($X$7*(SUM(N!AV60,N!AW59,N!AX60,N!AW61)-(4*N!AW60)))+(Rstar!AW60*N!AW60*(1-(N!AW60/Kstar!AW60)))</f>
        <v>9.9411930016890064</v>
      </c>
      <c r="AX60" s="86">
        <f>N!AX60+($X$7*(SUM(N!AW60,N!AX59,N!AY60,N!AX61)-(4*N!AX60)))+(Rstar!AX60*N!AX60*(1-(N!AX60/Kstar!AX60)))</f>
        <v>9.9603950397441015</v>
      </c>
      <c r="AY60" s="87">
        <f>N!AY60+($X$7*(SUM(N!AX60,N!AY59,N!AZ60,N!AY61)-(4*N!AY60)))+(Rstar!AY60*N!AY60*(1-(N!AY60/Kstar!AY60)))</f>
        <v>9.9684016300655234</v>
      </c>
      <c r="AZ60" s="72">
        <f>N!AZ60+($X$7*(SUM(N!AY60,N!AZ59,N!AZ61)-(3*N!AZ60)))+(Rstar!AZ60*N!AZ60*(1-(N!AZ60/Kstar!AZ60)))</f>
        <v>9.971299950043198</v>
      </c>
      <c r="BA60" s="35">
        <v>42</v>
      </c>
    </row>
    <row r="61" spans="2:53" x14ac:dyDescent="0.2">
      <c r="B61" s="34">
        <v>43</v>
      </c>
      <c r="C61" s="72">
        <f>N!C61+($Q$7*(SUM(N!C60,N!D61,N!C62)-(3*N!C61)))+(Rstar!C61*N!C61*(1-(N!C61/Kstar!C61)))</f>
        <v>1.1404430354972708</v>
      </c>
      <c r="D61" s="77">
        <f>N!D61+($Q$7*(SUM(N!C61,N!D60,N!E61,N!D62)-(4*N!D61)))+(Rstar!D61*N!D61*(1-(N!D61/Kstar!D61)))</f>
        <v>1.2491333136099663</v>
      </c>
      <c r="E61" s="78">
        <f>N!E61+($Q$7*(SUM(N!D61,N!E60,N!F61,N!E62)-(4*N!E61)))+(Rstar!E61*N!E61*(1-(N!E61/Kstar!E61)))</f>
        <v>1.3534295383467823</v>
      </c>
      <c r="F61" s="78">
        <f>N!F61+($Q$7*(SUM(N!E61,N!F60,N!G61,N!F62)-(4*N!F61)))+(Rstar!F61*N!F61*(1-(N!F61/Kstar!F61)))</f>
        <v>1.4527163751906327</v>
      </c>
      <c r="G61" s="78">
        <f>N!G61+($Q$7*(SUM(N!F61,N!G60,N!H61,N!G62)-(4*N!G61)))+(Rstar!G61*N!G61*(1-(N!G61/Kstar!G61)))</f>
        <v>1.4547213889954846</v>
      </c>
      <c r="H61" s="78">
        <f>N!H61+($Q$7*(SUM(N!G61,N!H60,N!I61,N!H62)-(4*N!H61)))+(Rstar!H61*N!H61*(1-(N!H61/Kstar!H61)))</f>
        <v>1.4547213928292739</v>
      </c>
      <c r="I61" s="78">
        <f>N!I61+($Q$7*(SUM(N!H61,N!I60,N!J61,N!I62)-(4*N!I61)))+(Rstar!I61*N!I61*(1-(N!I61/Kstar!I61)))</f>
        <v>1.4547434893635831</v>
      </c>
      <c r="J61" s="78">
        <f>N!J61+($Q$7*(SUM(N!I61,N!J60,N!K61,N!J62)-(4*N!J61)))+(Rstar!J61*N!J61*(1-(N!J61/Kstar!J61)))</f>
        <v>1.454788679495276</v>
      </c>
      <c r="K61" s="78">
        <f>N!K61+($Q$7*(SUM(N!J61,N!K60,N!L61,N!K62)-(4*N!K61)))+(Rstar!K61*N!K61*(1-(N!K61/Kstar!K61)))</f>
        <v>1.4547434829642181</v>
      </c>
      <c r="L61" s="78">
        <f>N!L61+($Q$7*(SUM(N!K61,N!L60,N!M61,N!L62)-(4*N!L61)))+(Rstar!L61*N!L61*(1-(N!L61/Kstar!L61)))</f>
        <v>1.4547213889954846</v>
      </c>
      <c r="M61" s="78">
        <f>N!M61+($Q$7*(SUM(N!L61,N!M60,N!N61,N!M62)-(4*N!M61)))+(Rstar!M61*N!M61*(1-(N!M61/Kstar!M61)))</f>
        <v>1.4547213928292739</v>
      </c>
      <c r="N61" s="78">
        <f>N!N61+($Q$7*(SUM(N!M61,N!N60,N!O61,N!N62)-(4*N!N61)))+(Rstar!N61*N!N61*(1-(N!N61/Kstar!N61)))</f>
        <v>1.4547434893635831</v>
      </c>
      <c r="O61" s="78">
        <f>N!O61+($Q$7*(SUM(N!N61,N!O60,N!P61,N!O62)-(4*N!O61)))+(Rstar!O61*N!O61*(1-(N!O61/Kstar!O61)))</f>
        <v>1.4547912498698792</v>
      </c>
      <c r="P61" s="78">
        <f>N!P61+($Q$7*(SUM(N!O61,N!P60,N!Q61,N!P62)-(4*N!P61)))+(Rstar!P61*N!P61*(1-(N!P61/Kstar!P61)))</f>
        <v>1.4548721602406787</v>
      </c>
      <c r="Q61" s="78">
        <f>N!Q61+($Q$7*(SUM(N!P61,N!Q60,N!R61,N!Q62)-(4*N!Q61)))+(Rstar!Q61*N!Q61*(1-(N!Q61/Kstar!Q61)))</f>
        <v>1.4549983307489966</v>
      </c>
      <c r="R61" s="78">
        <f>N!R61+($Q$7*(SUM(N!Q61,N!R60,N!S61,N!R62)-(4*N!R61)))+(Rstar!R61*N!R61*(1-(N!R61/Kstar!R61)))</f>
        <v>1.4551876456602193</v>
      </c>
      <c r="S61" s="78">
        <f>N!S61+($Q$7*(SUM(N!R61,N!S60,N!T61,N!S62)-(4*N!S61)))+(Rstar!S61*N!S61*(1-(N!S61/Kstar!S61)))</f>
        <v>1.4554654453406326</v>
      </c>
      <c r="T61" s="78">
        <f>N!T61+($Q$7*(SUM(N!S61,N!T60,N!U61,N!T62)-(4*N!T61)))+(Rstar!T61*N!T61*(1-(N!T61/Kstar!T61)))</f>
        <v>1.4558668680279085</v>
      </c>
      <c r="U61" s="78">
        <f>N!U61+($Q$7*(SUM(N!T61,N!U60,N!V61,N!U62)-(4*N!U61)))+(Rstar!U61*N!U61*(1-(N!U61/Kstar!U61)))</f>
        <v>1.4564400334143808</v>
      </c>
      <c r="V61" s="78">
        <f>N!V61+($Q$7*(SUM(N!U61,N!V60,N!W61,N!V62)-(4*N!V61)))+(Rstar!V61*N!V61*(1-(N!V61/Kstar!V61)))</f>
        <v>1.4572503350800101</v>
      </c>
      <c r="W61" s="78">
        <f>N!W61+($Q$7*(SUM(N!V61,N!W60,N!X61,N!W62)-(4*N!W61)))+(Rstar!W61*N!W61*(1-(N!W61/Kstar!W61)))</f>
        <v>1.458386236786775</v>
      </c>
      <c r="X61" s="78">
        <f>N!X61+($Q$7*(SUM(N!W61,N!X60,N!Y61,N!X62)-(4*N!X61)))+(Rstar!X61*N!X61*(1-(N!X61/Kstar!X61)))</f>
        <v>1.4599671592231021</v>
      </c>
      <c r="Y61" s="78">
        <f>N!Y61+($Q$7*(SUM(N!X61,N!Y60,N!Z61,N!Y62)-(4*N!Y61)))+(Rstar!Y61*N!Y61*(1-(N!Y61/Kstar!Y61)))</f>
        <v>1.4621543302953857</v>
      </c>
      <c r="Z61" s="78">
        <f>N!Z61+($Q$7*(SUM(N!Y61,N!Z60,N!AA61,N!Z62)-(4*N!Z61)))+(Rstar!Z61*N!Z61*(1-(N!Z61/Kstar!Z61)))</f>
        <v>1.4651659004837274</v>
      </c>
      <c r="AA61" s="78">
        <f>N!AA61+($Q$7*(SUM(N!Z61,N!AA60,N!AB61,N!AA62)-(4*N!AA61)))+(Rstar!AA61*N!AA61*(1-(N!AA61/Kstar!AA61)))</f>
        <v>1.4692982654872289</v>
      </c>
      <c r="AB61" s="78">
        <f>N!AB61+($Q$7*(SUM(N!AA61,N!AB60,N!AC61,N!AB62)-(4*N!AB61)))+(Rstar!AB61*N!AB61*(1-(N!AB61/Kstar!AB61)))</f>
        <v>1.4749564979736343</v>
      </c>
      <c r="AC61" s="78">
        <f>N!AC61+($Q$7*(SUM(N!AB61,N!AC60,N!AD61,N!AC62)-(4*N!AC61)))+(Rstar!AC61*N!AC61*(1-(N!AC61/Kstar!AC61)))</f>
        <v>1.4826982330552279</v>
      </c>
      <c r="AD61" s="78">
        <f>N!AD61+($Q$7*(SUM(N!AC61,N!AD60,N!AE61,N!AD62)-(4*N!AD61)))+(Rstar!AD61*N!AD61*(1-(N!AD61/Kstar!AD61)))</f>
        <v>1.4932975371464665</v>
      </c>
      <c r="AE61" s="78">
        <f>N!AE61+($Q$7*(SUM(N!AD61,N!AE60,N!AF61,N!AE62)-(4*N!AE61)))+(Rstar!AE61*N!AE61*(1-(N!AE61/Kstar!AE61)))</f>
        <v>1.507838636288271</v>
      </c>
      <c r="AF61" s="78">
        <f>N!AF61+($Q$7*(SUM(N!AE61,N!AF60,N!AG61,N!AF62)-(4*N!AF61)))+(Rstar!AF61*N!AF61*(1-(N!AF61/Kstar!AF61)))</f>
        <v>1.5278545886813899</v>
      </c>
      <c r="AG61" s="78">
        <f>N!AG61+($Q$7*(SUM(N!AF61,N!AG60,N!AH61,N!AG62)-(4*N!AG61)))+(Rstar!AG61*N!AG61*(1-(N!AG61/Kstar!AG61)))</f>
        <v>1.5555342776168586</v>
      </c>
      <c r="AH61" s="78">
        <f>N!AH61+($Q$7*(SUM(N!AG61,N!AH60,N!AI61,N!AH62)-(4*N!AH61)))+(Rstar!AH61*N!AH61*(1-(N!AH61/Kstar!AH61)))</f>
        <v>1.5940347096414498</v>
      </c>
      <c r="AI61" s="78">
        <f>N!AI61+($Q$7*(SUM(N!AH61,N!AI60,N!AJ61,N!AI62)-(4*N!AI61)))+(Rstar!AI61*N!AI61*(1-(N!AI61/Kstar!AI61)))</f>
        <v>1.6479588591636787</v>
      </c>
      <c r="AJ61" s="78">
        <f>N!AJ61+($Q$7*(SUM(N!AI61,N!AJ60,N!AK61,N!AJ62)-(4*N!AJ61)))+(Rstar!AJ61*N!AJ61*(1-(N!AJ61/Kstar!AJ61)))</f>
        <v>1.7241011128624899</v>
      </c>
      <c r="AK61" s="78">
        <f>N!AK61+($Q$7*(SUM(N!AJ61,N!AK60,N!AL61,N!AK62)-(4*N!AK61)))+(Rstar!AK61*N!AK61*(1-(N!AK61/Kstar!AK61)))</f>
        <v>1.8326421361647904</v>
      </c>
      <c r="AL61" s="78">
        <f>N!AL61+($Q$7*(SUM(N!AK61,N!AL60,N!AM61,N!AL62)-(4*N!AL61)))+(Rstar!AL61*N!AL61*(1-(N!AL61/Kstar!AL61)))</f>
        <v>1.9891372407725456</v>
      </c>
      <c r="AM61" s="78">
        <f>N!AM61+($Q$7*(SUM(N!AL61,N!AM60,N!AN61,N!AM62)-(4*N!AM61)))+(Rstar!AM61*N!AM61*(1-(N!AM61/Kstar!AM61)))</f>
        <v>2.2179945739073004</v>
      </c>
      <c r="AN61" s="78">
        <f>N!AN61+($Q$7*(SUM(N!AM61,N!AN60,N!AO61,N!AN62)-(4*N!AN61)))+(Rstar!AN61*N!AN61*(1-(N!AN61/Kstar!AN61)))</f>
        <v>2.5589558189802566</v>
      </c>
      <c r="AO61" s="78">
        <f>N!AO61+($Q$7*(SUM(N!AN61,N!AO60,N!AP61,N!AO62)-(4*N!AO61)))+(Rstar!AO61*N!AO61*(1-(N!AO61/Kstar!AO61)))</f>
        <v>3.0801209188654997</v>
      </c>
      <c r="AP61" s="78">
        <f>N!AP61+($Q$7*(SUM(N!AO61,N!AP60,N!AQ61,N!AP62)-(4*N!AP61)))+(Rstar!AP61*N!AP61*(1-(N!AP61/Kstar!AP61)))</f>
        <v>3.906532868823319</v>
      </c>
      <c r="AQ61" s="79">
        <f>N!AQ61+($Q$7*(SUM(N!AP61,N!AQ60,N!AR61,N!AQ62)-(4*N!AQ61)))+(Rstar!AQ61*N!AQ61*(1-(N!AQ61/Kstar!AQ61)))</f>
        <v>5.2897452802481073</v>
      </c>
      <c r="AR61" s="92">
        <f>N!AR61+($X$7*(SUM(N!AQ61,N!AR60,N!AS61,N!AR62)-(4*N!AR61)))+(Rstar!AR61*N!AR61*(1-(N!AR61/Kstar!AR61)))</f>
        <v>7.7808043367280622</v>
      </c>
      <c r="AS61" s="86">
        <f>N!AS61+($X$7*(SUM(N!AR61,N!AS60,N!AT61,N!AS62)-(4*N!AS61)))+(Rstar!AS61*N!AS61*(1-(N!AS61/Kstar!AS61)))</f>
        <v>8.9965161712741715</v>
      </c>
      <c r="AT61" s="86">
        <f>N!AT61+($X$7*(SUM(N!AS61,N!AT60,N!AU61,N!AT62)-(4*N!AT61)))+(Rstar!AT61*N!AT61*(1-(N!AT61/Kstar!AT61)))</f>
        <v>9.5474730286333571</v>
      </c>
      <c r="AU61" s="86">
        <f>N!AU61+($X$7*(SUM(N!AT61,N!AU60,N!AV61,N!AU62)-(4*N!AU61)))+(Rstar!AU61*N!AU61*(1-(N!AU61/Kstar!AU61)))</f>
        <v>9.7899086414904204</v>
      </c>
      <c r="AV61" s="86">
        <f>N!AV61+($X$7*(SUM(N!AU61,N!AV60,N!AW61,N!AV62)-(4*N!AV61)))+(Rstar!AV61*N!AV61*(1-(N!AV61/Kstar!AV61)))</f>
        <v>9.8952059948285012</v>
      </c>
      <c r="AW61" s="86">
        <f>N!AW61+($X$7*(SUM(N!AV61,N!AW60,N!AX61,N!AW62)-(4*N!AW61)))+(Rstar!AW61*N!AW61*(1-(N!AW61/Kstar!AW61)))</f>
        <v>9.9406385669878041</v>
      </c>
      <c r="AX61" s="86">
        <f>N!AX61+($X$7*(SUM(N!AW61,N!AX60,N!AY61,N!AX62)-(4*N!AX61)))+(Rstar!AX61*N!AX61*(1-(N!AX61/Kstar!AX61)))</f>
        <v>9.960103820050433</v>
      </c>
      <c r="AY61" s="87">
        <f>N!AY61+($X$7*(SUM(N!AX61,N!AY60,N!AZ61,N!AY62)-(4*N!AY61)))+(Rstar!AY61*N!AY61*(1-(N!AY61/Kstar!AY61)))</f>
        <v>9.9682398899495333</v>
      </c>
      <c r="AZ61" s="72">
        <f>N!AZ61+($X$7*(SUM(N!AY61,N!AZ60,N!AZ62)-(3*N!AZ61)))+(Rstar!AZ61*N!AZ61*(1-(N!AZ61/Kstar!AZ61)))</f>
        <v>9.9711909803918797</v>
      </c>
      <c r="BA61" s="35">
        <v>43</v>
      </c>
    </row>
    <row r="62" spans="2:53" x14ac:dyDescent="0.2">
      <c r="B62" s="34">
        <v>44</v>
      </c>
      <c r="C62" s="72">
        <f>N!C62+($Q$7*(SUM(N!C61,N!D62,N!C63)-(3*N!C62)))+(Rstar!C62*N!C62*(1-(N!C62/Kstar!C62)))</f>
        <v>1.1153509343841941</v>
      </c>
      <c r="D62" s="77">
        <f>N!D62+($Q$7*(SUM(N!C62,N!D61,N!E62,N!D63)-(4*N!D62)))+(Rstar!D62*N!D62*(1-(N!D62/Kstar!D62)))</f>
        <v>1.1981790148453997</v>
      </c>
      <c r="E62" s="78">
        <f>N!E62+($Q$7*(SUM(N!D62,N!E61,N!F62,N!E63)-(4*N!E62)))+(Rstar!E62*N!E62*(1-(N!E62/Kstar!E62)))</f>
        <v>1.2762838651631356</v>
      </c>
      <c r="F62" s="78">
        <f>N!F62+($Q$7*(SUM(N!E62,N!F61,N!G62,N!F63)-(4*N!F62)))+(Rstar!F62*N!F62*(1-(N!F62/Kstar!F62)))</f>
        <v>1.3505514829041958</v>
      </c>
      <c r="G62" s="78">
        <f>N!G62+($Q$7*(SUM(N!F62,N!G61,N!H62,N!G63)-(4*N!G62)))+(Rstar!G62*N!G62*(1-(N!G62/Kstar!G62)))</f>
        <v>1.3520411773147663</v>
      </c>
      <c r="H62" s="78">
        <f>N!H62+($Q$7*(SUM(N!G62,N!H61,N!I62,N!H63)-(4*N!H62)))+(Rstar!H62*N!H62*(1-(N!H62/Kstar!H62)))</f>
        <v>1.3520412049168482</v>
      </c>
      <c r="I62" s="78">
        <f>N!I62+($Q$7*(SUM(N!H62,N!I61,N!J62,N!I63)-(4*N!I62)))+(Rstar!I62*N!I62*(1-(N!I62/Kstar!I62)))</f>
        <v>1.3520682513997411</v>
      </c>
      <c r="J62" s="78">
        <f>N!J62+($Q$7*(SUM(N!I62,N!J61,N!K62,N!J63)-(4*N!J62)))+(Rstar!J62*N!J62*(1-(N!J62/Kstar!J62)))</f>
        <v>1.352123388440029</v>
      </c>
      <c r="K62" s="78">
        <f>N!K62+($Q$7*(SUM(N!J62,N!K61,N!L62,N!K63)-(4*N!K62)))+(Rstar!K62*N!K62*(1-(N!K62/Kstar!K62)))</f>
        <v>1.3520682055712365</v>
      </c>
      <c r="L62" s="78">
        <f>N!L62+($Q$7*(SUM(N!K62,N!L61,N!M62,N!L63)-(4*N!L62)))+(Rstar!L62*N!L62*(1-(N!L62/Kstar!L62)))</f>
        <v>1.3520411773147663</v>
      </c>
      <c r="M62" s="78">
        <f>N!M62+($Q$7*(SUM(N!L62,N!M61,N!N62,N!M63)-(4*N!M62)))+(Rstar!M62*N!M62*(1-(N!M62/Kstar!M62)))</f>
        <v>1.3520412049168482</v>
      </c>
      <c r="N62" s="78">
        <f>N!N62+($Q$7*(SUM(N!M62,N!N61,N!O62,N!N63)-(4*N!N62)))+(Rstar!N62*N!N62*(1-(N!N62/Kstar!N62)))</f>
        <v>1.3520682513997411</v>
      </c>
      <c r="O62" s="78">
        <f>N!O62+($Q$7*(SUM(N!N62,N!O61,N!P62,N!O63)-(4*N!O62)))+(Rstar!O62*N!O62*(1-(N!O62/Kstar!O62)))</f>
        <v>1.3521265182658013</v>
      </c>
      <c r="P62" s="78">
        <f>N!P62+($Q$7*(SUM(N!O62,N!P61,N!Q62,N!P63)-(4*N!P62)))+(Rstar!P62*N!P62*(1-(N!P62/Kstar!P62)))</f>
        <v>1.3522248846397835</v>
      </c>
      <c r="Q62" s="78">
        <f>N!Q62+($Q$7*(SUM(N!P62,N!Q61,N!R62,N!Q63)-(4*N!Q62)))+(Rstar!Q62*N!Q62*(1-(N!Q62/Kstar!Q62)))</f>
        <v>1.3523777721325634</v>
      </c>
      <c r="R62" s="78">
        <f>N!R62+($Q$7*(SUM(N!Q62,N!R61,N!S62,N!R63)-(4*N!R62)))+(Rstar!R62*N!R62*(1-(N!R62/Kstar!R62)))</f>
        <v>1.352606512658419</v>
      </c>
      <c r="S62" s="78">
        <f>N!S62+($Q$7*(SUM(N!R62,N!S61,N!T62,N!S63)-(4*N!S62)))+(Rstar!S62*N!S62*(1-(N!S62/Kstar!S62)))</f>
        <v>1.3529413252794458</v>
      </c>
      <c r="T62" s="78">
        <f>N!T62+($Q$7*(SUM(N!S62,N!T61,N!U62,N!T63)-(4*N!T62)))+(Rstar!T62*N!T62*(1-(N!T62/Kstar!T62)))</f>
        <v>1.3534240446937182</v>
      </c>
      <c r="U62" s="78">
        <f>N!U62+($Q$7*(SUM(N!T62,N!U61,N!V62,N!U63)-(4*N!U62)))+(Rstar!U62*N!U62*(1-(N!U62/Kstar!U62)))</f>
        <v>1.354111800917513</v>
      </c>
      <c r="V62" s="78">
        <f>N!V62+($Q$7*(SUM(N!U62,N!V61,N!W62,N!V63)-(4*N!V62)))+(Rstar!V62*N!V62*(1-(N!V62/Kstar!V62)))</f>
        <v>1.3550819370975224</v>
      </c>
      <c r="W62" s="78">
        <f>N!W62+($Q$7*(SUM(N!V62,N!W61,N!X62,N!W63)-(4*N!W62)))+(Rstar!W62*N!W62*(1-(N!W62/Kstar!W62)))</f>
        <v>1.3564385835364052</v>
      </c>
      <c r="X62" s="78">
        <f>N!X62+($Q$7*(SUM(N!W62,N!X61,N!Y62,N!X63)-(4*N!X62)))+(Rstar!X62*N!X62*(1-(N!X62/Kstar!X62)))</f>
        <v>1.3583215010671412</v>
      </c>
      <c r="Y62" s="78">
        <f>N!Y62+($Q$7*(SUM(N!X62,N!Y61,N!Z62,N!Y63)-(4*N!Y62)))+(Rstar!Y62*N!Y62*(1-(N!Y62/Kstar!Y62)))</f>
        <v>1.3609180959475895</v>
      </c>
      <c r="Z62" s="78">
        <f>N!Z62+($Q$7*(SUM(N!Y62,N!Z61,N!AA62,N!Z63)-(4*N!Z62)))+(Rstar!Z62*N!Z62*(1-(N!Z62/Kstar!Z62)))</f>
        <v>1.3644799356509085</v>
      </c>
      <c r="AA62" s="78">
        <f>N!AA62+($Q$7*(SUM(N!Z62,N!AA61,N!AB62,N!AA63)-(4*N!AA62)))+(Rstar!AA62*N!AA62*(1-(N!AA62/Kstar!AA62)))</f>
        <v>1.3693457252752144</v>
      </c>
      <c r="AB62" s="78">
        <f>N!AB62+($Q$7*(SUM(N!AA62,N!AB61,N!AC62,N!AB63)-(4*N!AB62)))+(Rstar!AB62*N!AB62*(1-(N!AB62/Kstar!AB62)))</f>
        <v>1.375973634811444</v>
      </c>
      <c r="AC62" s="78">
        <f>N!AC62+($Q$7*(SUM(N!AB62,N!AC61,N!AD62,N!AC63)-(4*N!AC62)))+(Rstar!AC62*N!AC62*(1-(N!AC62/Kstar!AC62)))</f>
        <v>1.3849872467616908</v>
      </c>
      <c r="AD62" s="78">
        <f>N!AD62+($Q$7*(SUM(N!AC62,N!AD61,N!AE62,N!AD63)-(4*N!AD62)))+(Rstar!AD62*N!AD62*(1-(N!AD62/Kstar!AD62)))</f>
        <v>1.3972414565274973</v>
      </c>
      <c r="AE62" s="78">
        <f>N!AE62+($Q$7*(SUM(N!AD62,N!AE61,N!AF62,N!AE63)-(4*N!AE62)))+(Rstar!AE62*N!AE62*(1-(N!AE62/Kstar!AE62)))</f>
        <v>1.4139177904404225</v>
      </c>
      <c r="AF62" s="78">
        <f>N!AF62+($Q$7*(SUM(N!AE62,N!AF61,N!AG62,N!AF63)-(4*N!AF62)))+(Rstar!AF62*N!AF62*(1-(N!AF62/Kstar!AF62)))</f>
        <v>1.4366634698152525</v>
      </c>
      <c r="AG62" s="78">
        <f>N!AG62+($Q$7*(SUM(N!AF62,N!AG61,N!AH62,N!AG63)-(4*N!AG62)))+(Rstar!AG62*N!AG62*(1-(N!AG62/Kstar!AG62)))</f>
        <v>1.4677963329241124</v>
      </c>
      <c r="AH62" s="78">
        <f>N!AH62+($Q$7*(SUM(N!AG62,N!AH61,N!AI62,N!AH63)-(4*N!AH62)))+(Rstar!AH62*N!AH62*(1-(N!AH62/Kstar!AH62)))</f>
        <v>1.5106106757430486</v>
      </c>
      <c r="AI62" s="78">
        <f>N!AI62+($Q$7*(SUM(N!AH62,N!AI61,N!AJ62,N!AI63)-(4*N!AI62)))+(Rstar!AI62*N!AI62*(1-(N!AI62/Kstar!AI62)))</f>
        <v>1.5698416416547036</v>
      </c>
      <c r="AJ62" s="78">
        <f>N!AJ62+($Q$7*(SUM(N!AI62,N!AJ61,N!AK62,N!AJ63)-(4*N!AJ62)))+(Rstar!AJ62*N!AJ62*(1-(N!AJ62/Kstar!AJ62)))</f>
        <v>1.6523872425125348</v>
      </c>
      <c r="AK62" s="78">
        <f>N!AK62+($Q$7*(SUM(N!AJ62,N!AK61,N!AL62,N!AK63)-(4*N!AK62)))+(Rstar!AK62*N!AK62*(1-(N!AK62/Kstar!AK62)))</f>
        <v>1.7684675540925114</v>
      </c>
      <c r="AL62" s="78">
        <f>N!AL62+($Q$7*(SUM(N!AK62,N!AL61,N!AM62,N!AL63)-(4*N!AL62)))+(Rstar!AL62*N!AL62*(1-(N!AL62/Kstar!AL62)))</f>
        <v>1.9335657739253178</v>
      </c>
      <c r="AM62" s="78">
        <f>N!AM62+($Q$7*(SUM(N!AL62,N!AM61,N!AN62,N!AM63)-(4*N!AM62)))+(Rstar!AM62*N!AM62*(1-(N!AM62/Kstar!AM62)))</f>
        <v>2.1718543945769588</v>
      </c>
      <c r="AN62" s="78">
        <f>N!AN62+($Q$7*(SUM(N!AM62,N!AN61,N!AO62,N!AN63)-(4*N!AN62)))+(Rstar!AN62*N!AN62*(1-(N!AN62/Kstar!AN62)))</f>
        <v>2.5226360232050928</v>
      </c>
      <c r="AO62" s="78">
        <f>N!AO62+($Q$7*(SUM(N!AN62,N!AO61,N!AP62,N!AO63)-(4*N!AO62)))+(Rstar!AO62*N!AO62*(1-(N!AO62/Kstar!AO62)))</f>
        <v>3.0533673345020222</v>
      </c>
      <c r="AP62" s="78">
        <f>N!AP62+($Q$7*(SUM(N!AO62,N!AP61,N!AQ62,N!AP63)-(4*N!AP62)))+(Rstar!AP62*N!AP62*(1-(N!AP62/Kstar!AP62)))</f>
        <v>3.8883095789871041</v>
      </c>
      <c r="AQ62" s="79">
        <f>N!AQ62+($Q$7*(SUM(N!AP62,N!AQ61,N!AR62,N!AQ63)-(4*N!AQ62)))+(Rstar!AQ62*N!AQ62*(1-(N!AQ62/Kstar!AQ62)))</f>
        <v>5.2782282225276829</v>
      </c>
      <c r="AR62" s="92">
        <f>N!AR62+($X$7*(SUM(N!AQ62,N!AR61,N!AS62,N!AR63)-(4*N!AR62)))+(Rstar!AR62*N!AR62*(1-(N!AR62/Kstar!AR62)))</f>
        <v>7.7735078580055825</v>
      </c>
      <c r="AS62" s="86">
        <f>N!AS62+($X$7*(SUM(N!AR62,N!AS61,N!AT62,N!AS63)-(4*N!AS62)))+(Rstar!AS62*N!AS62*(1-(N!AS62/Kstar!AS62)))</f>
        <v>8.9923917527157435</v>
      </c>
      <c r="AT62" s="86">
        <f>N!AT62+($X$7*(SUM(N!AS62,N!AT61,N!AU62,N!AT63)-(4*N!AT62)))+(Rstar!AT62*N!AT62*(1-(N!AT62/Kstar!AT62)))</f>
        <v>9.5452470463013235</v>
      </c>
      <c r="AU62" s="86">
        <f>N!AU62+($X$7*(SUM(N!AT62,N!AU61,N!AV62,N!AU63)-(4*N!AU62)))+(Rstar!AU62*N!AU62*(1-(N!AU62/Kstar!AU62)))</f>
        <v>9.7887302888702159</v>
      </c>
      <c r="AV62" s="86">
        <f>N!AV62+($X$7*(SUM(N!AU62,N!AV61,N!AW62,N!AV63)-(4*N!AV62)))+(Rstar!AV62*N!AV62*(1-(N!AV62/Kstar!AV62)))</f>
        <v>9.8945874534203888</v>
      </c>
      <c r="AW62" s="86">
        <f>N!AW62+($X$7*(SUM(N!AV62,N!AW61,N!AX62,N!AW63)-(4*N!AW62)))+(Rstar!AW62*N!AW62*(1-(N!AW62/Kstar!AW62)))</f>
        <v>9.9403139663761078</v>
      </c>
      <c r="AX62" s="86">
        <f>N!AX62+($X$7*(SUM(N!AW62,N!AX61,N!AY62,N!AX63)-(4*N!AX62)))+(Rstar!AX62*N!AX62*(1-(N!AX62/Kstar!AX62)))</f>
        <v>9.9599302895115489</v>
      </c>
      <c r="AY62" s="87">
        <f>N!AY62+($X$7*(SUM(N!AX62,N!AY61,N!AZ62,N!AY63)-(4*N!AY62)))+(Rstar!AY62*N!AY62*(1-(N!AY62/Kstar!AY62)))</f>
        <v>9.968140052668339</v>
      </c>
      <c r="AZ62" s="72">
        <f>N!AZ62+($X$7*(SUM(N!AY62,N!AZ61,N!AZ63)-(3*N!AZ62)))+(Rstar!AZ62*N!AZ62*(1-(N!AZ62/Kstar!AZ62)))</f>
        <v>9.9711208481352962</v>
      </c>
      <c r="BA62" s="35">
        <v>44</v>
      </c>
    </row>
    <row r="63" spans="2:53" x14ac:dyDescent="0.2">
      <c r="B63" s="34">
        <v>45</v>
      </c>
      <c r="C63" s="72">
        <f>N!C63+($Q$7*(SUM(N!C62,N!D63,N!C64)-(3*N!C63)))+(Rstar!C63*N!C63*(1-(N!C63/Kstar!C63)))</f>
        <v>1.1045991591532727</v>
      </c>
      <c r="D63" s="77">
        <f>N!D63+($Q$7*(SUM(N!C63,N!D62,N!E63,N!D64)-(4*N!D63)))+(Rstar!D63*N!D63*(1-(N!D63/Kstar!D63)))</f>
        <v>1.1649454452572998</v>
      </c>
      <c r="E63" s="78">
        <f>N!E63+($Q$7*(SUM(N!D63,N!E62,N!F63,N!E64)-(4*N!E63)))+(Rstar!E63*N!E63*(1-(N!E63/Kstar!E63)))</f>
        <v>1.2205758087091014</v>
      </c>
      <c r="F63" s="78">
        <f>N!F63+($Q$7*(SUM(N!E63,N!F62,N!G63,N!F64)-(4*N!F63)))+(Rstar!F63*N!F63*(1-(N!F63/Kstar!F63)))</f>
        <v>1.2738813958032753</v>
      </c>
      <c r="G63" s="78">
        <f>N!G63+($Q$7*(SUM(N!F63,N!G62,N!H63,N!G64)-(4*N!G63)))+(Rstar!G63*N!G63*(1-(N!G63/Kstar!G63)))</f>
        <v>1.2749386659939741</v>
      </c>
      <c r="H63" s="78">
        <f>N!H63+($Q$7*(SUM(N!G63,N!H62,N!I63,N!H64)-(4*N!H63)))+(Rstar!H63*N!H63*(1-(N!H63/Kstar!H63)))</f>
        <v>1.2749387591320602</v>
      </c>
      <c r="I63" s="78">
        <f>N!I63+($Q$7*(SUM(N!H63,N!I62,N!J63,N!I64)-(4*N!I63)))+(Rstar!I63*N!I63*(1-(N!I63/Kstar!I63)))</f>
        <v>1.2749707022384846</v>
      </c>
      <c r="J63" s="78">
        <f>N!J63+($Q$7*(SUM(N!I63,N!J62,N!K63,N!J64)-(4*N!J63)))+(Rstar!J63*N!J63*(1-(N!J63/Kstar!J63)))</f>
        <v>1.2750355997731755</v>
      </c>
      <c r="K63" s="78">
        <f>N!K63+($Q$7*(SUM(N!J63,N!K62,N!L63,N!K64)-(4*N!K63)))+(Rstar!K63*N!K63*(1-(N!K63/Kstar!K63)))</f>
        <v>1.2749705450056683</v>
      </c>
      <c r="L63" s="78">
        <f>N!L63+($Q$7*(SUM(N!K63,N!L62,N!M63,N!L64)-(4*N!L63)))+(Rstar!L63*N!L63*(1-(N!L63/Kstar!L63)))</f>
        <v>1.2749386659939741</v>
      </c>
      <c r="M63" s="78">
        <f>N!M63+($Q$7*(SUM(N!L63,N!M62,N!N63,N!M64)-(4*N!M63)))+(Rstar!M63*N!M63*(1-(N!M63/Kstar!M63)))</f>
        <v>1.2749387591320602</v>
      </c>
      <c r="N63" s="78">
        <f>N!N63+($Q$7*(SUM(N!M63,N!N62,N!O63,N!N64)-(4*N!N63)))+(Rstar!N63*N!N63*(1-(N!N63/Kstar!N63)))</f>
        <v>1.2749707022384846</v>
      </c>
      <c r="O63" s="78">
        <f>N!O63+($Q$7*(SUM(N!N63,N!O62,N!P63,N!O64)-(4*N!O63)))+(Rstar!O63*N!O63*(1-(N!O63/Kstar!O63)))</f>
        <v>1.2750392788443494</v>
      </c>
      <c r="P63" s="78">
        <f>N!P63+($Q$7*(SUM(N!O63,N!P62,N!Q63,N!P64)-(4*N!P63)))+(Rstar!P63*N!P63*(1-(N!P63/Kstar!P63)))</f>
        <v>1.2751547161975338</v>
      </c>
      <c r="Q63" s="78">
        <f>N!Q63+($Q$7*(SUM(N!P63,N!Q62,N!R63,N!Q64)-(4*N!Q63)))+(Rstar!Q63*N!Q63*(1-(N!Q63/Kstar!Q63)))</f>
        <v>1.2753336820090664</v>
      </c>
      <c r="R63" s="78">
        <f>N!R63+($Q$7*(SUM(N!Q63,N!R62,N!S63,N!R64)-(4*N!R63)))+(Rstar!R63*N!R63*(1-(N!R63/Kstar!R63)))</f>
        <v>1.2756008457688421</v>
      </c>
      <c r="S63" s="78">
        <f>N!S63+($Q$7*(SUM(N!R63,N!S62,N!T63,N!S64)-(4*N!S63)))+(Rstar!S63*N!S63*(1-(N!S63/Kstar!S63)))</f>
        <v>1.2759911253133236</v>
      </c>
      <c r="T63" s="78">
        <f>N!T63+($Q$7*(SUM(N!S63,N!T62,N!U63,N!T64)-(4*N!T63)))+(Rstar!T63*N!T63*(1-(N!T63/Kstar!T63)))</f>
        <v>1.2765527705165263</v>
      </c>
      <c r="U63" s="78">
        <f>N!U63+($Q$7*(SUM(N!T63,N!U62,N!V63,N!U64)-(4*N!U63)))+(Rstar!U63*N!U63*(1-(N!U63/Kstar!U63)))</f>
        <v>1.2773514927566354</v>
      </c>
      <c r="V63" s="78">
        <f>N!V63+($Q$7*(SUM(N!U63,N!V62,N!W63,N!V64)-(4*N!V63)))+(Rstar!V63*N!V63*(1-(N!V63/Kstar!V63)))</f>
        <v>1.2784759372245453</v>
      </c>
      <c r="W63" s="78">
        <f>N!W63+($Q$7*(SUM(N!V63,N!W62,N!X63,N!W64)-(4*N!W63)))+(Rstar!W63*N!W63*(1-(N!W63/Kstar!W63)))</f>
        <v>1.2800449266304377</v>
      </c>
      <c r="X63" s="78">
        <f>N!X63+($Q$7*(SUM(N!W63,N!X62,N!Y63,N!X64)-(4*N!X63)))+(Rstar!X63*N!X63*(1-(N!X63/Kstar!X63)))</f>
        <v>1.2822170985187851</v>
      </c>
      <c r="Y63" s="78">
        <f>N!Y63+($Q$7*(SUM(N!X63,N!Y62,N!Z63,N!Y64)-(4*N!Y63)))+(Rstar!Y63*N!Y63*(1-(N!Y63/Kstar!Y63)))</f>
        <v>1.2852038427990424</v>
      </c>
      <c r="Z63" s="78">
        <f>N!Z63+($Q$7*(SUM(N!Y63,N!Z62,N!AA63,N!Z64)-(4*N!Z63)))+(Rstar!Z63*N!Z63*(1-(N!Z63/Kstar!Z63)))</f>
        <v>1.2892868626078753</v>
      </c>
      <c r="AA63" s="78">
        <f>N!AA63+($Q$7*(SUM(N!Z63,N!AA62,N!AB63,N!AA64)-(4*N!AA63)))+(Rstar!AA63*N!AA63*(1-(N!AA63/Kstar!AA63)))</f>
        <v>1.2948422903116303</v>
      </c>
      <c r="AB63" s="78">
        <f>N!AB63+($Q$7*(SUM(N!AA63,N!AB62,N!AC63,N!AB64)-(4*N!AB63)))+(Rstar!AB63*N!AB63*(1-(N!AB63/Kstar!AB63)))</f>
        <v>1.3023741805765647</v>
      </c>
      <c r="AC63" s="78">
        <f>N!AC63+($Q$7*(SUM(N!AB63,N!AC62,N!AD63,N!AC64)-(4*N!AC63)))+(Rstar!AC63*N!AC63*(1-(N!AC63/Kstar!AC63)))</f>
        <v>1.3125615112738793</v>
      </c>
      <c r="AD63" s="78">
        <f>N!AD63+($Q$7*(SUM(N!AC63,N!AD62,N!AE63,N!AD64)-(4*N!AD63)))+(Rstar!AD63*N!AD63*(1-(N!AD63/Kstar!AD63)))</f>
        <v>1.3263247709320463</v>
      </c>
      <c r="AE63" s="78">
        <f>N!AE63+($Q$7*(SUM(N!AD63,N!AE62,N!AF63,N!AE64)-(4*N!AE63)))+(Rstar!AE63*N!AE63*(1-(N!AE63/Kstar!AE63)))</f>
        <v>1.3449211689277945</v>
      </c>
      <c r="AF63" s="78">
        <f>N!AF63+($Q$7*(SUM(N!AE63,N!AF62,N!AG63,N!AF64)-(4*N!AF63)))+(Rstar!AF63*N!AF63*(1-(N!AF63/Kstar!AF63)))</f>
        <v>1.3700821238885168</v>
      </c>
      <c r="AG63" s="78">
        <f>N!AG63+($Q$7*(SUM(N!AF63,N!AG62,N!AH63,N!AG64)-(4*N!AG63)))+(Rstar!AG63*N!AG63*(1-(N!AG63/Kstar!AG63)))</f>
        <v>1.4042141681389282</v>
      </c>
      <c r="AH63" s="78">
        <f>N!AH63+($Q$7*(SUM(N!AG63,N!AH62,N!AI63,N!AH64)-(4*N!AH63)))+(Rstar!AH63*N!AH63*(1-(N!AH63/Kstar!AH63)))</f>
        <v>1.450697058966141</v>
      </c>
      <c r="AI63" s="78">
        <f>N!AI63+($Q$7*(SUM(N!AH63,N!AI62,N!AJ63,N!AI64)-(4*N!AI63)))+(Rstar!AI63*N!AI63*(1-(N!AI63/Kstar!AI63)))</f>
        <v>1.5143353204223113</v>
      </c>
      <c r="AJ63" s="78">
        <f>N!AJ63+($Q$7*(SUM(N!AI63,N!AJ62,N!AK63,N!AJ64)-(4*N!AJ63)))+(Rstar!AJ63*N!AJ63*(1-(N!AJ63/Kstar!AJ63)))</f>
        <v>1.6020612092450033</v>
      </c>
      <c r="AK63" s="78">
        <f>N!AK63+($Q$7*(SUM(N!AJ63,N!AK62,N!AL63,N!AK64)-(4*N!AK63)))+(Rstar!AK63*N!AK63*(1-(N!AK63/Kstar!AK63)))</f>
        <v>1.7240687798523016</v>
      </c>
      <c r="AL63" s="78">
        <f>N!AL63+($Q$7*(SUM(N!AK63,N!AL62,N!AM63,N!AL64)-(4*N!AL63)))+(Rstar!AL63*N!AL63*(1-(N!AL63/Kstar!AL63)))</f>
        <v>1.8957264908982783</v>
      </c>
      <c r="AM63" s="78">
        <f>N!AM63+($Q$7*(SUM(N!AL63,N!AM62,N!AN63,N!AM64)-(4*N!AM63)))+(Rstar!AM63*N!AM63*(1-(N!AM63/Kstar!AM63)))</f>
        <v>2.1409785684136575</v>
      </c>
      <c r="AN63" s="78">
        <f>N!AN63+($Q$7*(SUM(N!AM63,N!AN62,N!AO63,N!AN64)-(4*N!AN63)))+(Rstar!AN63*N!AN63*(1-(N!AN63/Kstar!AN63)))</f>
        <v>2.4987765315872936</v>
      </c>
      <c r="AO63" s="78">
        <f>N!AO63+($Q$7*(SUM(N!AN63,N!AO62,N!AP63,N!AO64)-(4*N!AO63)))+(Rstar!AO63*N!AO63*(1-(N!AO63/Kstar!AO63)))</f>
        <v>3.03612391258928</v>
      </c>
      <c r="AP63" s="78">
        <f>N!AP63+($Q$7*(SUM(N!AO63,N!AP62,N!AQ63,N!AP64)-(4*N!AP63)))+(Rstar!AP63*N!AP63*(1-(N!AP63/Kstar!AP63)))</f>
        <v>3.8767869256943253</v>
      </c>
      <c r="AQ63" s="79">
        <f>N!AQ63+($Q$7*(SUM(N!AP63,N!AQ62,N!AR63,N!AQ64)-(4*N!AQ63)))+(Rstar!AQ63*N!AQ63*(1-(N!AQ63/Kstar!AQ63)))</f>
        <v>5.2710821557302614</v>
      </c>
      <c r="AR63" s="92">
        <f>N!AR63+($X$7*(SUM(N!AQ63,N!AR62,N!AS63,N!AR64)-(4*N!AR63)))+(Rstar!AR63*N!AR63*(1-(N!AR63/Kstar!AR63)))</f>
        <v>7.7690590504698065</v>
      </c>
      <c r="AS63" s="86">
        <f>N!AS63+($X$7*(SUM(N!AR63,N!AS62,N!AT63,N!AS64)-(4*N!AS63)))+(Rstar!AS63*N!AS63*(1-(N!AS63/Kstar!AS63)))</f>
        <v>8.9899126108606673</v>
      </c>
      <c r="AT63" s="86">
        <f>N!AT63+($X$7*(SUM(N!AS63,N!AT62,N!AU63,N!AT64)-(4*N!AT63)))+(Rstar!AT63*N!AT63*(1-(N!AT63/Kstar!AT63)))</f>
        <v>9.543924175595091</v>
      </c>
      <c r="AU63" s="86">
        <f>N!AU63+($X$7*(SUM(N!AT63,N!AU62,N!AV63,N!AU64)-(4*N!AU63)))+(Rstar!AU63*N!AU63*(1-(N!AU63/Kstar!AU63)))</f>
        <v>9.7880352864453002</v>
      </c>
      <c r="AV63" s="86">
        <f>N!AV63+($X$7*(SUM(N!AU63,N!AV62,N!AW63,N!AV64)-(4*N!AV63)))+(Rstar!AV63*N!AV63*(1-(N!AV63/Kstar!AV63)))</f>
        <v>9.8942230547725707</v>
      </c>
      <c r="AW63" s="86">
        <f>N!AW63+($X$7*(SUM(N!AV63,N!AW62,N!AX63,N!AW64)-(4*N!AW63)))+(Rstar!AW63*N!AW63*(1-(N!AW63/Kstar!AW63)))</f>
        <v>9.9401203172433927</v>
      </c>
      <c r="AX63" s="86">
        <f>N!AX63+($X$7*(SUM(N!AW63,N!AX62,N!AY63,N!AX64)-(4*N!AX63)))+(Rstar!AX63*N!AX63*(1-(N!AX63/Kstar!AX63)))</f>
        <v>9.959822064324376</v>
      </c>
      <c r="AY63" s="87">
        <f>N!AY63+($X$7*(SUM(N!AX63,N!AY62,N!AZ63,N!AY64)-(4*N!AY63)))+(Rstar!AY63*N!AY63*(1-(N!AY63/Kstar!AY63)))</f>
        <v>9.9680713233148541</v>
      </c>
      <c r="AZ63" s="72">
        <f>N!AZ63+($X$7*(SUM(N!AY63,N!AZ62,N!AZ64)-(3*N!AZ63)))+(Rstar!AZ63*N!AZ63*(1-(N!AZ63/Kstar!AZ63)))</f>
        <v>9.9710666918241877</v>
      </c>
      <c r="BA63" s="35">
        <v>45</v>
      </c>
    </row>
    <row r="64" spans="2:53" x14ac:dyDescent="0.2">
      <c r="B64" s="34">
        <v>46</v>
      </c>
      <c r="C64" s="72">
        <f>N!C64+($Q$7*(SUM(N!C63,N!D64,N!C65)-(3*N!C64)))+(Rstar!C64*N!C64*(1-(N!C64/Kstar!C64)))</f>
        <v>1.1211047584821776</v>
      </c>
      <c r="D64" s="77">
        <f>N!D64+($Q$7*(SUM(N!C64,N!D63,N!E64,N!D65)-(4*N!D64)))+(Rstar!D64*N!D64*(1-(N!D64/Kstar!D64)))</f>
        <v>1.1474301670975418</v>
      </c>
      <c r="E64" s="78">
        <f>N!E64+($Q$7*(SUM(N!D64,N!E63,N!F64,N!E65)-(4*N!E64)))+(Rstar!E64*N!E64*(1-(N!E64/Kstar!E64)))</f>
        <v>1.1812926432955255</v>
      </c>
      <c r="F64" s="78">
        <f>N!F64+($Q$7*(SUM(N!E64,N!F63,N!G64,N!F65)-(4*N!F64)))+(Rstar!F64*N!F64*(1-(N!F64/Kstar!F64)))</f>
        <v>1.2166649952295185</v>
      </c>
      <c r="G64" s="78">
        <f>N!G64+($Q$7*(SUM(N!F64,N!G63,N!H64,N!G65)-(4*N!G64)))+(Rstar!G64*N!G64*(1-(N!G64/Kstar!G64)))</f>
        <v>1.2173519440502212</v>
      </c>
      <c r="H64" s="78">
        <f>N!H64+($Q$7*(SUM(N!G64,N!H63,N!I64,N!H65)-(4*N!H64)))+(Rstar!H64*N!H64*(1-(N!H64/Kstar!H64)))</f>
        <v>1.2173522384482112</v>
      </c>
      <c r="I64" s="78">
        <f>N!I64+($Q$7*(SUM(N!H64,N!I63,N!J64,N!I65)-(4*N!I64)))+(Rstar!I64*N!I64*(1-(N!I64/Kstar!I64)))</f>
        <v>1.2173889031912473</v>
      </c>
      <c r="J64" s="78">
        <f>N!J64+($Q$7*(SUM(N!I64,N!J63,N!K64,N!J65)-(4*N!J64)))+(Rstar!J64*N!J64*(1-(N!J64/Kstar!J64)))</f>
        <v>1.2174629810520539</v>
      </c>
      <c r="K64" s="78">
        <f>N!K64+($Q$7*(SUM(N!J64,N!K63,N!L64,N!K65)-(4*N!K64)))+(Rstar!K64*N!K64*(1-(N!K64/Kstar!K64)))</f>
        <v>1.2173883904259717</v>
      </c>
      <c r="L64" s="78">
        <f>N!L64+($Q$7*(SUM(N!K64,N!L63,N!M64,N!L65)-(4*N!L64)))+(Rstar!L64*N!L64*(1-(N!L64/Kstar!L64)))</f>
        <v>1.2173519440502212</v>
      </c>
      <c r="M64" s="78">
        <f>N!M64+($Q$7*(SUM(N!L64,N!M63,N!N64,N!M65)-(4*N!M64)))+(Rstar!M64*N!M64*(1-(N!M64/Kstar!M64)))</f>
        <v>1.2173522384482112</v>
      </c>
      <c r="N64" s="78">
        <f>N!N64+($Q$7*(SUM(N!M64,N!N63,N!O64,N!N65)-(4*N!N64)))+(Rstar!N64*N!N64*(1-(N!N64/Kstar!N64)))</f>
        <v>1.2173889031912473</v>
      </c>
      <c r="O64" s="78">
        <f>N!O64+($Q$7*(SUM(N!N64,N!O63,N!P64,N!O65)-(4*N!O64)))+(Rstar!O64*N!O64*(1-(N!O64/Kstar!O64)))</f>
        <v>1.2174671787332882</v>
      </c>
      <c r="P64" s="78">
        <f>N!P64+($Q$7*(SUM(N!O64,N!P63,N!Q64,N!P65)-(4*N!P64)))+(Rstar!P64*N!P64*(1-(N!P64/Kstar!P64)))</f>
        <v>1.2175985211753291</v>
      </c>
      <c r="Q64" s="78">
        <f>N!Q64+($Q$7*(SUM(N!P64,N!Q63,N!R64,N!Q65)-(4*N!Q64)))+(Rstar!Q64*N!Q64*(1-(N!Q64/Kstar!Q64)))</f>
        <v>1.2178016759306121</v>
      </c>
      <c r="R64" s="78">
        <f>N!R64+($Q$7*(SUM(N!Q64,N!R63,N!S64,N!R65)-(4*N!R64)))+(Rstar!R64*N!R64*(1-(N!R64/Kstar!R64)))</f>
        <v>1.2181043886598213</v>
      </c>
      <c r="S64" s="78">
        <f>N!S64+($Q$7*(SUM(N!R64,N!S63,N!T64,N!S65)-(4*N!S64)))+(Rstar!S64*N!S64*(1-(N!S64/Kstar!S64)))</f>
        <v>1.2185458827422293</v>
      </c>
      <c r="T64" s="78">
        <f>N!T64+($Q$7*(SUM(N!S64,N!T63,N!U64,N!T65)-(4*N!T64)))+(Rstar!T64*N!T64*(1-(N!T64/Kstar!T64)))</f>
        <v>1.2191802531201372</v>
      </c>
      <c r="U64" s="78">
        <f>N!U64+($Q$7*(SUM(N!T64,N!U63,N!V64,N!U65)-(4*N!U64)))+(Rstar!U64*N!U64*(1-(N!U64/Kstar!U64)))</f>
        <v>1.2200809847422032</v>
      </c>
      <c r="V64" s="78">
        <f>N!V64+($Q$7*(SUM(N!U64,N!V63,N!W64,N!V65)-(4*N!V64)))+(Rstar!V64*N!V64*(1-(N!V64/Kstar!V64)))</f>
        <v>1.2213468940492216</v>
      </c>
      <c r="W64" s="78">
        <f>N!W64+($Q$7*(SUM(N!V64,N!W63,N!X64,N!W65)-(4*N!W64)))+(Rstar!W64*N!W64*(1-(N!W64/Kstar!W64)))</f>
        <v>1.2231099225435609</v>
      </c>
      <c r="X64" s="78">
        <f>N!X64+($Q$7*(SUM(N!W64,N!X63,N!Y64,N!X65)-(4*N!X64)))+(Rstar!X64*N!X64*(1-(N!X64/Kstar!X64)))</f>
        <v>1.2255454008635802</v>
      </c>
      <c r="Y64" s="78">
        <f>N!Y64+($Q$7*(SUM(N!X64,N!Y63,N!Z64,N!Y65)-(4*N!Y64)))+(Rstar!Y64*N!Y64*(1-(N!Y64/Kstar!Y64)))</f>
        <v>1.2288856774999319</v>
      </c>
      <c r="Z64" s="78">
        <f>N!Z64+($Q$7*(SUM(N!Y64,N!Z63,N!AA64,N!Z65)-(4*N!Z64)))+(Rstar!Z64*N!Z64*(1-(N!Z64/Kstar!Z64)))</f>
        <v>1.2334384075381504</v>
      </c>
      <c r="AA64" s="78">
        <f>N!AA64+($Q$7*(SUM(N!Z64,N!AA63,N!AB64,N!AA65)-(4*N!AA64)))+(Rstar!AA64*N!AA64*(1-(N!AA64/Kstar!AA64)))</f>
        <v>1.2396113800135666</v>
      </c>
      <c r="AB64" s="78">
        <f>N!AB64+($Q$7*(SUM(N!AA64,N!AB63,N!AC64,N!AB65)-(4*N!AB64)))+(Rstar!AB64*N!AB64*(1-(N!AB64/Kstar!AB64)))</f>
        <v>1.2479466116198406</v>
      </c>
      <c r="AC64" s="78">
        <f>N!AC64+($Q$7*(SUM(N!AB64,N!AC63,N!AD64,N!AC65)-(4*N!AC64)))+(Rstar!AC64*N!AC64*(1-(N!AC64/Kstar!AC64)))</f>
        <v>1.259167680430394</v>
      </c>
      <c r="AD64" s="78">
        <f>N!AD64+($Q$7*(SUM(N!AC64,N!AD63,N!AE64,N!AD65)-(4*N!AD64)))+(Rstar!AD64*N!AD64*(1-(N!AD64/Kstar!AD64)))</f>
        <v>1.2742461300564611</v>
      </c>
      <c r="AE64" s="78">
        <f>N!AE64+($Q$7*(SUM(N!AD64,N!AE63,N!AF64,N!AE65)-(4*N!AE64)))+(Rstar!AE64*N!AE64*(1-(N!AE64/Kstar!AE64)))</f>
        <v>1.2944956101142251</v>
      </c>
      <c r="AF64" s="78">
        <f>N!AF64+($Q$7*(SUM(N!AE64,N!AF63,N!AG64,N!AF65)-(4*N!AF64)))+(Rstar!AF64*N!AF64*(1-(N!AF64/Kstar!AF64)))</f>
        <v>1.3217068934167353</v>
      </c>
      <c r="AG64" s="78">
        <f>N!AG64+($Q$7*(SUM(N!AF64,N!AG63,N!AH64,N!AG65)-(4*N!AG64)))+(Rstar!AG64*N!AG64*(1-(N!AG64/Kstar!AG64)))</f>
        <v>1.358344255984359</v>
      </c>
      <c r="AH64" s="78">
        <f>N!AH64+($Q$7*(SUM(N!AG64,N!AH63,N!AI64,N!AH65)-(4*N!AH64)))+(Rstar!AH64*N!AH64*(1-(N!AH64/Kstar!AH64)))</f>
        <v>1.4078363005171166</v>
      </c>
      <c r="AI64" s="78">
        <f>N!AI64+($Q$7*(SUM(N!AH64,N!AI63,N!AJ64,N!AI65)-(4*N!AI64)))+(Rstar!AI64*N!AI64*(1-(N!AI64/Kstar!AI64)))</f>
        <v>1.4750168841681863</v>
      </c>
      <c r="AJ64" s="78">
        <f>N!AJ64+($Q$7*(SUM(N!AI64,N!AJ63,N!AK64,N!AJ65)-(4*N!AJ64)))+(Rstar!AJ64*N!AJ64*(1-(N!AJ64/Kstar!AJ64)))</f>
        <v>1.5668141235903046</v>
      </c>
      <c r="AK64" s="78">
        <f>N!AK64+($Q$7*(SUM(N!AJ64,N!AK63,N!AL64,N!AK65)-(4*N!AK64)))+(Rstar!AK64*N!AK64*(1-(N!AK64/Kstar!AK64)))</f>
        <v>1.6933682834304813</v>
      </c>
      <c r="AL64" s="78">
        <f>N!AL64+($Q$7*(SUM(N!AK64,N!AL63,N!AM64,N!AL65)-(4*N!AL64)))+(Rstar!AL64*N!AL64*(1-(N!AL64/Kstar!AL64)))</f>
        <v>1.8699289991693497</v>
      </c>
      <c r="AM64" s="78">
        <f>N!AM64+($Q$7*(SUM(N!AL64,N!AM63,N!AN64,N!AM65)-(4*N!AM64)))+(Rstar!AM64*N!AM64*(1-(N!AM64/Kstar!AM64)))</f>
        <v>2.12024742499394</v>
      </c>
      <c r="AN64" s="78">
        <f>N!AN64+($Q$7*(SUM(N!AM64,N!AN63,N!AO64,N!AN65)-(4*N!AN64)))+(Rstar!AN64*N!AN64*(1-(N!AN64/Kstar!AN64)))</f>
        <v>2.4830120020680488</v>
      </c>
      <c r="AO64" s="78">
        <f>N!AO64+($Q$7*(SUM(N!AN64,N!AO63,N!AP64,N!AO65)-(4*N!AO64)))+(Rstar!AO64*N!AO64*(1-(N!AO64/Kstar!AO64)))</f>
        <v>3.0249177008428938</v>
      </c>
      <c r="AP64" s="78">
        <f>N!AP64+($Q$7*(SUM(N!AO64,N!AP63,N!AQ64,N!AP65)-(4*N!AP64)))+(Rstar!AP64*N!AP64*(1-(N!AP64/Kstar!AP64)))</f>
        <v>3.8694227268622563</v>
      </c>
      <c r="AQ64" s="79">
        <f>N!AQ64+($Q$7*(SUM(N!AP64,N!AQ63,N!AR64,N!AQ65)-(4*N!AQ64)))+(Rstar!AQ64*N!AQ64*(1-(N!AQ64/Kstar!AQ64)))</f>
        <v>5.2665913574717695</v>
      </c>
      <c r="AR64" s="92">
        <f>N!AR64+($X$7*(SUM(N!AQ64,N!AR63,N!AS64,N!AR65)-(4*N!AR64)))+(Rstar!AR64*N!AR64*(1-(N!AR64/Kstar!AR64)))</f>
        <v>7.7663083949421461</v>
      </c>
      <c r="AS64" s="86">
        <f>N!AS64+($X$7*(SUM(N!AR64,N!AS63,N!AT64,N!AS65)-(4*N!AS64)))+(Rstar!AS64*N!AS64*(1-(N!AS64/Kstar!AS64)))</f>
        <v>8.9884009564583724</v>
      </c>
      <c r="AT64" s="86">
        <f>N!AT64+($X$7*(SUM(N!AS64,N!AT63,N!AU64,N!AT65)-(4*N!AT64)))+(Rstar!AT64*N!AT64*(1-(N!AT64/Kstar!AT64)))</f>
        <v>9.5431268851249555</v>
      </c>
      <c r="AU64" s="86">
        <f>N!AU64+($X$7*(SUM(N!AT64,N!AU63,N!AV64,N!AU65)-(4*N!AU64)))+(Rstar!AU64*N!AU64*(1-(N!AU64/Kstar!AU64)))</f>
        <v>9.7876193942341061</v>
      </c>
      <c r="AV64" s="86">
        <f>N!AV64+($X$7*(SUM(N!AU64,N!AV63,N!AW64,N!AV65)-(4*N!AV64)))+(Rstar!AV64*N!AV64*(1-(N!AV64/Kstar!AV64)))</f>
        <v>9.8940038642080754</v>
      </c>
      <c r="AW64" s="86">
        <f>N!AW64+($X$7*(SUM(N!AV64,N!AW63,N!AX64,N!AW65)-(4*N!AW64)))+(Rstar!AW64*N!AW64*(1-(N!AW64/Kstar!AW64)))</f>
        <v>9.9399987541360861</v>
      </c>
      <c r="AX64" s="86">
        <f>N!AX64+($X$7*(SUM(N!AW64,N!AX63,N!AY64,N!AX65)-(4*N!AX64)))+(Rstar!AX64*N!AX64*(1-(N!AX64/Kstar!AX64)))</f>
        <v>9.9597441595290537</v>
      </c>
      <c r="AY64" s="87">
        <f>N!AY64+($X$7*(SUM(N!AX64,N!AY63,N!AZ64,N!AY65)-(4*N!AY64)))+(Rstar!AY64*N!AY64*(1-(N!AY64/Kstar!AY64)))</f>
        <v>9.9680071504736603</v>
      </c>
      <c r="AZ64" s="72">
        <f>N!AZ64+($X$7*(SUM(N!AY64,N!AZ63,N!AZ65)-(3*N!AZ64)))+(Rstar!AZ64*N!AZ64*(1-(N!AZ64/Kstar!AZ64)))</f>
        <v>9.971002498281873</v>
      </c>
      <c r="BA64" s="35">
        <v>46</v>
      </c>
    </row>
    <row r="65" spans="2:53" x14ac:dyDescent="0.2">
      <c r="B65" s="34">
        <v>47</v>
      </c>
      <c r="C65" s="72">
        <f>N!C65+($Q$7*(SUM(N!C64,N!D65,N!C66)-(3*N!C65)))+(Rstar!C65*N!C65*(1-(N!C65/Kstar!C65)))</f>
        <v>1.1196269674922146</v>
      </c>
      <c r="D65" s="77">
        <f>N!D65+($Q$7*(SUM(N!C65,N!D64,N!E65,N!D66)-(4*N!D65)))+(Rstar!D65*N!D65*(1-(N!D65/Kstar!D65)))</f>
        <v>1.1325847024634199</v>
      </c>
      <c r="E65" s="78">
        <f>N!E65+($Q$7*(SUM(N!D65,N!E64,N!F65,N!E66)-(4*N!E65)))+(Rstar!E65*N!E65*(1-(N!E65/Kstar!E65)))</f>
        <v>1.1524618339481529</v>
      </c>
      <c r="F65" s="78">
        <f>N!F65+($Q$7*(SUM(N!E65,N!F64,N!G65,N!F66)-(4*N!F65)))+(Rstar!F65*N!F65*(1-(N!F65/Kstar!F65)))</f>
        <v>1.1747506557097058</v>
      </c>
      <c r="G65" s="78">
        <f>N!G65+($Q$7*(SUM(N!F65,N!G64,N!H65,N!G66)-(4*N!G65)))+(Rstar!G65*N!G65*(1-(N!G65/Kstar!G65)))</f>
        <v>1.1751668300509448</v>
      </c>
      <c r="H65" s="78">
        <f>N!H65+($Q$7*(SUM(N!G65,N!H64,N!I65,N!H66)-(4*N!H65)))+(Rstar!H65*N!H65*(1-(N!H65/Kstar!H65)))</f>
        <v>1.1751677360519461</v>
      </c>
      <c r="I65" s="78">
        <f>N!I65+($Q$7*(SUM(N!H65,N!I64,N!J65,N!I66)-(4*N!I65)))+(Rstar!I65*N!I65*(1-(N!I65/Kstar!I65)))</f>
        <v>1.175208934343871</v>
      </c>
      <c r="J65" s="78">
        <f>N!J65+($Q$7*(SUM(N!I65,N!J64,N!K65,N!J66)-(4*N!J65)))+(Rstar!J65*N!J65*(1-(N!J65/Kstar!J65)))</f>
        <v>1.1752912624495571</v>
      </c>
      <c r="K65" s="78">
        <f>N!K65+($Q$7*(SUM(N!J65,N!K64,N!L65,N!K66)-(4*N!K65)))+(Rstar!K65*N!K65*(1-(N!K65/Kstar!K65)))</f>
        <v>1.1752072656308421</v>
      </c>
      <c r="L65" s="78">
        <f>N!L65+($Q$7*(SUM(N!K65,N!L64,N!M65,N!L66)-(4*N!L65)))+(Rstar!L65*N!L65*(1-(N!L65/Kstar!L65)))</f>
        <v>1.1751668300509448</v>
      </c>
      <c r="M65" s="78">
        <f>N!M65+($Q$7*(SUM(N!L65,N!M64,N!N65,N!M66)-(4*N!M65)))+(Rstar!M65*N!M65*(1-(N!M65/Kstar!M65)))</f>
        <v>1.1751677360519461</v>
      </c>
      <c r="N65" s="78">
        <f>N!N65+($Q$7*(SUM(N!M65,N!N64,N!O65,N!N66)-(4*N!N65)))+(Rstar!N65*N!N65*(1-(N!N65/Kstar!N65)))</f>
        <v>1.175208934343871</v>
      </c>
      <c r="O65" s="78">
        <f>N!O65+($Q$7*(SUM(N!N65,N!O64,N!P65,N!O66)-(4*N!O65)))+(Rstar!O65*N!O65*(1-(N!O65/Kstar!O65)))</f>
        <v>1.1752959372552656</v>
      </c>
      <c r="P65" s="78">
        <f>N!P65+($Q$7*(SUM(N!O65,N!P64,N!Q65,N!P66)-(4*N!P65)))+(Rstar!P65*N!P65*(1-(N!P65/Kstar!P65)))</f>
        <v>1.1754412800019796</v>
      </c>
      <c r="Q65" s="78">
        <f>N!Q65+($Q$7*(SUM(N!P65,N!Q64,N!R65,N!Q66)-(4*N!Q65)))+(Rstar!Q65*N!Q65*(1-(N!Q65/Kstar!Q65)))</f>
        <v>1.1756655458247853</v>
      </c>
      <c r="R65" s="78">
        <f>N!R65+($Q$7*(SUM(N!Q65,N!R64,N!S65,N!R66)-(4*N!R65)))+(Rstar!R65*N!R65*(1-(N!R65/Kstar!R65)))</f>
        <v>1.1759991664497562</v>
      </c>
      <c r="S65" s="78">
        <f>N!S65+($Q$7*(SUM(N!R65,N!S64,N!T65,N!S66)-(4*N!S65)))+(Rstar!S65*N!S65*(1-(N!S65/Kstar!S65)))</f>
        <v>1.1764850873360038</v>
      </c>
      <c r="T65" s="78">
        <f>N!T65+($Q$7*(SUM(N!S65,N!T64,N!U65,N!T66)-(4*N!T65)))+(Rstar!T65*N!T65*(1-(N!T65/Kstar!T65)))</f>
        <v>1.1771824212240558</v>
      </c>
      <c r="U65" s="78">
        <f>N!U65+($Q$7*(SUM(N!T65,N!U64,N!V65,N!U66)-(4*N!U65)))+(Rstar!U65*N!U65*(1-(N!U65/Kstar!U65)))</f>
        <v>1.1781712874986745</v>
      </c>
      <c r="V65" s="78">
        <f>N!V65+($Q$7*(SUM(N!U65,N!V64,N!W65,N!V66)-(4*N!V65)))+(Rstar!V65*N!V65*(1-(N!V65/Kstar!V65)))</f>
        <v>1.1795591312236875</v>
      </c>
      <c r="W65" s="78">
        <f>N!W65+($Q$7*(SUM(N!V65,N!W64,N!X65,N!W66)-(4*N!W65)))+(Rstar!W65*N!W65*(1-(N!W65/Kstar!W65)))</f>
        <v>1.1814889455265778</v>
      </c>
      <c r="X65" s="78">
        <f>N!X65+($Q$7*(SUM(N!W65,N!X64,N!Y65,N!X66)-(4*N!X65)))+(Rstar!X65*N!X65*(1-(N!X65/Kstar!X65)))</f>
        <v>1.1841500048364026</v>
      </c>
      <c r="Y65" s="78">
        <f>N!Y65+($Q$7*(SUM(N!X65,N!Y64,N!Z65,N!Y66)-(4*N!Y65)))+(Rstar!Y65*N!Y65*(1-(N!Y65/Kstar!Y65)))</f>
        <v>1.1877919820638183</v>
      </c>
      <c r="Z65" s="78">
        <f>N!Z65+($Q$7*(SUM(N!Y65,N!Z64,N!AA65,N!Z66)-(4*N!Z65)))+(Rstar!Z65*N!Z65*(1-(N!Z65/Kstar!Z65)))</f>
        <v>1.1927437080983772</v>
      </c>
      <c r="AA65" s="78">
        <f>N!AA65+($Q$7*(SUM(N!Z65,N!AA64,N!AB65,N!AA66)-(4*N!AA65)))+(Rstar!AA65*N!AA65*(1-(N!AA65/Kstar!AA65)))</f>
        <v>1.1994383911170197</v>
      </c>
      <c r="AB65" s="78">
        <f>N!AB65+($Q$7*(SUM(N!AA65,N!AB64,N!AC65,N!AB66)-(4*N!AB65)))+(Rstar!AB65*N!AB65*(1-(N!AB65/Kstar!AB65)))</f>
        <v>1.2084479272358797</v>
      </c>
      <c r="AC65" s="78">
        <f>N!AC65+($Q$7*(SUM(N!AB65,N!AC64,N!AD65,N!AC66)-(4*N!AC65)))+(Rstar!AC65*N!AC65*(1-(N!AC65/Kstar!AC65)))</f>
        <v>1.2205301310839103</v>
      </c>
      <c r="AD65" s="78">
        <f>N!AD65+($Q$7*(SUM(N!AC65,N!AD64,N!AE65,N!AD66)-(4*N!AD65)))+(Rstar!AD65*N!AD65*(1-(N!AD65/Kstar!AD65)))</f>
        <v>1.2366945082248015</v>
      </c>
      <c r="AE65" s="78">
        <f>N!AE65+($Q$7*(SUM(N!AD65,N!AE64,N!AF65,N!AE66)-(4*N!AE65)))+(Rstar!AE65*N!AE65*(1-(N!AE65/Kstar!AE65)))</f>
        <v>1.2582949532394856</v>
      </c>
      <c r="AF65" s="78">
        <f>N!AF65+($Q$7*(SUM(N!AE65,N!AF64,N!AG65,N!AF66)-(4*N!AF65)))+(Rstar!AF65*N!AF65*(1-(N!AF65/Kstar!AF65)))</f>
        <v>1.2871621629926719</v>
      </c>
      <c r="AG65" s="78">
        <f>N!AG65+($Q$7*(SUM(N!AF65,N!AG64,N!AH65,N!AG66)-(4*N!AG65)))+(Rstar!AG65*N!AG65*(1-(N!AG65/Kstar!AG65)))</f>
        <v>1.3257958687595168</v>
      </c>
      <c r="AH65" s="78">
        <f>N!AH65+($Q$7*(SUM(N!AG65,N!AH64,N!AI65,N!AH66)-(4*N!AH65)))+(Rstar!AH65*N!AH65*(1-(N!AH65/Kstar!AH65)))</f>
        <v>1.3776496488657539</v>
      </c>
      <c r="AI65" s="78">
        <f>N!AI65+($Q$7*(SUM(N!AH65,N!AI64,N!AJ65,N!AI66)-(4*N!AI65)))+(Rstar!AI65*N!AI65*(1-(N!AI65/Kstar!AI65)))</f>
        <v>1.4475639071052204</v>
      </c>
      <c r="AJ65" s="78">
        <f>N!AJ65+($Q$7*(SUM(N!AI65,N!AJ64,N!AK65,N!AJ66)-(4*N!AJ65)))+(Rstar!AJ65*N!AJ65*(1-(N!AJ65/Kstar!AJ65)))</f>
        <v>1.5424454368566272</v>
      </c>
      <c r="AK65" s="78">
        <f>N!AK65+($Q$7*(SUM(N!AJ65,N!AK64,N!AL65,N!AK66)-(4*N!AK65)))+(Rstar!AK65*N!AK65*(1-(N!AK65/Kstar!AK65)))</f>
        <v>1.67237569386733</v>
      </c>
      <c r="AL65" s="78">
        <f>N!AL65+($Q$7*(SUM(N!AK65,N!AL64,N!AM65,N!AL66)-(4*N!AL65)))+(Rstar!AL65*N!AL65*(1-(N!AL65/Kstar!AL65)))</f>
        <v>1.852500707515508</v>
      </c>
      <c r="AM65" s="78">
        <f>N!AM65+($Q$7*(SUM(N!AL65,N!AM64,N!AN65,N!AM66)-(4*N!AM65)))+(Rstar!AM65*N!AM65*(1-(N!AM65/Kstar!AM65)))</f>
        <v>2.1064218399066887</v>
      </c>
      <c r="AN65" s="78">
        <f>N!AN65+($Q$7*(SUM(N!AM65,N!AN64,N!AO65,N!AN66)-(4*N!AN65)))+(Rstar!AN65*N!AN65*(1-(N!AN65/Kstar!AN65)))</f>
        <v>2.4726401236940125</v>
      </c>
      <c r="AO65" s="78">
        <f>N!AO65+($Q$7*(SUM(N!AN65,N!AO64,N!AP65,N!AO66)-(4*N!AO65)))+(Rstar!AO65*N!AO65*(1-(N!AO65/Kstar!AO65)))</f>
        <v>3.0176466872127206</v>
      </c>
      <c r="AP65" s="78">
        <f>N!AP65+($Q$7*(SUM(N!AO65,N!AP64,N!AQ65,N!AP66)-(4*N!AP65)))+(Rstar!AP65*N!AP65*(1-(N!AP65/Kstar!AP65)))</f>
        <v>3.8647115672837655</v>
      </c>
      <c r="AQ65" s="79">
        <f>N!AQ65+($Q$7*(SUM(N!AP65,N!AQ64,N!AR65,N!AQ66)-(4*N!AQ65)))+(Rstar!AQ65*N!AQ65*(1-(N!AQ65/Kstar!AQ65)))</f>
        <v>5.2637596283782271</v>
      </c>
      <c r="AR65" s="92">
        <f>N!AR65+($X$7*(SUM(N!AQ65,N!AR64,N!AS65,N!AR66)-(4*N!AR65)))+(Rstar!AR65*N!AR65*(1-(N!AR65/Kstar!AR65)))</f>
        <v>7.7645986346247309</v>
      </c>
      <c r="AS65" s="86">
        <f>N!AS65+($X$7*(SUM(N!AR65,N!AS64,N!AT65,N!AS66)-(4*N!AS65)))+(Rstar!AS65*N!AS65*(1-(N!AS65/Kstar!AS65)))</f>
        <v>8.9874730817993118</v>
      </c>
      <c r="AT65" s="86">
        <f>N!AT65+($X$7*(SUM(N!AS65,N!AT64,N!AU65,N!AT66)-(4*N!AT65)))+(Rstar!AT65*N!AT65*(1-(N!AT65/Kstar!AT65)))</f>
        <v>9.5426424780740451</v>
      </c>
      <c r="AU65" s="86">
        <f>N!AU65+($X$7*(SUM(N!AT65,N!AU64,N!AV65,N!AU66)-(4*N!AU65)))+(Rstar!AU65*N!AU65*(1-(N!AU65/Kstar!AU65)))</f>
        <v>9.7873673407404187</v>
      </c>
      <c r="AV65" s="86">
        <f>N!AV65+($X$7*(SUM(N!AU65,N!AV64,N!AW65,N!AV66)-(4*N!AV65)))+(Rstar!AV65*N!AV65*(1-(N!AV65/Kstar!AV65)))</f>
        <v>9.8938673304951497</v>
      </c>
      <c r="AW65" s="86">
        <f>N!AW65+($X$7*(SUM(N!AV65,N!AW64,N!AX65,N!AW66)-(4*N!AW65)))+(Rstar!AW65*N!AW65*(1-(N!AW65/Kstar!AW65)))</f>
        <v>9.9399127531969818</v>
      </c>
      <c r="AX65" s="86">
        <f>N!AX65+($X$7*(SUM(N!AW65,N!AX64,N!AY65,N!AX66)-(4*N!AX65)))+(Rstar!AX65*N!AX65*(1-(N!AX65/Kstar!AX65)))</f>
        <v>9.9596682671756742</v>
      </c>
      <c r="AY65" s="87">
        <f>N!AY65+($X$7*(SUM(N!AX65,N!AY64,N!AZ65,N!AY66)-(4*N!AY65)))+(Rstar!AY65*N!AY65*(1-(N!AY65/Kstar!AY65)))</f>
        <v>9.9679132312489109</v>
      </c>
      <c r="AZ65" s="72">
        <f>N!AZ65+($X$7*(SUM(N!AY65,N!AZ64,N!AZ66)-(3*N!AZ65)))+(Rstar!AZ65*N!AZ65*(1-(N!AZ65/Kstar!AZ65)))</f>
        <v>9.9708801441447719</v>
      </c>
      <c r="BA65" s="35">
        <v>47</v>
      </c>
    </row>
    <row r="66" spans="2:53" x14ac:dyDescent="0.2">
      <c r="B66" s="34">
        <v>48</v>
      </c>
      <c r="C66" s="72">
        <f>N!C66+($Q$7*(SUM(N!C65,N!D66,N!C67)-(3*N!C66)))+(Rstar!C66*N!C66*(1-(N!C66/Kstar!C66)))</f>
        <v>1.1138204343963931</v>
      </c>
      <c r="D66" s="77">
        <f>N!D66+($Q$7*(SUM(N!C66,N!D65,N!E66,N!D67)-(4*N!D66)))+(Rstar!D66*N!D66*(1-(N!D66/Kstar!D66)))</f>
        <v>1.1203641820778578</v>
      </c>
      <c r="E66" s="78">
        <f>N!E66+($Q$7*(SUM(N!D66,N!E65,N!F66,N!E67)-(4*N!E66)))+(Rstar!E66*N!E66*(1-(N!E66/Kstar!E66)))</f>
        <v>1.1317386654693982</v>
      </c>
      <c r="F66" s="78">
        <f>N!F66+($Q$7*(SUM(N!E66,N!F65,N!G66,N!F67)-(4*N!F66)))+(Rstar!F66*N!F66*(1-(N!F66/Kstar!F66)))</f>
        <v>1.1453583631765263</v>
      </c>
      <c r="G66" s="78">
        <f>N!G66+($Q$7*(SUM(N!F66,N!G65,N!H66,N!G67)-(4*N!G66)))+(Rstar!G66*N!G66*(1-(N!G66/Kstar!G66)))</f>
        <v>1.1455953778452179</v>
      </c>
      <c r="H66" s="78">
        <f>N!H66+($Q$7*(SUM(N!G66,N!H65,N!I66,N!H67)-(4*N!H66)))+(Rstar!H66*N!H66*(1-(N!H66/Kstar!H66)))</f>
        <v>1.1455980616405528</v>
      </c>
      <c r="I66" s="78">
        <f>N!I66+($Q$7*(SUM(N!H66,N!I65,N!J66,N!I67)-(4*N!I66)))+(Rstar!I66*N!I66*(1-(N!I66/Kstar!I66)))</f>
        <v>1.145643768948964</v>
      </c>
      <c r="J66" s="78">
        <f>N!J66+($Q$7*(SUM(N!I66,N!J65,N!K66,N!J67)-(4*N!J66)))+(Rstar!J66*N!J66*(1-(N!J66/Kstar!J66)))</f>
        <v>1.1457331027560675</v>
      </c>
      <c r="K66" s="78">
        <f>N!K66+($Q$7*(SUM(N!J66,N!K65,N!L66,N!K67)-(4*N!K66)))+(Rstar!K66*N!K66*(1-(N!K66/Kstar!K66)))</f>
        <v>1.1456382986349423</v>
      </c>
      <c r="L66" s="78">
        <f>N!L66+($Q$7*(SUM(N!K66,N!L65,N!M66,N!L67)-(4*N!L66)))+(Rstar!L66*N!L66*(1-(N!L66/Kstar!L66)))</f>
        <v>1.1455953778452179</v>
      </c>
      <c r="M66" s="78">
        <f>N!M66+($Q$7*(SUM(N!L66,N!M65,N!N66,N!M67)-(4*N!M66)))+(Rstar!M66*N!M66*(1-(N!M66/Kstar!M66)))</f>
        <v>1.1455980616405528</v>
      </c>
      <c r="N66" s="78">
        <f>N!N66+($Q$7*(SUM(N!M66,N!N65,N!O66,N!N67)-(4*N!N66)))+(Rstar!N66*N!N66*(1-(N!N66/Kstar!N66)))</f>
        <v>1.145643768948964</v>
      </c>
      <c r="O66" s="78">
        <f>N!O66+($Q$7*(SUM(N!N66,N!O65,N!P66,N!O67)-(4*N!O66)))+(Rstar!O66*N!O66*(1-(N!O66/Kstar!O66)))</f>
        <v>1.1457382307568484</v>
      </c>
      <c r="P66" s="78">
        <f>N!P66+($Q$7*(SUM(N!O66,N!P65,N!Q66,N!P67)-(4*N!P66)))+(Rstar!P66*N!P66*(1-(N!P66/Kstar!P66)))</f>
        <v>1.1458949991830831</v>
      </c>
      <c r="Q66" s="78">
        <f>N!Q66+($Q$7*(SUM(N!P66,N!Q65,N!R66,N!Q67)-(4*N!Q66)))+(Rstar!Q66*N!Q66*(1-(N!Q66/Kstar!Q66)))</f>
        <v>1.146136234781487</v>
      </c>
      <c r="R66" s="78">
        <f>N!R66+($Q$7*(SUM(N!Q66,N!R65,N!S66,N!R67)-(4*N!R66)))+(Rstar!R66*N!R66*(1-(N!R66/Kstar!R66)))</f>
        <v>1.1464945647807152</v>
      </c>
      <c r="S66" s="78">
        <f>N!S66+($Q$7*(SUM(N!R66,N!S65,N!T66,N!S67)-(4*N!S66)))+(Rstar!S66*N!S66*(1-(N!S66/Kstar!S66)))</f>
        <v>1.1470159124812358</v>
      </c>
      <c r="T66" s="78">
        <f>N!T66+($Q$7*(SUM(N!S66,N!T65,N!U66,N!T67)-(4*N!T66)))+(Rstar!T66*N!T66*(1-(N!T66/Kstar!T66)))</f>
        <v>1.1477633651431787</v>
      </c>
      <c r="U66" s="78">
        <f>N!U66+($Q$7*(SUM(N!T66,N!U65,N!V66,N!U67)-(4*N!U66)))+(Rstar!U66*N!U66*(1-(N!U66/Kstar!U66)))</f>
        <v>1.1488222649904087</v>
      </c>
      <c r="V66" s="78">
        <f>N!V66+($Q$7*(SUM(N!U66,N!V65,N!W66,N!V67)-(4*N!V66)))+(Rstar!V66*N!V66*(1-(N!V66/Kstar!V66)))</f>
        <v>1.1503068134592096</v>
      </c>
      <c r="W66" s="78">
        <f>N!W66+($Q$7*(SUM(N!V66,N!W65,N!X66,N!W67)-(4*N!W66)))+(Rstar!W66*N!W66*(1-(N!W66/Kstar!W66)))</f>
        <v>1.1523686066567354</v>
      </c>
      <c r="X66" s="78">
        <f>N!X66+($Q$7*(SUM(N!W66,N!X65,N!Y66,N!X67)-(4*N!X66)))+(Rstar!X66*N!X66*(1-(N!X66/Kstar!X66)))</f>
        <v>1.1552076973683807</v>
      </c>
      <c r="Y66" s="78">
        <f>N!Y66+($Q$7*(SUM(N!X66,N!Y65,N!Z66,N!Y67)-(4*N!Y66)))+(Rstar!Y66*N!Y66*(1-(N!Y66/Kstar!Y66)))</f>
        <v>1.1590870346628759</v>
      </c>
      <c r="Z66" s="78">
        <f>N!Z66+($Q$7*(SUM(N!Y66,N!Z65,N!AA66,N!Z67)-(4*N!Z66)))+(Rstar!Z66*N!Z66*(1-(N!Z66/Kstar!Z66)))</f>
        <v>1.1643515033683283</v>
      </c>
      <c r="AA66" s="78">
        <f>N!AA66+($Q$7*(SUM(N!Z66,N!AA65,N!AB66,N!AA67)-(4*N!AA66)))+(Rstar!AA66*N!AA66*(1-(N!AA66/Kstar!AA66)))</f>
        <v>1.1714533252131867</v>
      </c>
      <c r="AB66" s="78">
        <f>N!AB66+($Q$7*(SUM(N!AA66,N!AB65,N!AC66,N!AB67)-(4*N!AB66)))+(Rstar!AB66*N!AB66*(1-(N!AB66/Kstar!AB66)))</f>
        <v>1.1809863710147093</v>
      </c>
      <c r="AC66" s="78">
        <f>N!AC66+($Q$7*(SUM(N!AB66,N!AC65,N!AD66,N!AC67)-(4*N!AC66)))+(Rstar!AC66*N!AC66*(1-(N!AC66/Kstar!AC66)))</f>
        <v>1.1937330965973076</v>
      </c>
      <c r="AD66" s="78">
        <f>N!AD66+($Q$7*(SUM(N!AC66,N!AD65,N!AE66,N!AD67)-(4*N!AD66)))+(Rstar!AD66*N!AD66*(1-(N!AD66/Kstar!AD66)))</f>
        <v>1.2107295693321463</v>
      </c>
      <c r="AE66" s="78">
        <f>N!AE66+($Q$7*(SUM(N!AD66,N!AE65,N!AF66,N!AE67)-(4*N!AE66)))+(Rstar!AE66*N!AE66*(1-(N!AE66/Kstar!AE66)))</f>
        <v>1.2333567761937132</v>
      </c>
      <c r="AF66" s="78">
        <f>N!AF66+($Q$7*(SUM(N!AE66,N!AF65,N!AG66,N!AF67)-(4*N!AF66)))+(Rstar!AF66*N!AF66*(1-(N!AF66/Kstar!AF66)))</f>
        <v>1.2634707880044289</v>
      </c>
      <c r="AG66" s="78">
        <f>N!AG66+($Q$7*(SUM(N!AF66,N!AG65,N!AH66,N!AG67)-(4*N!AG66)))+(Rstar!AG66*N!AG66*(1-(N!AG66/Kstar!AG66)))</f>
        <v>1.3035916889234294</v>
      </c>
      <c r="AH66" s="78">
        <f>N!AH66+($Q$7*(SUM(N!AG66,N!AH65,N!AI66,N!AH67)-(4*N!AH66)))+(Rstar!AH66*N!AH66*(1-(N!AH66/Kstar!AH66)))</f>
        <v>1.3571839400374248</v>
      </c>
      <c r="AI66" s="78">
        <f>N!AI66+($Q$7*(SUM(N!AH66,N!AI65,N!AJ66,N!AI67)-(4*N!AI66)))+(Rstar!AI66*N!AI66*(1-(N!AI66/Kstar!AI66)))</f>
        <v>1.4290839013143035</v>
      </c>
      <c r="AJ66" s="78">
        <f>N!AJ66+($Q$7*(SUM(N!AI66,N!AJ65,N!AK66,N!AJ67)-(4*N!AJ66)))+(Rstar!AJ66*N!AJ66*(1-(N!AJ66/Kstar!AJ66)))</f>
        <v>1.5261734734731898</v>
      </c>
      <c r="AK66" s="78">
        <f>N!AK66+($Q$7*(SUM(N!AJ66,N!AK65,N!AL66,N!AK67)-(4*N!AK66)))+(Rstar!AK66*N!AK66*(1-(N!AK66/Kstar!AK66)))</f>
        <v>1.6584830959383234</v>
      </c>
      <c r="AL66" s="78">
        <f>N!AL66+($Q$7*(SUM(N!AK66,N!AL65,N!AM66,N!AL67)-(4*N!AL66)))+(Rstar!AL66*N!AL66*(1-(N!AL66/Kstar!AL66)))</f>
        <v>1.8410787844781791</v>
      </c>
      <c r="AM66" s="78">
        <f>N!AM66+($Q$7*(SUM(N!AL66,N!AM65,N!AN66,N!AM67)-(4*N!AM66)))+(Rstar!AM66*N!AM66*(1-(N!AM66/Kstar!AM66)))</f>
        <v>2.0974546236093179</v>
      </c>
      <c r="AN66" s="78">
        <f>N!AN66+($Q$7*(SUM(N!AM66,N!AN65,N!AO66,N!AN67)-(4*N!AN66)))+(Rstar!AN66*N!AN66*(1-(N!AN66/Kstar!AN66)))</f>
        <v>2.4659854771402454</v>
      </c>
      <c r="AO66" s="78">
        <f>N!AO66+($Q$7*(SUM(N!AN66,N!AO65,N!AP66,N!AO67)-(4*N!AO66)))+(Rstar!AO66*N!AO66*(1-(N!AO66/Kstar!AO66)))</f>
        <v>3.0130331266351371</v>
      </c>
      <c r="AP66" s="78">
        <f>N!AP66+($Q$7*(SUM(N!AO66,N!AP65,N!AQ66,N!AP67)-(4*N!AP66)))+(Rstar!AP66*N!AP66*(1-(N!AP66/Kstar!AP66)))</f>
        <v>3.8617559265430774</v>
      </c>
      <c r="AQ66" s="79">
        <f>N!AQ66+($Q$7*(SUM(N!AP66,N!AQ65,N!AR66,N!AQ67)-(4*N!AQ66)))+(Rstar!AQ66*N!AQ66*(1-(N!AQ66/Kstar!AQ66)))</f>
        <v>5.2620037507477795</v>
      </c>
      <c r="AR66" s="92">
        <f>N!AR66+($X$7*(SUM(N!AQ66,N!AR65,N!AS66,N!AR67)-(4*N!AR66)))+(Rstar!AR66*N!AR66*(1-(N!AR66/Kstar!AR66)))</f>
        <v>7.7635509073635491</v>
      </c>
      <c r="AS66" s="86">
        <f>N!AS66+($X$7*(SUM(N!AR66,N!AS65,N!AT66,N!AS67)-(4*N!AS66)))+(Rstar!AS66*N!AS66*(1-(N!AS66/Kstar!AS66)))</f>
        <v>8.986910335042154</v>
      </c>
      <c r="AT66" s="86">
        <f>N!AT66+($X$7*(SUM(N!AS66,N!AT65,N!AU66,N!AT67)-(4*N!AT66)))+(Rstar!AT66*N!AT66*(1-(N!AT66/Kstar!AT66)))</f>
        <v>9.5423507399123491</v>
      </c>
      <c r="AU66" s="86">
        <f>N!AU66+($X$7*(SUM(N!AT66,N!AU65,N!AV66,N!AU67)-(4*N!AU66)))+(Rstar!AU66*N!AU66*(1-(N!AU66/Kstar!AU66)))</f>
        <v>9.7872142451853801</v>
      </c>
      <c r="AV66" s="86">
        <f>N!AV66+($X$7*(SUM(N!AU66,N!AV65,N!AW66,N!AV67)-(4*N!AV66)))+(Rstar!AV66*N!AV66*(1-(N!AV66/Kstar!AV66)))</f>
        <v>9.893777798413435</v>
      </c>
      <c r="AW66" s="86">
        <f>N!AW66+($X$7*(SUM(N!AV66,N!AW65,N!AX66,N!AW67)-(4*N!AW66)))+(Rstar!AW66*N!AW66*(1-(N!AW66/Kstar!AW66)))</f>
        <v>9.9398387311825331</v>
      </c>
      <c r="AX66" s="86">
        <f>N!AX66+($X$7*(SUM(N!AW66,N!AX65,N!AY66,N!AX67)-(4*N!AX66)))+(Rstar!AX66*N!AX66*(1-(N!AX66/Kstar!AX66)))</f>
        <v>9.9595657963372073</v>
      </c>
      <c r="AY66" s="87">
        <f>N!AY66+($X$7*(SUM(N!AX66,N!AY65,N!AZ66,N!AY67)-(4*N!AY66)))+(Rstar!AY66*N!AY66*(1-(N!AY66/Kstar!AY66)))</f>
        <v>9.9677296446709622</v>
      </c>
      <c r="AZ66" s="72">
        <f>N!AZ66+($X$7*(SUM(N!AY66,N!AZ65,N!AZ67)-(3*N!AZ66)))+(Rstar!AZ66*N!AZ66*(1-(N!AZ66/Kstar!AZ66)))</f>
        <v>9.9705795133156201</v>
      </c>
      <c r="BA66" s="35">
        <v>48</v>
      </c>
    </row>
    <row r="67" spans="2:53" x14ac:dyDescent="0.2">
      <c r="B67" s="34">
        <v>49</v>
      </c>
      <c r="C67" s="72">
        <f>N!C67+($Q$7*(SUM(N!C66,N!D67,N!C68)-(3*N!C67)))+(Rstar!C67*N!C67*(1-(N!C67/Kstar!C67)))</f>
        <v>1.1099818928852814</v>
      </c>
      <c r="D67" s="80">
        <f>N!D67+($Q$7*(SUM(N!C67,N!D66,N!E67,N!D68)-(4*N!D67)))+(Rstar!D67*N!D67*(1-(N!D67/Kstar!D67)))</f>
        <v>1.1122946089521544</v>
      </c>
      <c r="E67" s="81">
        <f>N!E67+($Q$7*(SUM(N!D67,N!E66,N!F67,N!E68)-(4*N!E67)))+(Rstar!E67*N!E67*(1-(N!E67/Kstar!E67)))</f>
        <v>1.1182939384688197</v>
      </c>
      <c r="F67" s="81">
        <f>N!F67+($Q$7*(SUM(N!E67,N!F66,N!G67,N!F68)-(4*N!F67)))+(Rstar!F67*N!F67*(1-(N!F67/Kstar!F67)))</f>
        <v>1.1266171897726029</v>
      </c>
      <c r="G67" s="81">
        <f>N!G67+($Q$7*(SUM(N!F67,N!G66,N!H67,N!G68)-(4*N!G67)))+(Rstar!G67*N!G67*(1-(N!G67/Kstar!G67)))</f>
        <v>1.1267800326044382</v>
      </c>
      <c r="H67" s="81">
        <f>N!H67+($Q$7*(SUM(N!G67,N!H66,N!I67,N!H68)-(4*N!H67)))+(Rstar!H67*N!H67*(1-(N!H67/Kstar!H67)))</f>
        <v>1.1267980301234402</v>
      </c>
      <c r="I67" s="81">
        <f>N!I67+($Q$7*(SUM(N!H67,N!I66,N!J67,N!I68)-(4*N!I67)))+(Rstar!I67*N!I67*(1-(N!I67/Kstar!I67)))</f>
        <v>1.1268519092606959</v>
      </c>
      <c r="J67" s="81">
        <f>N!J67+($Q$7*(SUM(N!I67,N!J66,N!K67,N!J68)-(4*N!J67)))+(Rstar!J67*N!J67*(1-(N!J67/Kstar!J67)))</f>
        <v>1.1269465538455332</v>
      </c>
      <c r="K67" s="81">
        <f>N!K67+($Q$7*(SUM(N!J67,N!K66,N!L67,N!K68)-(4*N!K67)))+(Rstar!K67*N!K67*(1-(N!K67/Kstar!K67)))</f>
        <v>1.1268368672308668</v>
      </c>
      <c r="L67" s="81">
        <f>N!L67+($Q$7*(SUM(N!K67,N!L66,N!M67,N!L68)-(4*N!L67)))+(Rstar!L67*N!L67*(1-(N!L67/Kstar!L67)))</f>
        <v>1.1267972672971469</v>
      </c>
      <c r="M67" s="81">
        <f>N!M67+($Q$7*(SUM(N!L67,N!M66,N!N67,N!M68)-(4*N!M67)))+(Rstar!M67*N!M67*(1-(N!M67/Kstar!M67)))</f>
        <v>1.1268046428701257</v>
      </c>
      <c r="N67" s="81">
        <f>N!N67+($Q$7*(SUM(N!M67,N!N66,N!O67,N!N68)-(4*N!N67)))+(Rstar!N67*N!N67*(1-(N!N67/Kstar!N67)))</f>
        <v>1.1268550695173494</v>
      </c>
      <c r="O67" s="81">
        <f>N!O67+($Q$7*(SUM(N!N67,N!O66,N!P67,N!O68)-(4*N!O67)))+(Rstar!O67*N!O67*(1-(N!O67/Kstar!O67)))</f>
        <v>1.1269553845546521</v>
      </c>
      <c r="P67" s="81">
        <f>N!P67+($Q$7*(SUM(N!O67,N!P66,N!Q67,N!P68)-(4*N!P67)))+(Rstar!P67*N!P67*(1-(N!P67/Kstar!P67)))</f>
        <v>1.1271203806717849</v>
      </c>
      <c r="Q67" s="81">
        <f>N!Q67+($Q$7*(SUM(N!P67,N!Q66,N!R67,N!Q68)-(4*N!Q67)))+(Rstar!Q67*N!Q67*(1-(N!Q67/Kstar!Q67)))</f>
        <v>1.1273735441559809</v>
      </c>
      <c r="R67" s="81">
        <f>N!R67+($Q$7*(SUM(N!Q67,N!R66,N!S67,N!R68)-(4*N!R67)))+(Rstar!R67*N!R67*(1-(N!R67/Kstar!R67)))</f>
        <v>1.1277491174887175</v>
      </c>
      <c r="S67" s="81">
        <f>N!S67+($Q$7*(SUM(N!R67,N!S66,N!T67,N!S68)-(4*N!S67)))+(Rstar!S67*N!S67*(1-(N!S67/Kstar!S67)))</f>
        <v>1.1282951218455752</v>
      </c>
      <c r="T67" s="81">
        <f>N!T67+($Q$7*(SUM(N!S67,N!T66,N!U67,N!T68)-(4*N!T67)))+(Rstar!T67*N!T67*(1-(N!T67/Kstar!T67)))</f>
        <v>1.1290774036687889</v>
      </c>
      <c r="U67" s="81">
        <f>N!U67+($Q$7*(SUM(N!T67,N!U66,N!V67,N!U68)-(4*N!U67)))+(Rstar!U67*N!U67*(1-(N!U67/Kstar!U67)))</f>
        <v>1.130184907555867</v>
      </c>
      <c r="V67" s="81">
        <f>N!V67+($Q$7*(SUM(N!U67,N!V66,N!W67,N!V68)-(4*N!V67)))+(Rstar!V67*N!V67*(1-(N!V67/Kstar!V67)))</f>
        <v>1.1317364741006659</v>
      </c>
      <c r="W67" s="81">
        <f>N!W67+($Q$7*(SUM(N!V67,N!W66,N!X67,N!W68)-(4*N!W67)))+(Rstar!W67*N!W67*(1-(N!W67/Kstar!W67)))</f>
        <v>1.1338895799270428</v>
      </c>
      <c r="X67" s="81">
        <f>N!X67+($Q$7*(SUM(N!W67,N!X66,N!Y67,N!X68)-(4*N!X67)))+(Rstar!X67*N!X67*(1-(N!X67/Kstar!X67)))</f>
        <v>1.1368516065357159</v>
      </c>
      <c r="Y67" s="81">
        <f>N!Y67+($Q$7*(SUM(N!X67,N!Y66,N!Z67,N!Y68)-(4*N!Y67)))+(Rstar!Y67*N!Y67*(1-(N!Y67/Kstar!Y67)))</f>
        <v>1.1408944717830454</v>
      </c>
      <c r="Z67" s="81">
        <f>N!Z67+($Q$7*(SUM(N!Y67,N!Z66,N!AA67,N!Z68)-(4*N!Z67)))+(Rstar!Z67*N!Z67*(1-(N!Z67/Kstar!Z67)))</f>
        <v>1.1463738185035566</v>
      </c>
      <c r="AA67" s="81">
        <f>N!AA67+($Q$7*(SUM(N!Z67,N!AA66,N!AB67,N!AA68)-(4*N!AA67)))+(Rstar!AA67*N!AA67*(1-(N!AA67/Kstar!AA67)))</f>
        <v>1.1537544806966378</v>
      </c>
      <c r="AB67" s="81">
        <f>N!AB67+($Q$7*(SUM(N!AA67,N!AB66,N!AC67,N!AB68)-(4*N!AB67)))+(Rstar!AB67*N!AB67*(1-(N!AB67/Kstar!AB67)))</f>
        <v>1.1636447180584257</v>
      </c>
      <c r="AC67" s="81">
        <f>N!AC67+($Q$7*(SUM(N!AB67,N!AC66,N!AD67,N!AC68)-(4*N!AC67)))+(Rstar!AC67*N!AC67*(1-(N!AC67/Kstar!AC67)))</f>
        <v>1.176842852553339</v>
      </c>
      <c r="AD67" s="81">
        <f>N!AD67+($Q$7*(SUM(N!AC67,N!AD66,N!AE67,N!AD68)-(4*N!AD67)))+(Rstar!AD67*N!AD67*(1-(N!AD67/Kstar!AD67)))</f>
        <v>1.1944016737876255</v>
      </c>
      <c r="AE67" s="81">
        <f>N!AE67+($Q$7*(SUM(N!AD67,N!AE66,N!AF67,N!AE68)-(4*N!AE67)))+(Rstar!AE67*N!AE67*(1-(N!AE67/Kstar!AE67)))</f>
        <v>1.2177186878497983</v>
      </c>
      <c r="AF67" s="81">
        <f>N!AF67+($Q$7*(SUM(N!AE67,N!AF66,N!AG67,N!AF68)-(4*N!AF67)))+(Rstar!AF67*N!AF67*(1-(N!AF67/Kstar!AF67)))</f>
        <v>1.2486646678980537</v>
      </c>
      <c r="AG67" s="81">
        <f>N!AG67+($Q$7*(SUM(N!AF67,N!AG66,N!AH67,N!AG68)-(4*N!AG67)))+(Rstar!AG67*N!AG67*(1-(N!AG67/Kstar!AG67)))</f>
        <v>1.289770332229931</v>
      </c>
      <c r="AH67" s="81">
        <f>N!AH67+($Q$7*(SUM(N!AG67,N!AH66,N!AI67,N!AH68)-(4*N!AH67)))+(Rstar!AH67*N!AH67*(1-(N!AH67/Kstar!AH67)))</f>
        <v>1.3445038246607248</v>
      </c>
      <c r="AI67" s="81">
        <f>N!AI67+($Q$7*(SUM(N!AH67,N!AI66,N!AJ67,N!AI68)-(4*N!AI67)))+(Rstar!AI67*N!AI67*(1-(N!AI67/Kstar!AI67)))</f>
        <v>1.4176948964874885</v>
      </c>
      <c r="AJ67" s="81">
        <f>N!AJ67+($Q$7*(SUM(N!AI67,N!AJ66,N!AK67,N!AJ68)-(4*N!AJ67)))+(Rstar!AJ67*N!AJ67*(1-(N!AJ67/Kstar!AJ67)))</f>
        <v>1.5162051868541935</v>
      </c>
      <c r="AK67" s="81">
        <f>N!AK67+($Q$7*(SUM(N!AJ67,N!AK66,N!AL67,N!AK68)-(4*N!AK67)))+(Rstar!AK67*N!AK67*(1-(N!AK67/Kstar!AK67)))</f>
        <v>1.6500286018377861</v>
      </c>
      <c r="AL67" s="81">
        <f>N!AL67+($Q$7*(SUM(N!AK67,N!AL66,N!AM67,N!AL68)-(4*N!AL67)))+(Rstar!AL67*N!AL67*(1-(N!AL67/Kstar!AL67)))</f>
        <v>1.8341775531447044</v>
      </c>
      <c r="AM67" s="81">
        <f>N!AM67+($Q$7*(SUM(N!AL67,N!AM66,N!AN67,N!AM68)-(4*N!AM67)))+(Rstar!AM67*N!AM67*(1-(N!AM67/Kstar!AM67)))</f>
        <v>2.0920776794475975</v>
      </c>
      <c r="AN67" s="81">
        <f>N!AN67+($Q$7*(SUM(N!AM67,N!AN66,N!AO67,N!AN68)-(4*N!AN67)))+(Rstar!AN67*N!AN67*(1-(N!AN67/Kstar!AN67)))</f>
        <v>2.4620267330907621</v>
      </c>
      <c r="AO67" s="81">
        <f>N!AO67+($Q$7*(SUM(N!AN67,N!AO66,N!AP67,N!AO68)-(4*N!AO67)))+(Rstar!AO67*N!AO67*(1-(N!AO67/Kstar!AO67)))</f>
        <v>3.0103108177100988</v>
      </c>
      <c r="AP67" s="81">
        <f>N!AP67+($Q$7*(SUM(N!AO67,N!AP66,N!AQ67,N!AP68)-(4*N!AP67)))+(Rstar!AP67*N!AP67*(1-(N!AP67/Kstar!AP67)))</f>
        <v>3.8600263222491229</v>
      </c>
      <c r="AQ67" s="82">
        <f>N!AQ67+($Q$7*(SUM(N!AP67,N!AQ66,N!AR67,N!AQ68)-(4*N!AQ67)))+(Rstar!AQ67*N!AQ67*(1-(N!AQ67/Kstar!AQ67)))</f>
        <v>5.2609850640052782</v>
      </c>
      <c r="AR67" s="93">
        <f>N!AR67+($X$7*(SUM(N!AQ67,N!AR66,N!AS67,N!AR68)-(4*N!AR67)))+(Rstar!AR67*N!AR67*(1-(N!AR67/Kstar!AR67)))</f>
        <v>7.7629483674792068</v>
      </c>
      <c r="AS67" s="88">
        <f>N!AS67+($X$7*(SUM(N!AR67,N!AS66,N!AT67,N!AS68)-(4*N!AS67)))+(Rstar!AS67*N!AS67*(1-(N!AS67/Kstar!AS67)))</f>
        <v>8.9865890880627983</v>
      </c>
      <c r="AT67" s="88">
        <f>N!AT67+($X$7*(SUM(N!AS67,N!AT66,N!AU67,N!AT68)-(4*N!AT67)))+(Rstar!AT67*N!AT67*(1-(N!AT67/Kstar!AT67)))</f>
        <v>9.5421846014770999</v>
      </c>
      <c r="AU67" s="88">
        <f>N!AU67+($X$7*(SUM(N!AT67,N!AU66,N!AV67,N!AU68)-(4*N!AU67)))+(Rstar!AU67*N!AU67*(1-(N!AU67/Kstar!AU67)))</f>
        <v>9.7871248611673103</v>
      </c>
      <c r="AV67" s="88">
        <f>N!AV67+($X$7*(SUM(N!AU67,N!AV66,N!AW67,N!AV68)-(4*N!AV67)))+(Rstar!AV67*N!AV67*(1-(N!AV67/Kstar!AV67)))</f>
        <v>9.8937173418879922</v>
      </c>
      <c r="AW67" s="88">
        <f>N!AW67+($X$7*(SUM(N!AV67,N!AW66,N!AX67,N!AW68)-(4*N!AW67)))+(Rstar!AW67*N!AW67*(1-(N!AW67/Kstar!AW67)))</f>
        <v>9.9397655560872273</v>
      </c>
      <c r="AX67" s="88">
        <f>N!AX67+($X$7*(SUM(N!AW67,N!AX66,N!AY67,N!AX68)-(4*N!AX67)))+(Rstar!AX67*N!AX67*(1-(N!AX67/Kstar!AX67)))</f>
        <v>9.9594128166716587</v>
      </c>
      <c r="AY67" s="89">
        <f>N!AY67+($X$7*(SUM(N!AX67,N!AY66,N!AZ67,N!AY68)-(4*N!AY67)))+(Rstar!AY67*N!AY67*(1-(N!AY67/Kstar!AY67)))</f>
        <v>9.9673548438998765</v>
      </c>
      <c r="AZ67" s="72">
        <f>N!AZ67+($X$7*(SUM(N!AY67,N!AZ66,N!AZ68)-(3*N!AZ67)))+(Rstar!AZ67*N!AZ67*(1-(N!AZ67/Kstar!AZ67)))</f>
        <v>9.9697583019920089</v>
      </c>
      <c r="BA67" s="35">
        <v>49</v>
      </c>
    </row>
    <row r="68" spans="2:53" x14ac:dyDescent="0.2">
      <c r="B68" s="34">
        <v>50</v>
      </c>
      <c r="C68" s="73">
        <f>N!D67</f>
        <v>1.1122472747161996</v>
      </c>
      <c r="D68" s="70">
        <f>N!D68+($Q$7*(SUM(N!C68,N!D67,N!E68)-(3*N!D68)))+(Rstar!D68*N!D68*(1-(N!D68/Kstar!D68)))</f>
        <v>1.109146757330868</v>
      </c>
      <c r="E68" s="70">
        <f>N!E68+($Q$7*(SUM(N!D68,N!E67,N!F68)-(3*N!E68)))+(Rstar!E68*N!E68*(1-(N!E68/Kstar!E68)))</f>
        <v>1.1113681355360581</v>
      </c>
      <c r="F68" s="70">
        <f>N!F68+($Q$7*(SUM(N!E68,N!F67,N!G68)-(3*N!F68)))+(Rstar!F68*N!F68*(1-(N!F68/Kstar!F68)))</f>
        <v>1.1153369672633691</v>
      </c>
      <c r="G68" s="70">
        <f>N!G68+($Q$7*(SUM(N!F68,N!G67,N!H68)-(3*N!G68)))+(Rstar!G68*N!G68*(1-(N!G68/Kstar!G68)))</f>
        <v>1.116791075150003</v>
      </c>
      <c r="H68" s="70">
        <f>N!H68+($Q$7*(SUM(N!G68,N!H67,N!I68)-(3*N!H68)))+(Rstar!H68*N!H68*(1-(N!H68/Kstar!H68)))</f>
        <v>1.1173392444553401</v>
      </c>
      <c r="I68" s="70">
        <f>N!I68+($Q$7*(SUM(N!H68,N!I67,N!J68)-(3*N!I68)))+(Rstar!I68*N!I68*(1-(N!I68/Kstar!I68)))</f>
        <v>1.1175666654649226</v>
      </c>
      <c r="J68" s="70">
        <f>N!J68+($Q$7*(SUM(N!I68,N!J67,N!K68)-(3*N!J68)))+(Rstar!J68*N!J68*(1-(N!J68/Kstar!J68)))</f>
        <v>1.1176701375035234</v>
      </c>
      <c r="K68" s="70">
        <f>N!K68+($Q$7*(SUM(N!J68,N!K67,N!L68)-(3*N!K68)))+(Rstar!K68*N!K68*(1-(N!K68/Kstar!K68)))</f>
        <v>1.1176626521264879</v>
      </c>
      <c r="L68" s="70">
        <f>N!L68+($Q$7*(SUM(N!K68,N!L67,N!M68)-(3*N!L68)))+(Rstar!L68*N!L68*(1-(N!L68/Kstar!L68)))</f>
        <v>1.1176531509918672</v>
      </c>
      <c r="M68" s="70">
        <f>N!M68+($Q$7*(SUM(N!L68,N!M67,N!N68)-(3*N!M68)))+(Rstar!M68*N!M68*(1-(N!M68/Kstar!M68)))</f>
        <v>1.1176700301930871</v>
      </c>
      <c r="N68" s="70">
        <f>N!N68+($Q$7*(SUM(N!M68,N!N67,N!O68)-(3*N!N68)))+(Rstar!N68*N!N68*(1-(N!N68/Kstar!N68)))</f>
        <v>1.1177247821652041</v>
      </c>
      <c r="O68" s="70">
        <f>N!O68+($Q$7*(SUM(N!N68,N!O67,N!P68)-(3*N!O68)))+(Rstar!O68*N!O68*(1-(N!O68/Kstar!O68)))</f>
        <v>1.1178286544080178</v>
      </c>
      <c r="P68" s="70">
        <f>N!P68+($Q$7*(SUM(N!O68,N!P67,N!Q68)-(3*N!P68)))+(Rstar!P68*N!P68*(1-(N!P68/Kstar!P68)))</f>
        <v>1.1179980477747309</v>
      </c>
      <c r="Q68" s="70">
        <f>N!Q68+($Q$7*(SUM(N!P68,N!Q67,N!R68)-(3*N!Q68)))+(Rstar!Q68*N!Q68*(1-(N!Q68/Kstar!Q68)))</f>
        <v>1.1182573909893434</v>
      </c>
      <c r="R68" s="70">
        <f>N!R68+($Q$7*(SUM(N!Q68,N!R67,N!S68)-(3*N!R68)))+(Rstar!R68*N!R68*(1-(N!R68/Kstar!R68)))</f>
        <v>1.1186418300235432</v>
      </c>
      <c r="S68" s="70">
        <f>N!S68+($Q$7*(SUM(N!R68,N!S67,N!T68)-(3*N!S68)))+(Rstar!S68*N!S68*(1-(N!S68/Kstar!S68)))</f>
        <v>1.1192004825825037</v>
      </c>
      <c r="T68" s="70">
        <f>N!T68+($Q$7*(SUM(N!S68,N!T67,N!U68)-(3*N!T68)))+(Rstar!T68*N!T68*(1-(N!T68/Kstar!T68)))</f>
        <v>1.1200006116024706</v>
      </c>
      <c r="U68" s="70">
        <f>N!U68+($Q$7*(SUM(N!T68,N!U67,N!V68)-(3*N!U68)))+(Rstar!U68*N!U68*(1-(N!U68/Kstar!U68)))</f>
        <v>1.1211330001409747</v>
      </c>
      <c r="V68" s="70">
        <f>N!V68+($Q$7*(SUM(N!U68,N!V67,N!W68)-(3*N!V68)))+(Rstar!V68*N!V68*(1-(N!V68/Kstar!V68)))</f>
        <v>1.122718848773568</v>
      </c>
      <c r="W68" s="70">
        <f>N!W68+($Q$7*(SUM(N!V68,N!W67,N!X68)-(3*N!W68)))+(Rstar!W68*N!W68*(1-(N!W68/Kstar!W68)))</f>
        <v>1.1249186169698886</v>
      </c>
      <c r="X68" s="70">
        <f>N!X68+($Q$7*(SUM(N!W68,N!X67,N!Y68)-(3*N!X68)))+(Rstar!X68*N!X68*(1-(N!X68/Kstar!X68)))</f>
        <v>1.1279433914735073</v>
      </c>
      <c r="Y68" s="70">
        <f>N!Y68+($Q$7*(SUM(N!X68,N!Y67,N!Z68)-(3*N!Y68)))+(Rstar!Y68*N!Y68*(1-(N!Y68/Kstar!Y68)))</f>
        <v>1.1320696063926723</v>
      </c>
      <c r="Z68" s="70">
        <f>N!Z68+($Q$7*(SUM(N!Y68,N!Z67,N!AA68)-(3*N!Z68)))+(Rstar!Z68*N!Z68*(1-(N!Z68/Kstar!Z68)))</f>
        <v>1.1376582946356084</v>
      </c>
      <c r="AA68" s="70">
        <f>N!AA68+($Q$7*(SUM(N!Z68,N!AA67,N!AB68)-(3*N!AA68)))+(Rstar!AA68*N!AA68*(1-(N!AA68/Kstar!AA68)))</f>
        <v>1.145180569271864</v>
      </c>
      <c r="AB68" s="70">
        <f>N!AB68+($Q$7*(SUM(N!AA68,N!AB67,N!AC68)-(3*N!AB68)))+(Rstar!AB68*N!AB68*(1-(N!AB68/Kstar!AB68)))</f>
        <v>1.1552517953555157</v>
      </c>
      <c r="AC68" s="70">
        <f>N!AC68+($Q$7*(SUM(N!AB68,N!AC67,N!AD68)-(3*N!AC68)))+(Rstar!AC68*N!AC68*(1-(N!AC68/Kstar!AC68)))</f>
        <v>1.1686780462406465</v>
      </c>
      <c r="AD68" s="70">
        <f>N!AD68+($Q$7*(SUM(N!AC68,N!AD67,N!AE68)-(3*N!AD68)))+(Rstar!AD68*N!AD68*(1-(N!AD68/Kstar!AD68)))</f>
        <v>1.1865201625743822</v>
      </c>
      <c r="AE68" s="70">
        <f>N!AE68+($Q$7*(SUM(N!AD68,N!AE67,N!AF68)-(3*N!AE68)))+(Rstar!AE68*N!AE68*(1-(N!AE68/Kstar!AE68)))</f>
        <v>1.2101834348948124</v>
      </c>
      <c r="AF68" s="70">
        <f>N!AF68+($Q$7*(SUM(N!AE68,N!AF67,N!AG68)-(3*N!AF68)))+(Rstar!AF68*N!AF68*(1-(N!AF68/Kstar!AF68)))</f>
        <v>1.2415453186286574</v>
      </c>
      <c r="AG68" s="70">
        <f>N!AG68+($Q$7*(SUM(N!AF68,N!AG67,N!AH68)-(3*N!AG68)))+(Rstar!AG68*N!AG68*(1-(N!AG68/Kstar!AG68)))</f>
        <v>1.2831409797839002</v>
      </c>
      <c r="AH68" s="70">
        <f>N!AH68+($Q$7*(SUM(N!AG68,N!AH67,N!AI68)-(3*N!AH68)))+(Rstar!AH68*N!AH68*(1-(N!AH68/Kstar!AH68)))</f>
        <v>1.3384393688085789</v>
      </c>
      <c r="AI68" s="70">
        <f>N!AI68+($Q$7*(SUM(N!AH68,N!AI67,N!AJ68)-(3*N!AI68)))+(Rstar!AI68*N!AI68*(1-(N!AI68/Kstar!AI68)))</f>
        <v>1.4122658316343466</v>
      </c>
      <c r="AJ68" s="70">
        <f>N!AJ68+($Q$7*(SUM(N!AI68,N!AJ67,N!AK68)-(3*N!AJ68)))+(Rstar!AJ68*N!AJ68*(1-(N!AJ68/Kstar!AJ68)))</f>
        <v>1.5114708897264559</v>
      </c>
      <c r="AK68" s="70">
        <f>N!AK68+($Q$7*(SUM(N!AJ68,N!AK67,N!AL68)-(3*N!AK68)))+(Rstar!AK68*N!AK68*(1-(N!AK68/Kstar!AK68)))</f>
        <v>1.646029571177938</v>
      </c>
      <c r="AL68" s="70">
        <f>N!AL68+($Q$7*(SUM(N!AK68,N!AL67,N!AM68)-(3*N!AL68)))+(Rstar!AL68*N!AL68*(1-(N!AL68/Kstar!AL68)))</f>
        <v>1.830927558048836</v>
      </c>
      <c r="AM68" s="70">
        <f>N!AM68+($Q$7*(SUM(N!AL68,N!AM67,N!AN68)-(3*N!AM68)))+(Rstar!AM68*N!AM68*(1-(N!AM68/Kstar!AM68)))</f>
        <v>2.0895572964791951</v>
      </c>
      <c r="AN68" s="70">
        <f>N!AN68+($Q$7*(SUM(N!AM68,N!AN67,N!AO68)-(3*N!AN68)))+(Rstar!AN68*N!AN68*(1-(N!AN68/Kstar!AN68)))</f>
        <v>2.4601800907508702</v>
      </c>
      <c r="AO68" s="70">
        <f>N!AO68+($Q$7*(SUM(N!AN68,N!AO67,N!AP68)-(3*N!AO68)))+(Rstar!AO68*N!AO68*(1-(N!AO68/Kstar!AO68)))</f>
        <v>3.0090472308370986</v>
      </c>
      <c r="AP68" s="70">
        <f>N!AP68+($Q$7*(SUM(N!AO68,N!AP67,N!AQ68)-(3*N!AP68)))+(Rstar!AP68*N!AP68*(1-(N!AP68/Kstar!AP68)))</f>
        <v>3.8592275773264744</v>
      </c>
      <c r="AQ68" s="70">
        <f>N!AQ68+($Q$7*(SUM(N!AP68,N!AQ67,N!AR68)-(3*N!AQ68)))+(Rstar!AQ68*N!AQ68*(1-(N!AQ68/Kstar!AQ68)))</f>
        <v>5.2605171112772755</v>
      </c>
      <c r="AR68" s="70">
        <f>N!AR68+($X$7*(SUM(N!AQ68,N!AR67,N!AS68)-(3*N!AR68)))+(Rstar!AR68*N!AR68*(1-(N!AR68/Kstar!AR68)))</f>
        <v>7.7626730624547751</v>
      </c>
      <c r="AS68" s="70">
        <f>N!AS68+($X$7*(SUM(N!AR68,N!AS67,N!AT68)-(3*N!AS68)))+(Rstar!AS68*N!AS68*(1-(N!AS68/Kstar!AS68)))</f>
        <v>8.9864429227574742</v>
      </c>
      <c r="AT68" s="70">
        <f>N!AT68+($X$7*(SUM(N!AS68,N!AT67,N!AU68)-(3*N!AT68)))+(Rstar!AT68*N!AT68*(1-(N!AT68/Kstar!AT68)))</f>
        <v>9.5421088947636115</v>
      </c>
      <c r="AU68" s="70">
        <f>N!AU68+($X$7*(SUM(N!AT68,N!AU67,N!AV68)-(3*N!AU68)))+(Rstar!AU68*N!AU68*(1-(N!AU68/Kstar!AU68)))</f>
        <v>9.787082623182517</v>
      </c>
      <c r="AV68" s="70">
        <f>N!AV68+($X$7*(SUM(N!AU68,N!AV67,N!AW68)-(3*N!AV68)))+(Rstar!AV68*N!AV68*(1-(N!AV68/Kstar!AV68)))</f>
        <v>9.8936830573171513</v>
      </c>
      <c r="AW68" s="70">
        <f>N!AW68+($X$7*(SUM(N!AV68,N!AW67,N!AX68)-(3*N!AW68)))+(Rstar!AW68*N!AW68*(1-(N!AW68/Kstar!AW68)))</f>
        <v>9.939705846071945</v>
      </c>
      <c r="AX68" s="70">
        <f>N!AX68+($X$7*(SUM(N!AW68,N!AX67,N!AY68)-(3*N!AX68)))+(Rstar!AX68*N!AX68*(1-(N!AX68/Kstar!AX68)))</f>
        <v>9.9592369852844946</v>
      </c>
      <c r="AY68" s="70">
        <f>N!AY68+($X$7*(SUM(N!AX68,N!AY67,N!AZ68)-(3*N!AY68)))+(Rstar!AY68*N!AY68*(1-(N!AY68/Kstar!AY68)))</f>
        <v>9.9667327641002537</v>
      </c>
      <c r="AZ68" s="90">
        <f>N!AY67</f>
        <v>9.9922597568563294</v>
      </c>
      <c r="BA68" s="35">
        <v>50</v>
      </c>
    </row>
    <row r="69" spans="2:53" x14ac:dyDescent="0.2">
      <c r="B69" s="36"/>
      <c r="C69" s="37">
        <v>1</v>
      </c>
      <c r="D69" s="37">
        <v>2</v>
      </c>
      <c r="E69" s="37">
        <v>3</v>
      </c>
      <c r="F69" s="37">
        <v>4</v>
      </c>
      <c r="G69" s="37">
        <v>5</v>
      </c>
      <c r="H69" s="37">
        <v>6</v>
      </c>
      <c r="I69" s="37">
        <v>7</v>
      </c>
      <c r="J69" s="37">
        <v>8</v>
      </c>
      <c r="K69" s="37">
        <v>9</v>
      </c>
      <c r="L69" s="37">
        <v>10</v>
      </c>
      <c r="M69" s="37">
        <v>11</v>
      </c>
      <c r="N69" s="37">
        <v>12</v>
      </c>
      <c r="O69" s="37">
        <v>13</v>
      </c>
      <c r="P69" s="37">
        <v>14</v>
      </c>
      <c r="Q69" s="37">
        <v>15</v>
      </c>
      <c r="R69" s="37">
        <v>16</v>
      </c>
      <c r="S69" s="37">
        <v>17</v>
      </c>
      <c r="T69" s="37">
        <v>18</v>
      </c>
      <c r="U69" s="37">
        <v>19</v>
      </c>
      <c r="V69" s="37">
        <v>20</v>
      </c>
      <c r="W69" s="37">
        <v>21</v>
      </c>
      <c r="X69" s="37">
        <v>22</v>
      </c>
      <c r="Y69" s="37">
        <v>23</v>
      </c>
      <c r="Z69" s="37">
        <v>24</v>
      </c>
      <c r="AA69" s="37">
        <v>25</v>
      </c>
      <c r="AB69" s="37">
        <v>26</v>
      </c>
      <c r="AC69" s="37">
        <v>27</v>
      </c>
      <c r="AD69" s="37">
        <v>28</v>
      </c>
      <c r="AE69" s="37">
        <v>29</v>
      </c>
      <c r="AF69" s="37">
        <v>30</v>
      </c>
      <c r="AG69" s="37">
        <v>31</v>
      </c>
      <c r="AH69" s="37">
        <v>32</v>
      </c>
      <c r="AI69" s="37">
        <v>33</v>
      </c>
      <c r="AJ69" s="37">
        <v>34</v>
      </c>
      <c r="AK69" s="37">
        <v>35</v>
      </c>
      <c r="AL69" s="37">
        <v>36</v>
      </c>
      <c r="AM69" s="37">
        <v>37</v>
      </c>
      <c r="AN69" s="37">
        <v>38</v>
      </c>
      <c r="AO69" s="37">
        <v>39</v>
      </c>
      <c r="AP69" s="37">
        <v>40</v>
      </c>
      <c r="AQ69" s="37">
        <v>41</v>
      </c>
      <c r="AR69" s="37">
        <v>42</v>
      </c>
      <c r="AS69" s="37">
        <v>43</v>
      </c>
      <c r="AT69" s="37">
        <v>44</v>
      </c>
      <c r="AU69" s="37">
        <v>45</v>
      </c>
      <c r="AV69" s="37">
        <v>46</v>
      </c>
      <c r="AW69" s="37">
        <v>47</v>
      </c>
      <c r="AX69" s="37">
        <v>48</v>
      </c>
      <c r="AY69" s="37">
        <v>49</v>
      </c>
      <c r="AZ69" s="37">
        <v>50</v>
      </c>
      <c r="BA69" s="38"/>
    </row>
  </sheetData>
  <mergeCells count="25">
    <mergeCell ref="C16:D16"/>
    <mergeCell ref="X14:Y14"/>
    <mergeCell ref="X16:Y16"/>
    <mergeCell ref="J16:K16"/>
    <mergeCell ref="J14:K14"/>
    <mergeCell ref="X15:Y15"/>
    <mergeCell ref="J15:K15"/>
    <mergeCell ref="C15:D15"/>
    <mergeCell ref="C14:D14"/>
    <mergeCell ref="J11:K11"/>
    <mergeCell ref="J12:K12"/>
    <mergeCell ref="M3:N3"/>
    <mergeCell ref="M4:N4"/>
    <mergeCell ref="M5:N5"/>
    <mergeCell ref="J10:K10"/>
    <mergeCell ref="J13:K13"/>
    <mergeCell ref="Q14:R14"/>
    <mergeCell ref="T1:U1"/>
    <mergeCell ref="T2:U2"/>
    <mergeCell ref="T3:U3"/>
    <mergeCell ref="Q16:R16"/>
    <mergeCell ref="T5:U5"/>
    <mergeCell ref="T4:U4"/>
    <mergeCell ref="M1:N1"/>
    <mergeCell ref="M2:N2"/>
  </mergeCells>
  <pageMargins left="0.75" right="0.75" top="1" bottom="1" header="0.5" footer="0.5"/>
  <pageSetup paperSize="9" orientation="portrait" horizontalDpi="120" verticalDpi="144" r:id="rId1"/>
  <headerFooter alignWithMargins="0">
    <oddHeader>&amp;A</oddHeader>
    <oddFooter>Page 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O70"/>
  <sheetViews>
    <sheetView workbookViewId="0">
      <selection activeCell="F6" sqref="F6"/>
    </sheetView>
  </sheetViews>
  <sheetFormatPr defaultRowHeight="13.2" x14ac:dyDescent="0.25"/>
  <sheetData>
    <row r="1" spans="1:67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  <c r="AN1" s="40"/>
      <c r="AO1" s="40"/>
      <c r="AP1" s="40"/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  <c r="BB1" s="42"/>
      <c r="BC1" s="40"/>
      <c r="BD1" s="40"/>
      <c r="BE1" s="40"/>
      <c r="BF1" s="40"/>
      <c r="BG1" s="40"/>
      <c r="BH1" s="40"/>
      <c r="BI1" s="40"/>
      <c r="BJ1" s="40"/>
      <c r="BK1" s="40"/>
      <c r="BL1" s="40"/>
      <c r="BM1" s="40"/>
      <c r="BN1" s="43"/>
      <c r="BO1" s="43"/>
    </row>
    <row r="2" spans="1:67" x14ac:dyDescent="0.25">
      <c r="A2" s="40"/>
      <c r="B2" s="153"/>
      <c r="C2" s="154"/>
      <c r="D2" s="155"/>
      <c r="F2" s="40"/>
      <c r="G2" s="40"/>
      <c r="H2" s="40"/>
      <c r="I2" s="40"/>
      <c r="J2" s="40"/>
      <c r="K2" s="40"/>
      <c r="L2" s="40"/>
      <c r="M2" s="41"/>
      <c r="N2" s="41"/>
      <c r="O2" s="41"/>
      <c r="P2" s="41"/>
      <c r="Q2" s="41"/>
      <c r="R2" s="41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0"/>
      <c r="AR2" s="40"/>
      <c r="AS2" s="40"/>
      <c r="AT2" s="40"/>
      <c r="AU2" s="40"/>
      <c r="AV2" s="40"/>
      <c r="AW2" s="40"/>
      <c r="AX2" s="40"/>
      <c r="AY2" s="40"/>
      <c r="AZ2" s="40"/>
      <c r="BA2" s="40"/>
      <c r="BB2" s="42"/>
      <c r="BC2" s="40"/>
      <c r="BD2" s="40"/>
      <c r="BE2" s="40"/>
      <c r="BF2" s="40"/>
      <c r="BG2" s="40"/>
      <c r="BH2" s="40"/>
      <c r="BI2" s="40"/>
      <c r="BJ2" s="40"/>
      <c r="BK2" s="40"/>
      <c r="BL2" s="40"/>
      <c r="BM2" s="40"/>
      <c r="BN2" s="43"/>
      <c r="BO2" s="43"/>
    </row>
    <row r="3" spans="1:67" x14ac:dyDescent="0.25">
      <c r="A3" s="40"/>
      <c r="B3" s="153"/>
      <c r="C3" s="154"/>
      <c r="D3" s="155"/>
      <c r="F3" s="40"/>
      <c r="G3" s="40"/>
      <c r="H3" s="40"/>
      <c r="I3" s="40"/>
      <c r="J3" s="40"/>
      <c r="K3" s="40"/>
      <c r="L3" s="40"/>
      <c r="M3" s="41"/>
      <c r="N3" s="41"/>
      <c r="O3" s="41"/>
      <c r="P3" s="41"/>
      <c r="Q3" s="41"/>
      <c r="R3" s="41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2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3"/>
      <c r="BO3" s="43"/>
    </row>
    <row r="4" spans="1:67" x14ac:dyDescent="0.25">
      <c r="A4" s="40"/>
      <c r="B4" s="153"/>
      <c r="C4" s="154"/>
      <c r="D4" s="155"/>
      <c r="F4" s="40"/>
      <c r="G4" s="40"/>
      <c r="H4" s="40"/>
      <c r="I4" s="40"/>
      <c r="J4" s="40"/>
      <c r="K4" s="40"/>
      <c r="L4" s="40"/>
      <c r="M4" s="41"/>
      <c r="N4" s="41"/>
      <c r="O4" s="41"/>
      <c r="P4" s="41"/>
      <c r="Q4" s="41"/>
      <c r="R4" s="41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2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3"/>
      <c r="BO4" s="43"/>
    </row>
    <row r="5" spans="1:67" x14ac:dyDescent="0.25">
      <c r="A5" s="40"/>
      <c r="B5" s="153"/>
      <c r="C5" s="154"/>
      <c r="D5" s="155"/>
      <c r="F5" s="40"/>
      <c r="G5" s="40"/>
      <c r="H5" s="40"/>
      <c r="I5" s="40"/>
      <c r="J5" s="40"/>
      <c r="K5" s="40"/>
      <c r="L5" s="40"/>
      <c r="M5" s="41"/>
      <c r="N5" s="41"/>
      <c r="O5" s="41"/>
      <c r="P5" s="41"/>
      <c r="Q5" s="41"/>
      <c r="R5" s="41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2"/>
      <c r="BC5" s="40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3"/>
      <c r="BO5" s="43"/>
    </row>
    <row r="6" spans="1:67" x14ac:dyDescent="0.25">
      <c r="A6" s="40"/>
      <c r="B6" s="153"/>
      <c r="C6" s="154"/>
      <c r="D6" s="155"/>
      <c r="F6" s="40"/>
      <c r="G6" s="40"/>
      <c r="H6" s="40"/>
      <c r="I6" s="40"/>
      <c r="J6" s="40"/>
      <c r="K6" s="40"/>
      <c r="L6" s="40"/>
      <c r="M6" s="41"/>
      <c r="N6" s="41"/>
      <c r="O6" s="41"/>
      <c r="P6" s="41"/>
      <c r="Q6" s="41"/>
      <c r="R6" s="41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2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3"/>
      <c r="BO6" s="43"/>
    </row>
    <row r="7" spans="1:67" x14ac:dyDescent="0.25">
      <c r="A7" s="40"/>
      <c r="B7" s="153"/>
      <c r="C7" s="154"/>
      <c r="D7" s="155"/>
      <c r="F7" s="40"/>
      <c r="G7" s="40"/>
      <c r="H7" s="40"/>
      <c r="I7" s="40"/>
      <c r="J7" s="40"/>
      <c r="K7" s="40"/>
      <c r="L7" s="40"/>
      <c r="M7" s="41"/>
      <c r="N7" s="41"/>
      <c r="O7" s="41"/>
      <c r="P7" s="41"/>
      <c r="Q7" s="41"/>
      <c r="R7" s="41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2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3"/>
      <c r="BO7" s="43"/>
    </row>
    <row r="8" spans="1:67" x14ac:dyDescent="0.25">
      <c r="A8" s="40"/>
      <c r="B8" s="153"/>
      <c r="C8" s="154"/>
      <c r="D8" s="155"/>
      <c r="F8" s="40"/>
      <c r="G8" s="40"/>
      <c r="H8" s="40"/>
      <c r="I8" s="40"/>
      <c r="J8" s="40"/>
      <c r="K8" s="40"/>
      <c r="L8" s="40"/>
      <c r="M8" s="41"/>
      <c r="N8" s="41"/>
      <c r="O8" s="41"/>
      <c r="P8" s="41"/>
      <c r="Q8" s="41"/>
      <c r="R8" s="41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2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3"/>
      <c r="BO8" s="43"/>
    </row>
    <row r="9" spans="1:67" x14ac:dyDescent="0.25">
      <c r="A9" s="40"/>
      <c r="B9" s="153"/>
      <c r="C9" s="154"/>
      <c r="D9" s="155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2"/>
      <c r="BC9" s="40"/>
      <c r="BD9" s="40"/>
      <c r="BE9" s="40"/>
      <c r="BF9" s="40"/>
      <c r="BG9" s="40"/>
      <c r="BH9" s="40"/>
      <c r="BI9" s="40"/>
      <c r="BJ9" s="40"/>
      <c r="BK9" s="40"/>
      <c r="BL9" s="40"/>
      <c r="BM9" s="40"/>
      <c r="BN9" s="43"/>
      <c r="BO9" s="43"/>
    </row>
    <row r="10" spans="1:67" x14ac:dyDescent="0.25">
      <c r="A10" s="40"/>
      <c r="B10" s="153"/>
      <c r="C10" s="154"/>
      <c r="D10" s="155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2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3"/>
      <c r="BO10" s="43"/>
    </row>
    <row r="11" spans="1:67" x14ac:dyDescent="0.25">
      <c r="A11" s="40"/>
      <c r="B11" s="153"/>
      <c r="C11" s="154"/>
      <c r="D11" s="155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2"/>
      <c r="BC11" s="40"/>
      <c r="BD11" s="40"/>
      <c r="BE11" s="40"/>
      <c r="BF11" s="40"/>
      <c r="BG11" s="40"/>
      <c r="BH11" s="40"/>
      <c r="BI11" s="40"/>
      <c r="BJ11" s="40"/>
      <c r="BK11" s="40"/>
      <c r="BL11" s="40"/>
      <c r="BM11" s="40"/>
      <c r="BN11" s="43"/>
      <c r="BO11" s="43"/>
    </row>
    <row r="12" spans="1:67" x14ac:dyDescent="0.25">
      <c r="A12" s="40"/>
      <c r="B12" s="153"/>
      <c r="C12" s="154"/>
      <c r="D12" s="155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2"/>
      <c r="BC12" s="40"/>
      <c r="BD12" s="40"/>
      <c r="BE12" s="40"/>
      <c r="BF12" s="40"/>
      <c r="BG12" s="40"/>
      <c r="BH12" s="40"/>
      <c r="BI12" s="40"/>
      <c r="BJ12" s="40"/>
      <c r="BK12" s="40"/>
      <c r="BL12" s="40"/>
      <c r="BM12" s="40"/>
      <c r="BN12" s="43"/>
      <c r="BO12" s="43"/>
    </row>
    <row r="13" spans="1:67" x14ac:dyDescent="0.25">
      <c r="A13" s="40"/>
      <c r="B13" s="153"/>
      <c r="C13" s="154"/>
      <c r="D13" s="155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2"/>
      <c r="BC13" s="40"/>
      <c r="BD13" s="40"/>
      <c r="BE13" s="40"/>
      <c r="BF13" s="40"/>
      <c r="BG13" s="40"/>
      <c r="BH13" s="40"/>
      <c r="BI13" s="40"/>
      <c r="BJ13" s="40"/>
      <c r="BK13" s="40"/>
      <c r="BL13" s="40"/>
      <c r="BM13" s="40"/>
      <c r="BN13" s="43"/>
      <c r="BO13" s="43"/>
    </row>
    <row r="14" spans="1:67" x14ac:dyDescent="0.25">
      <c r="A14" s="40"/>
      <c r="B14" s="153"/>
      <c r="C14" s="154"/>
      <c r="D14" s="155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2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3"/>
      <c r="BO14" s="43"/>
    </row>
    <row r="15" spans="1:67" x14ac:dyDescent="0.25">
      <c r="A15" s="40"/>
      <c r="B15" s="153"/>
      <c r="C15" s="154"/>
      <c r="D15" s="155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  <c r="BA15" s="40"/>
      <c r="BB15" s="42"/>
      <c r="BC15" s="40"/>
      <c r="BD15" s="40"/>
      <c r="BE15" s="40"/>
      <c r="BF15" s="40"/>
      <c r="BG15" s="40"/>
      <c r="BH15" s="40"/>
      <c r="BI15" s="40"/>
      <c r="BJ15" s="40"/>
      <c r="BK15" s="40"/>
      <c r="BL15" s="40"/>
      <c r="BM15" s="40"/>
      <c r="BN15" s="43"/>
      <c r="BO15" s="43"/>
    </row>
    <row r="16" spans="1:67" x14ac:dyDescent="0.25">
      <c r="A16" s="40"/>
      <c r="B16" s="153"/>
      <c r="C16" s="154"/>
      <c r="D16" s="155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  <c r="AZ16" s="40"/>
      <c r="BA16" s="40"/>
      <c r="BB16" s="44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3"/>
      <c r="BO16" s="43"/>
    </row>
    <row r="17" spans="1:67" x14ac:dyDescent="0.25">
      <c r="A17" s="40"/>
      <c r="B17" s="153"/>
      <c r="C17" s="154"/>
      <c r="D17" s="155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  <c r="AZ17" s="40"/>
      <c r="BA17" s="40"/>
      <c r="BB17" s="42"/>
      <c r="BC17" s="40"/>
      <c r="BD17" s="40"/>
      <c r="BE17" s="40"/>
      <c r="BF17" s="40"/>
      <c r="BG17" s="40"/>
      <c r="BH17" s="40"/>
      <c r="BI17" s="40"/>
      <c r="BJ17" s="40"/>
      <c r="BK17" s="40"/>
      <c r="BL17" s="40"/>
      <c r="BM17" s="40"/>
      <c r="BN17" s="43"/>
      <c r="BO17" s="43"/>
    </row>
    <row r="18" spans="1:67" x14ac:dyDescent="0.25">
      <c r="A18" s="40"/>
      <c r="B18" s="153"/>
      <c r="C18" s="154"/>
      <c r="D18" s="155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5"/>
      <c r="BB18" s="42"/>
      <c r="BC18" s="45"/>
      <c r="BD18" s="45"/>
      <c r="BE18" s="42"/>
      <c r="BF18" s="45"/>
      <c r="BG18" s="45"/>
      <c r="BH18" s="42"/>
      <c r="BI18" s="45"/>
      <c r="BJ18" s="45"/>
      <c r="BK18" s="42"/>
      <c r="BL18" s="45"/>
      <c r="BM18" s="45"/>
      <c r="BN18" s="43"/>
      <c r="BO18" s="43"/>
    </row>
    <row r="19" spans="1:67" x14ac:dyDescent="0.25">
      <c r="A19" s="40"/>
      <c r="B19" s="153"/>
      <c r="C19" s="154"/>
      <c r="D19" s="15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45"/>
      <c r="AE19" s="45"/>
      <c r="AF19" s="45"/>
      <c r="AG19" s="45"/>
      <c r="AH19" s="45"/>
      <c r="AI19" s="45"/>
      <c r="AJ19" s="45"/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45"/>
      <c r="AW19" s="45"/>
      <c r="AX19" s="45"/>
      <c r="AY19" s="45"/>
      <c r="AZ19" s="45"/>
      <c r="BA19" s="46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3"/>
      <c r="BO19" s="43"/>
    </row>
    <row r="20" spans="1:67" x14ac:dyDescent="0.25">
      <c r="A20" s="40"/>
      <c r="B20" s="153"/>
      <c r="C20" s="154"/>
      <c r="D20" s="15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5"/>
      <c r="BA20" s="46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3"/>
      <c r="BO20" s="43"/>
    </row>
    <row r="21" spans="1:67" x14ac:dyDescent="0.25">
      <c r="A21" s="40"/>
      <c r="B21" s="46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5"/>
      <c r="BA21" s="46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3"/>
      <c r="BO21" s="43"/>
    </row>
    <row r="22" spans="1:67" x14ac:dyDescent="0.25">
      <c r="A22" s="40"/>
      <c r="B22" s="46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5"/>
      <c r="BA22" s="46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3"/>
      <c r="BO22" s="43"/>
    </row>
    <row r="23" spans="1:67" x14ac:dyDescent="0.25">
      <c r="A23" s="40"/>
      <c r="B23" s="46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5"/>
      <c r="BA23" s="46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3"/>
      <c r="BO23" s="43"/>
    </row>
    <row r="24" spans="1:67" x14ac:dyDescent="0.25">
      <c r="A24" s="40"/>
      <c r="B24" s="46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8"/>
      <c r="AA24" s="48"/>
      <c r="AB24" s="48"/>
      <c r="AC24" s="45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5"/>
      <c r="BA24" s="46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3"/>
      <c r="BO24" s="43"/>
    </row>
    <row r="25" spans="1:67" x14ac:dyDescent="0.25">
      <c r="A25" s="40"/>
      <c r="B25" s="46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8"/>
      <c r="AA25" s="48"/>
      <c r="AB25" s="48"/>
      <c r="AC25" s="45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5"/>
      <c r="BA25" s="46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3"/>
      <c r="BO25" s="43"/>
    </row>
    <row r="26" spans="1:67" x14ac:dyDescent="0.25">
      <c r="A26" s="40"/>
      <c r="B26" s="46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8"/>
      <c r="AA26" s="48"/>
      <c r="AB26" s="48"/>
      <c r="AC26" s="45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5"/>
      <c r="BA26" s="46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3"/>
      <c r="BO26" s="43"/>
    </row>
    <row r="27" spans="1:67" x14ac:dyDescent="0.25">
      <c r="A27" s="40"/>
      <c r="B27" s="46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8"/>
      <c r="AA27" s="48"/>
      <c r="AB27" s="48"/>
      <c r="AC27" s="45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5"/>
      <c r="BA27" s="46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3"/>
      <c r="BO27" s="43"/>
    </row>
    <row r="28" spans="1:67" x14ac:dyDescent="0.25">
      <c r="A28" s="40"/>
      <c r="B28" s="46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8"/>
      <c r="AA28" s="48"/>
      <c r="AB28" s="48"/>
      <c r="AC28" s="45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5"/>
      <c r="BA28" s="46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3"/>
      <c r="BO28" s="43"/>
    </row>
    <row r="29" spans="1:67" x14ac:dyDescent="0.25">
      <c r="A29" s="40"/>
      <c r="B29" s="46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8"/>
      <c r="AA29" s="48"/>
      <c r="AB29" s="48"/>
      <c r="AC29" s="45"/>
      <c r="AD29" s="45"/>
      <c r="AE29" s="45"/>
      <c r="AF29" s="45"/>
      <c r="AG29" s="45"/>
      <c r="AH29" s="45"/>
      <c r="AI29" s="45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5"/>
      <c r="BA29" s="46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3"/>
      <c r="BO29" s="43"/>
    </row>
    <row r="30" spans="1:67" x14ac:dyDescent="0.25">
      <c r="A30" s="40"/>
      <c r="B30" s="46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5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5"/>
      <c r="BA30" s="46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3"/>
      <c r="BO30" s="43"/>
    </row>
    <row r="31" spans="1:67" x14ac:dyDescent="0.25">
      <c r="A31" s="40"/>
      <c r="B31" s="46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  <c r="AH31" s="48"/>
      <c r="AI31" s="45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5"/>
      <c r="BA31" s="46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3"/>
      <c r="BO31" s="43"/>
    </row>
    <row r="32" spans="1:67" x14ac:dyDescent="0.25">
      <c r="A32" s="40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  <c r="AH32" s="48"/>
      <c r="AI32" s="45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5"/>
      <c r="BA32" s="46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3"/>
      <c r="BO32" s="43"/>
    </row>
    <row r="33" spans="1:67" x14ac:dyDescent="0.25">
      <c r="A33" s="40"/>
      <c r="B33" s="46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5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5"/>
      <c r="BA33" s="46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3"/>
      <c r="BO33" s="43"/>
    </row>
    <row r="34" spans="1:67" x14ac:dyDescent="0.25">
      <c r="A34" s="40"/>
      <c r="B34" s="46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  <c r="AH34" s="48"/>
      <c r="AI34" s="45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5"/>
      <c r="BA34" s="46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3"/>
      <c r="BO34" s="43"/>
    </row>
    <row r="35" spans="1:67" x14ac:dyDescent="0.25">
      <c r="A35" s="40"/>
      <c r="B35" s="46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  <c r="AH35" s="48"/>
      <c r="AI35" s="45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5"/>
      <c r="BA35" s="46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3"/>
      <c r="BO35" s="43"/>
    </row>
    <row r="36" spans="1:67" x14ac:dyDescent="0.25">
      <c r="A36" s="40"/>
      <c r="B36" s="46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  <c r="AH36" s="48"/>
      <c r="AI36" s="45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5"/>
      <c r="BA36" s="46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3"/>
      <c r="BO36" s="43"/>
    </row>
    <row r="37" spans="1:67" x14ac:dyDescent="0.25">
      <c r="A37" s="40"/>
      <c r="B37" s="46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  <c r="AH37" s="48"/>
      <c r="AI37" s="45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5"/>
      <c r="BA37" s="46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3"/>
      <c r="BO37" s="43"/>
    </row>
    <row r="38" spans="1:67" x14ac:dyDescent="0.25">
      <c r="A38" s="40"/>
      <c r="B38" s="46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  <c r="AH38" s="48"/>
      <c r="AI38" s="45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5"/>
      <c r="BA38" s="46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3"/>
      <c r="BO38" s="43"/>
    </row>
    <row r="39" spans="1:67" x14ac:dyDescent="0.25">
      <c r="A39" s="40"/>
      <c r="B39" s="46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5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5"/>
      <c r="BA39" s="46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3"/>
      <c r="BO39" s="43"/>
    </row>
    <row r="40" spans="1:67" x14ac:dyDescent="0.25">
      <c r="A40" s="40"/>
      <c r="B40" s="46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5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5"/>
      <c r="BA40" s="46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3"/>
      <c r="BO40" s="43"/>
    </row>
    <row r="41" spans="1:67" x14ac:dyDescent="0.25">
      <c r="A41" s="40"/>
      <c r="B41" s="46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48"/>
      <c r="AH41" s="48"/>
      <c r="AI41" s="45"/>
      <c r="AJ41" s="45"/>
      <c r="AK41" s="45"/>
      <c r="AL41" s="45"/>
      <c r="AM41" s="45"/>
      <c r="AN41" s="45"/>
      <c r="AO41" s="45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5"/>
      <c r="BA41" s="46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3"/>
      <c r="BO41" s="43"/>
    </row>
    <row r="42" spans="1:67" x14ac:dyDescent="0.25">
      <c r="A42" s="40"/>
      <c r="B42" s="46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5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5"/>
      <c r="BA42" s="46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3"/>
      <c r="BO42" s="43"/>
    </row>
    <row r="43" spans="1:67" x14ac:dyDescent="0.25">
      <c r="A43" s="40"/>
      <c r="B43" s="46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L43" s="48"/>
      <c r="AM43" s="48"/>
      <c r="AN43" s="48"/>
      <c r="AO43" s="45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5"/>
      <c r="BA43" s="46"/>
      <c r="BB43" s="44"/>
      <c r="BC43" s="44"/>
      <c r="BD43" s="44"/>
      <c r="BE43" s="44"/>
      <c r="BF43" s="44"/>
      <c r="BG43" s="44"/>
      <c r="BH43" s="44"/>
      <c r="BI43" s="44"/>
      <c r="BJ43" s="44"/>
      <c r="BK43" s="44"/>
      <c r="BL43" s="44"/>
      <c r="BM43" s="44"/>
      <c r="BN43" s="43"/>
      <c r="BO43" s="43"/>
    </row>
    <row r="44" spans="1:67" x14ac:dyDescent="0.25">
      <c r="A44" s="40"/>
      <c r="B44" s="46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48"/>
      <c r="AM44" s="48"/>
      <c r="AN44" s="48"/>
      <c r="AO44" s="45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5"/>
      <c r="BA44" s="46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3"/>
      <c r="BO44" s="43"/>
    </row>
    <row r="45" spans="1:67" x14ac:dyDescent="0.25">
      <c r="A45" s="40"/>
      <c r="B45" s="46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5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5"/>
      <c r="BA45" s="46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43"/>
      <c r="BO45" s="43"/>
    </row>
    <row r="46" spans="1:67" x14ac:dyDescent="0.25">
      <c r="A46" s="40"/>
      <c r="B46" s="46"/>
      <c r="C46" s="45"/>
      <c r="D46" s="45"/>
      <c r="E46" s="45"/>
      <c r="F46" s="45"/>
      <c r="G46" s="45"/>
      <c r="H46" s="45"/>
      <c r="I46" s="45"/>
      <c r="J46" s="45"/>
      <c r="K46" s="45"/>
      <c r="L46" s="45"/>
      <c r="M46" s="45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48"/>
      <c r="AI46" s="48"/>
      <c r="AJ46" s="48"/>
      <c r="AK46" s="48"/>
      <c r="AL46" s="48"/>
      <c r="AM46" s="48"/>
      <c r="AN46" s="48"/>
      <c r="AO46" s="45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5"/>
      <c r="BA46" s="46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43"/>
      <c r="BO46" s="43"/>
    </row>
    <row r="47" spans="1:67" x14ac:dyDescent="0.25">
      <c r="A47" s="40"/>
      <c r="B47" s="46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8"/>
      <c r="AI47" s="48"/>
      <c r="AJ47" s="48"/>
      <c r="AK47" s="48"/>
      <c r="AL47" s="48"/>
      <c r="AM47" s="48"/>
      <c r="AN47" s="48"/>
      <c r="AO47" s="45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5"/>
      <c r="BA47" s="46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43"/>
      <c r="BO47" s="43"/>
    </row>
    <row r="48" spans="1:67" x14ac:dyDescent="0.25">
      <c r="A48" s="40"/>
      <c r="B48" s="46"/>
      <c r="C48" s="45"/>
      <c r="D48" s="45"/>
      <c r="E48" s="45"/>
      <c r="F48" s="45"/>
      <c r="G48" s="45"/>
      <c r="H48" s="45"/>
      <c r="I48" s="45"/>
      <c r="J48" s="45"/>
      <c r="K48" s="45"/>
      <c r="L48" s="45"/>
      <c r="M48" s="45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8"/>
      <c r="AI48" s="48"/>
      <c r="AJ48" s="48"/>
      <c r="AK48" s="48"/>
      <c r="AL48" s="48"/>
      <c r="AM48" s="48"/>
      <c r="AN48" s="48"/>
      <c r="AO48" s="45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5"/>
      <c r="BA48" s="46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3"/>
      <c r="BO48" s="43"/>
    </row>
    <row r="49" spans="1:67" x14ac:dyDescent="0.25">
      <c r="A49" s="40"/>
      <c r="B49" s="46"/>
      <c r="C49" s="45"/>
      <c r="D49" s="45"/>
      <c r="E49" s="45"/>
      <c r="F49" s="45"/>
      <c r="G49" s="45"/>
      <c r="H49" s="45"/>
      <c r="I49" s="45"/>
      <c r="J49" s="45"/>
      <c r="K49" s="45"/>
      <c r="L49" s="45"/>
      <c r="M49" s="45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48"/>
      <c r="AI49" s="48"/>
      <c r="AJ49" s="48"/>
      <c r="AK49" s="48"/>
      <c r="AL49" s="48"/>
      <c r="AM49" s="48"/>
      <c r="AN49" s="48"/>
      <c r="AO49" s="45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5"/>
      <c r="BA49" s="46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43"/>
      <c r="BO49" s="43"/>
    </row>
    <row r="50" spans="1:67" x14ac:dyDescent="0.25">
      <c r="A50" s="40"/>
      <c r="B50" s="46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5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5"/>
      <c r="BA50" s="46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3"/>
      <c r="BO50" s="43"/>
    </row>
    <row r="51" spans="1:67" x14ac:dyDescent="0.25">
      <c r="A51" s="40"/>
      <c r="B51" s="46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  <c r="AJ51" s="48"/>
      <c r="AK51" s="48"/>
      <c r="AL51" s="48"/>
      <c r="AM51" s="48"/>
      <c r="AN51" s="48"/>
      <c r="AO51" s="45"/>
      <c r="AP51" s="45"/>
      <c r="AQ51" s="45"/>
      <c r="AR51" s="45"/>
      <c r="AS51" s="45"/>
      <c r="AT51" s="45"/>
      <c r="AU51" s="47"/>
      <c r="AV51" s="47"/>
      <c r="AW51" s="47"/>
      <c r="AX51" s="47"/>
      <c r="AY51" s="47"/>
      <c r="AZ51" s="45"/>
      <c r="BA51" s="46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43"/>
      <c r="BO51" s="43"/>
    </row>
    <row r="52" spans="1:67" x14ac:dyDescent="0.25">
      <c r="A52" s="40"/>
      <c r="B52" s="46"/>
      <c r="C52" s="45"/>
      <c r="D52" s="45"/>
      <c r="E52" s="45"/>
      <c r="F52" s="45"/>
      <c r="G52" s="45"/>
      <c r="H52" s="45"/>
      <c r="I52" s="45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  <c r="AM52" s="48"/>
      <c r="AN52" s="48"/>
      <c r="AO52" s="48"/>
      <c r="AP52" s="48"/>
      <c r="AQ52" s="48"/>
      <c r="AR52" s="48"/>
      <c r="AS52" s="48"/>
      <c r="AT52" s="45"/>
      <c r="AU52" s="47"/>
      <c r="AV52" s="47"/>
      <c r="AW52" s="47"/>
      <c r="AX52" s="47"/>
      <c r="AY52" s="47"/>
      <c r="AZ52" s="45"/>
      <c r="BA52" s="46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43"/>
      <c r="BO52" s="43"/>
    </row>
    <row r="53" spans="1:67" x14ac:dyDescent="0.25">
      <c r="A53" s="40"/>
      <c r="B53" s="46"/>
      <c r="C53" s="45"/>
      <c r="D53" s="45"/>
      <c r="E53" s="45"/>
      <c r="F53" s="45"/>
      <c r="G53" s="45"/>
      <c r="H53" s="45"/>
      <c r="I53" s="45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48"/>
      <c r="AM53" s="48"/>
      <c r="AN53" s="48"/>
      <c r="AO53" s="48"/>
      <c r="AP53" s="48"/>
      <c r="AQ53" s="48"/>
      <c r="AR53" s="48"/>
      <c r="AS53" s="48"/>
      <c r="AT53" s="45"/>
      <c r="AU53" s="47"/>
      <c r="AV53" s="47"/>
      <c r="AW53" s="47"/>
      <c r="AX53" s="47"/>
      <c r="AY53" s="47"/>
      <c r="AZ53" s="45"/>
      <c r="BA53" s="46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43"/>
      <c r="BO53" s="43"/>
    </row>
    <row r="54" spans="1:67" x14ac:dyDescent="0.25">
      <c r="A54" s="40"/>
      <c r="B54" s="46"/>
      <c r="C54" s="45"/>
      <c r="D54" s="45"/>
      <c r="E54" s="45"/>
      <c r="F54" s="45"/>
      <c r="G54" s="45"/>
      <c r="H54" s="45"/>
      <c r="I54" s="45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48"/>
      <c r="AM54" s="48"/>
      <c r="AN54" s="48"/>
      <c r="AO54" s="48"/>
      <c r="AP54" s="48"/>
      <c r="AQ54" s="48"/>
      <c r="AR54" s="48"/>
      <c r="AS54" s="48"/>
      <c r="AT54" s="45"/>
      <c r="AU54" s="47"/>
      <c r="AV54" s="47"/>
      <c r="AW54" s="47"/>
      <c r="AX54" s="47"/>
      <c r="AY54" s="47"/>
      <c r="AZ54" s="45"/>
      <c r="BA54" s="46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43"/>
      <c r="BO54" s="43"/>
    </row>
    <row r="55" spans="1:67" x14ac:dyDescent="0.25">
      <c r="A55" s="40"/>
      <c r="B55" s="46"/>
      <c r="C55" s="45"/>
      <c r="D55" s="45"/>
      <c r="E55" s="45"/>
      <c r="F55" s="45"/>
      <c r="G55" s="45"/>
      <c r="H55" s="45"/>
      <c r="I55" s="45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48"/>
      <c r="AI55" s="48"/>
      <c r="AJ55" s="48"/>
      <c r="AK55" s="48"/>
      <c r="AL55" s="48"/>
      <c r="AM55" s="48"/>
      <c r="AN55" s="48"/>
      <c r="AO55" s="48"/>
      <c r="AP55" s="48"/>
      <c r="AQ55" s="48"/>
      <c r="AR55" s="48"/>
      <c r="AS55" s="48"/>
      <c r="AT55" s="45"/>
      <c r="AU55" s="47"/>
      <c r="AV55" s="47"/>
      <c r="AW55" s="47"/>
      <c r="AX55" s="47"/>
      <c r="AY55" s="47"/>
      <c r="AZ55" s="45"/>
      <c r="BA55" s="46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43"/>
      <c r="BO55" s="43"/>
    </row>
    <row r="56" spans="1:67" x14ac:dyDescent="0.25">
      <c r="A56" s="40"/>
      <c r="B56" s="46"/>
      <c r="C56" s="45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  <c r="AO56" s="49"/>
      <c r="AP56" s="49"/>
      <c r="AQ56" s="49"/>
      <c r="AR56" s="49"/>
      <c r="AS56" s="49"/>
      <c r="AT56" s="45"/>
      <c r="AU56" s="47"/>
      <c r="AV56" s="47"/>
      <c r="AW56" s="47"/>
      <c r="AX56" s="47"/>
      <c r="AY56" s="47"/>
      <c r="AZ56" s="45"/>
      <c r="BA56" s="46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43"/>
      <c r="BO56" s="43"/>
    </row>
    <row r="57" spans="1:67" x14ac:dyDescent="0.25">
      <c r="A57" s="40"/>
      <c r="B57" s="46"/>
      <c r="C57" s="45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5"/>
      <c r="AU57" s="47"/>
      <c r="AV57" s="47"/>
      <c r="AW57" s="47"/>
      <c r="AX57" s="47"/>
      <c r="AY57" s="47"/>
      <c r="AZ57" s="45"/>
      <c r="BA57" s="46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43"/>
      <c r="BO57" s="43"/>
    </row>
    <row r="58" spans="1:67" x14ac:dyDescent="0.25">
      <c r="A58" s="40"/>
      <c r="B58" s="46"/>
      <c r="C58" s="45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  <c r="AO58" s="49"/>
      <c r="AP58" s="49"/>
      <c r="AQ58" s="49"/>
      <c r="AR58" s="49"/>
      <c r="AS58" s="49"/>
      <c r="AT58" s="45"/>
      <c r="AU58" s="47"/>
      <c r="AV58" s="47"/>
      <c r="AW58" s="47"/>
      <c r="AX58" s="47"/>
      <c r="AY58" s="47"/>
      <c r="AZ58" s="45"/>
      <c r="BA58" s="46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43"/>
      <c r="BO58" s="43"/>
    </row>
    <row r="59" spans="1:67" x14ac:dyDescent="0.25">
      <c r="A59" s="40"/>
      <c r="B59" s="46"/>
      <c r="C59" s="45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  <c r="AO59" s="49"/>
      <c r="AP59" s="49"/>
      <c r="AQ59" s="49"/>
      <c r="AR59" s="49"/>
      <c r="AS59" s="49"/>
      <c r="AT59" s="45"/>
      <c r="AU59" s="47"/>
      <c r="AV59" s="47"/>
      <c r="AW59" s="47"/>
      <c r="AX59" s="47"/>
      <c r="AY59" s="47"/>
      <c r="AZ59" s="45"/>
      <c r="BA59" s="46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43"/>
      <c r="BO59" s="43"/>
    </row>
    <row r="60" spans="1:67" x14ac:dyDescent="0.25">
      <c r="A60" s="40"/>
      <c r="B60" s="46"/>
      <c r="C60" s="45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  <c r="AO60" s="49"/>
      <c r="AP60" s="49"/>
      <c r="AQ60" s="49"/>
      <c r="AR60" s="49"/>
      <c r="AS60" s="49"/>
      <c r="AT60" s="45"/>
      <c r="AU60" s="47"/>
      <c r="AV60" s="47"/>
      <c r="AW60" s="47"/>
      <c r="AX60" s="47"/>
      <c r="AY60" s="47"/>
      <c r="AZ60" s="45"/>
      <c r="BA60" s="46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43"/>
      <c r="BO60" s="43"/>
    </row>
    <row r="61" spans="1:67" x14ac:dyDescent="0.25">
      <c r="A61" s="40"/>
      <c r="B61" s="46"/>
      <c r="C61" s="45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  <c r="AO61" s="49"/>
      <c r="AP61" s="49"/>
      <c r="AQ61" s="49"/>
      <c r="AR61" s="49"/>
      <c r="AS61" s="49"/>
      <c r="AT61" s="45"/>
      <c r="AU61" s="47"/>
      <c r="AV61" s="47"/>
      <c r="AW61" s="47"/>
      <c r="AX61" s="47"/>
      <c r="AY61" s="47"/>
      <c r="AZ61" s="45"/>
      <c r="BA61" s="46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43"/>
      <c r="BO61" s="43"/>
    </row>
    <row r="62" spans="1:67" x14ac:dyDescent="0.25">
      <c r="A62" s="40"/>
      <c r="B62" s="46"/>
      <c r="C62" s="45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5"/>
      <c r="AU62" s="47"/>
      <c r="AV62" s="47"/>
      <c r="AW62" s="47"/>
      <c r="AX62" s="47"/>
      <c r="AY62" s="47"/>
      <c r="AZ62" s="45"/>
      <c r="BA62" s="46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3"/>
      <c r="BO62" s="43"/>
    </row>
    <row r="63" spans="1:67" x14ac:dyDescent="0.25">
      <c r="A63" s="40"/>
      <c r="B63" s="46"/>
      <c r="C63" s="45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  <c r="AL63" s="49"/>
      <c r="AM63" s="49"/>
      <c r="AN63" s="49"/>
      <c r="AO63" s="49"/>
      <c r="AP63" s="49"/>
      <c r="AQ63" s="49"/>
      <c r="AR63" s="49"/>
      <c r="AS63" s="49"/>
      <c r="AT63" s="45"/>
      <c r="AU63" s="47"/>
      <c r="AV63" s="47"/>
      <c r="AW63" s="47"/>
      <c r="AX63" s="47"/>
      <c r="AY63" s="47"/>
      <c r="AZ63" s="45"/>
      <c r="BA63" s="46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43"/>
      <c r="BO63" s="43"/>
    </row>
    <row r="64" spans="1:67" x14ac:dyDescent="0.25">
      <c r="A64" s="40"/>
      <c r="B64" s="46"/>
      <c r="C64" s="45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  <c r="AO64" s="49"/>
      <c r="AP64" s="49"/>
      <c r="AQ64" s="49"/>
      <c r="AR64" s="49"/>
      <c r="AS64" s="49"/>
      <c r="AT64" s="45"/>
      <c r="AU64" s="47"/>
      <c r="AV64" s="47"/>
      <c r="AW64" s="47"/>
      <c r="AX64" s="47"/>
      <c r="AY64" s="47"/>
      <c r="AZ64" s="45"/>
      <c r="BA64" s="46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43"/>
      <c r="BO64" s="43"/>
    </row>
    <row r="65" spans="1:67" x14ac:dyDescent="0.25">
      <c r="A65" s="40"/>
      <c r="B65" s="46"/>
      <c r="C65" s="45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  <c r="AO65" s="49"/>
      <c r="AP65" s="49"/>
      <c r="AQ65" s="49"/>
      <c r="AR65" s="49"/>
      <c r="AS65" s="49"/>
      <c r="AT65" s="45"/>
      <c r="AU65" s="47"/>
      <c r="AV65" s="47"/>
      <c r="AW65" s="47"/>
      <c r="AX65" s="47"/>
      <c r="AY65" s="47"/>
      <c r="AZ65" s="45"/>
      <c r="BA65" s="46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43"/>
      <c r="BO65" s="43"/>
    </row>
    <row r="66" spans="1:67" x14ac:dyDescent="0.25">
      <c r="A66" s="40"/>
      <c r="B66" s="46"/>
      <c r="C66" s="45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5"/>
      <c r="AU66" s="47"/>
      <c r="AV66" s="47"/>
      <c r="AW66" s="47"/>
      <c r="AX66" s="47"/>
      <c r="AY66" s="47"/>
      <c r="AZ66" s="45"/>
      <c r="BA66" s="46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43"/>
      <c r="BO66" s="43"/>
    </row>
    <row r="67" spans="1:67" x14ac:dyDescent="0.25">
      <c r="A67" s="40"/>
      <c r="B67" s="46"/>
      <c r="C67" s="45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5"/>
      <c r="AU67" s="47"/>
      <c r="AV67" s="47"/>
      <c r="AW67" s="47"/>
      <c r="AX67" s="47"/>
      <c r="AY67" s="47"/>
      <c r="AZ67" s="45"/>
      <c r="BA67" s="46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43"/>
      <c r="BO67" s="43"/>
    </row>
    <row r="68" spans="1:67" x14ac:dyDescent="0.25">
      <c r="A68" s="40"/>
      <c r="B68" s="46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  <c r="AZ68" s="45"/>
      <c r="BA68" s="46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43"/>
      <c r="BO68" s="43"/>
    </row>
    <row r="69" spans="1:67" x14ac:dyDescent="0.25">
      <c r="A69" s="40"/>
      <c r="B69" s="45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  <c r="AO69" s="46"/>
      <c r="AP69" s="46"/>
      <c r="AQ69" s="46"/>
      <c r="AR69" s="46"/>
      <c r="AS69" s="46"/>
      <c r="AT69" s="46"/>
      <c r="AU69" s="46"/>
      <c r="AV69" s="46"/>
      <c r="AW69" s="46"/>
      <c r="AX69" s="46"/>
      <c r="AY69" s="46"/>
      <c r="AZ69" s="46"/>
      <c r="BA69" s="45"/>
      <c r="BB69" s="40"/>
      <c r="BC69" s="40"/>
      <c r="BD69" s="40"/>
      <c r="BE69" s="40"/>
      <c r="BF69" s="40"/>
      <c r="BG69" s="40"/>
      <c r="BH69" s="40"/>
      <c r="BI69" s="40"/>
      <c r="BJ69" s="40"/>
      <c r="BK69" s="40"/>
      <c r="BL69" s="40"/>
      <c r="BM69" s="40"/>
      <c r="BN69" s="43"/>
      <c r="BO69" s="43"/>
    </row>
    <row r="70" spans="1:67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Start</vt:lpstr>
      <vt:lpstr>RSeed</vt:lpstr>
      <vt:lpstr>KSeed</vt:lpstr>
      <vt:lpstr>Rstar</vt:lpstr>
      <vt:lpstr>Kstar</vt:lpstr>
      <vt:lpstr>N</vt:lpstr>
      <vt:lpstr>MOVE</vt:lpstr>
      <vt:lpstr>UnNamedResults</vt:lpstr>
    </vt:vector>
  </TitlesOfParts>
  <Company>RTTCP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Hargrove</dc:creator>
  <cp:lastModifiedBy>Hargrove, J, Prof &lt;jhargrove@sun.ac.za&gt;</cp:lastModifiedBy>
  <dcterms:created xsi:type="dcterms:W3CDTF">1998-06-25T12:36:08Z</dcterms:created>
  <dcterms:modified xsi:type="dcterms:W3CDTF">2016-05-08T10:07:29Z</dcterms:modified>
</cp:coreProperties>
</file>